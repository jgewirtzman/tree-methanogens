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ewirtzman/Google Drive/Methane Research/"/>
    </mc:Choice>
  </mc:AlternateContent>
  <xr:revisionPtr revIDLastSave="0" documentId="13_ncr:1_{E4F5B8F4-AB3A-9E41-8A31-97C3EEE0F252}" xr6:coauthVersionLast="36" xr6:coauthVersionMax="36" xr10:uidLastSave="{00000000-0000-0000-0000-000000000000}"/>
  <bookViews>
    <workbookView xWindow="1100" yWindow="1220" windowWidth="27240" windowHeight="16040" activeTab="1" xr2:uid="{4ED14CF3-2704-DF47-A6E1-EBF848D7EA39}"/>
  </bookViews>
  <sheets>
    <sheet name="Sheet4" sheetId="4" r:id="rId1"/>
    <sheet name="Trees_DBH" sheetId="1" r:id="rId2"/>
    <sheet name="Soil_Field_Data" sheetId="3" r:id="rId3"/>
  </sheets>
  <definedNames>
    <definedName name="_xlnm._FilterDatabase" localSheetId="2" hidden="1">Soil_Field_Data!$A$1:$A$797</definedName>
    <definedName name="_xlnm._FilterDatabase" localSheetId="1" hidden="1">Trees_DBH!$A$1:$A$200</definedName>
    <definedName name="_xlnm.Print_Titles" localSheetId="2">Soil_Field_Data!$1:$1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R2" i="1"/>
  <c r="Q2" i="1"/>
  <c r="M163" i="1"/>
  <c r="N163" i="1"/>
  <c r="O163" i="1"/>
  <c r="P163" i="1"/>
  <c r="M17" i="1"/>
  <c r="N17" i="1"/>
  <c r="O17" i="1"/>
  <c r="P17" i="1"/>
  <c r="M79" i="1"/>
  <c r="N79" i="1"/>
  <c r="O79" i="1"/>
  <c r="P79" i="1"/>
  <c r="M67" i="1"/>
  <c r="N67" i="1"/>
  <c r="O67" i="1"/>
  <c r="P67" i="1"/>
  <c r="M71" i="1"/>
  <c r="N71" i="1"/>
  <c r="O71" i="1"/>
  <c r="P71" i="1"/>
  <c r="M70" i="1"/>
  <c r="N70" i="1"/>
  <c r="O70" i="1"/>
  <c r="P70" i="1"/>
  <c r="M68" i="1"/>
  <c r="N68" i="1"/>
  <c r="O68" i="1"/>
  <c r="P68" i="1"/>
  <c r="M69" i="1"/>
  <c r="N69" i="1"/>
  <c r="O69" i="1"/>
  <c r="P69" i="1"/>
  <c r="M73" i="1"/>
  <c r="N73" i="1"/>
  <c r="O73" i="1"/>
  <c r="P73" i="1"/>
  <c r="M74" i="1"/>
  <c r="N74" i="1"/>
  <c r="O74" i="1"/>
  <c r="P74" i="1"/>
  <c r="M80" i="1"/>
  <c r="N80" i="1"/>
  <c r="O80" i="1"/>
  <c r="P80" i="1"/>
  <c r="M72" i="1"/>
  <c r="N72" i="1"/>
  <c r="O72" i="1"/>
  <c r="P72" i="1"/>
  <c r="M81" i="1"/>
  <c r="N81" i="1"/>
  <c r="O81" i="1"/>
  <c r="P81" i="1"/>
  <c r="M82" i="1"/>
  <c r="N82" i="1"/>
  <c r="O82" i="1"/>
  <c r="P82" i="1"/>
  <c r="M75" i="1"/>
  <c r="N75" i="1"/>
  <c r="O75" i="1"/>
  <c r="P75" i="1"/>
  <c r="M76" i="1"/>
  <c r="N76" i="1"/>
  <c r="O76" i="1"/>
  <c r="P76" i="1"/>
  <c r="M77" i="1"/>
  <c r="N77" i="1"/>
  <c r="O77" i="1"/>
  <c r="P77" i="1"/>
  <c r="M78" i="1"/>
  <c r="N78" i="1"/>
  <c r="O78" i="1"/>
  <c r="P78" i="1"/>
  <c r="M22" i="1"/>
  <c r="N22" i="1"/>
  <c r="O22" i="1"/>
  <c r="P22" i="1"/>
  <c r="M23" i="1"/>
  <c r="N23" i="1"/>
  <c r="O23" i="1"/>
  <c r="P23" i="1"/>
  <c r="M20" i="1"/>
  <c r="N20" i="1"/>
  <c r="O20" i="1"/>
  <c r="P20" i="1"/>
  <c r="M18" i="1"/>
  <c r="N18" i="1"/>
  <c r="O18" i="1"/>
  <c r="P18" i="1"/>
  <c r="M19" i="1"/>
  <c r="N19" i="1"/>
  <c r="O19" i="1"/>
  <c r="P19" i="1"/>
  <c r="M21" i="1"/>
  <c r="N21" i="1"/>
  <c r="O21" i="1"/>
  <c r="P21" i="1"/>
  <c r="M83" i="1"/>
  <c r="N83" i="1"/>
  <c r="O83" i="1"/>
  <c r="P83" i="1"/>
  <c r="M84" i="1"/>
  <c r="N84" i="1"/>
  <c r="O84" i="1"/>
  <c r="P84" i="1"/>
  <c r="M85" i="1"/>
  <c r="N85" i="1"/>
  <c r="O85" i="1"/>
  <c r="P85" i="1"/>
  <c r="M175" i="1"/>
  <c r="N175" i="1"/>
  <c r="O175" i="1"/>
  <c r="P175" i="1"/>
  <c r="M169" i="1"/>
  <c r="N169" i="1"/>
  <c r="O169" i="1"/>
  <c r="P169" i="1"/>
  <c r="M171" i="1"/>
  <c r="N171" i="1"/>
  <c r="O171" i="1"/>
  <c r="P171" i="1"/>
  <c r="M167" i="1"/>
  <c r="N167" i="1"/>
  <c r="O167" i="1"/>
  <c r="P167" i="1"/>
  <c r="M164" i="1"/>
  <c r="N164" i="1"/>
  <c r="O164" i="1"/>
  <c r="P164" i="1"/>
  <c r="M165" i="1"/>
  <c r="N165" i="1"/>
  <c r="O165" i="1"/>
  <c r="P165" i="1"/>
  <c r="M173" i="1"/>
  <c r="N173" i="1"/>
  <c r="O173" i="1"/>
  <c r="P173" i="1"/>
  <c r="M168" i="1"/>
  <c r="N168" i="1"/>
  <c r="O168" i="1"/>
  <c r="P168" i="1"/>
  <c r="M172" i="1"/>
  <c r="N172" i="1"/>
  <c r="O172" i="1"/>
  <c r="P172" i="1"/>
  <c r="M166" i="1"/>
  <c r="N166" i="1"/>
  <c r="O166" i="1"/>
  <c r="P166" i="1"/>
  <c r="M174" i="1"/>
  <c r="N174" i="1"/>
  <c r="O174" i="1"/>
  <c r="P174" i="1"/>
  <c r="M170" i="1"/>
  <c r="N170" i="1"/>
  <c r="O170" i="1"/>
  <c r="P170" i="1"/>
  <c r="M176" i="1"/>
  <c r="N176" i="1"/>
  <c r="O176" i="1"/>
  <c r="P176" i="1"/>
  <c r="M89" i="1"/>
  <c r="N89" i="1"/>
  <c r="O89" i="1"/>
  <c r="P89" i="1"/>
  <c r="M86" i="1"/>
  <c r="N86" i="1"/>
  <c r="O86" i="1"/>
  <c r="P86" i="1"/>
  <c r="M87" i="1"/>
  <c r="N87" i="1"/>
  <c r="O87" i="1"/>
  <c r="P87" i="1"/>
  <c r="M88" i="1"/>
  <c r="N88" i="1"/>
  <c r="O88" i="1"/>
  <c r="P88" i="1"/>
  <c r="M90" i="1"/>
  <c r="N90" i="1"/>
  <c r="O90" i="1"/>
  <c r="P90" i="1"/>
  <c r="M96" i="1"/>
  <c r="N96" i="1"/>
  <c r="O96" i="1"/>
  <c r="P96" i="1"/>
  <c r="M92" i="1"/>
  <c r="N92" i="1"/>
  <c r="O92" i="1"/>
  <c r="P92" i="1"/>
  <c r="M95" i="1"/>
  <c r="N95" i="1"/>
  <c r="O95" i="1"/>
  <c r="P95" i="1"/>
  <c r="M100" i="1"/>
  <c r="N100" i="1"/>
  <c r="O100" i="1"/>
  <c r="P100" i="1"/>
  <c r="M91" i="1"/>
  <c r="N91" i="1"/>
  <c r="O91" i="1"/>
  <c r="P91" i="1"/>
  <c r="M93" i="1"/>
  <c r="N93" i="1"/>
  <c r="O93" i="1"/>
  <c r="P93" i="1"/>
  <c r="M99" i="1"/>
  <c r="N99" i="1"/>
  <c r="O99" i="1"/>
  <c r="P99" i="1"/>
  <c r="M97" i="1"/>
  <c r="N97" i="1"/>
  <c r="O97" i="1"/>
  <c r="P97" i="1"/>
  <c r="M98" i="1"/>
  <c r="N98" i="1"/>
  <c r="O98" i="1"/>
  <c r="P98" i="1"/>
  <c r="M94" i="1"/>
  <c r="N94" i="1"/>
  <c r="O94" i="1"/>
  <c r="P94" i="1"/>
  <c r="M177" i="1"/>
  <c r="N177" i="1"/>
  <c r="O177" i="1"/>
  <c r="P177" i="1"/>
  <c r="M179" i="1"/>
  <c r="N179" i="1"/>
  <c r="O179" i="1"/>
  <c r="P179" i="1"/>
  <c r="M178" i="1"/>
  <c r="N178" i="1"/>
  <c r="O178" i="1"/>
  <c r="P178" i="1"/>
  <c r="M35" i="1"/>
  <c r="N35" i="1"/>
  <c r="O35" i="1"/>
  <c r="P35" i="1"/>
  <c r="M32" i="1"/>
  <c r="N32" i="1"/>
  <c r="O32" i="1"/>
  <c r="P32" i="1"/>
  <c r="M30" i="1"/>
  <c r="N30" i="1"/>
  <c r="O30" i="1"/>
  <c r="P30" i="1"/>
  <c r="M28" i="1"/>
  <c r="N28" i="1"/>
  <c r="O28" i="1"/>
  <c r="P28" i="1"/>
  <c r="M26" i="1"/>
  <c r="N26" i="1"/>
  <c r="O26" i="1"/>
  <c r="P26" i="1"/>
  <c r="M38" i="1"/>
  <c r="N38" i="1"/>
  <c r="O38" i="1"/>
  <c r="P38" i="1"/>
  <c r="M37" i="1"/>
  <c r="N37" i="1"/>
  <c r="O37" i="1"/>
  <c r="P37" i="1"/>
  <c r="M25" i="1"/>
  <c r="N25" i="1"/>
  <c r="O25" i="1"/>
  <c r="P25" i="1"/>
  <c r="M33" i="1"/>
  <c r="N33" i="1"/>
  <c r="O33" i="1"/>
  <c r="P33" i="1"/>
  <c r="M31" i="1"/>
  <c r="N31" i="1"/>
  <c r="O31" i="1"/>
  <c r="P31" i="1"/>
  <c r="M24" i="1"/>
  <c r="N24" i="1"/>
  <c r="O24" i="1"/>
  <c r="P24" i="1"/>
  <c r="M34" i="1"/>
  <c r="N34" i="1"/>
  <c r="O34" i="1"/>
  <c r="P34" i="1"/>
  <c r="M36" i="1"/>
  <c r="N36" i="1"/>
  <c r="O36" i="1"/>
  <c r="P36" i="1"/>
  <c r="M29" i="1"/>
  <c r="N29" i="1"/>
  <c r="O29" i="1"/>
  <c r="P29" i="1"/>
  <c r="M27" i="1"/>
  <c r="N27" i="1"/>
  <c r="O27" i="1"/>
  <c r="P27" i="1"/>
  <c r="M40" i="1"/>
  <c r="N40" i="1"/>
  <c r="O40" i="1"/>
  <c r="P40" i="1"/>
  <c r="M41" i="1"/>
  <c r="N41" i="1"/>
  <c r="O41" i="1"/>
  <c r="P41" i="1"/>
  <c r="M42" i="1"/>
  <c r="N42" i="1"/>
  <c r="O42" i="1"/>
  <c r="P42" i="1"/>
  <c r="M39" i="1"/>
  <c r="N39" i="1"/>
  <c r="O39" i="1"/>
  <c r="P39" i="1"/>
  <c r="M43" i="1"/>
  <c r="N43" i="1"/>
  <c r="O43" i="1"/>
  <c r="P43" i="1"/>
  <c r="M44" i="1"/>
  <c r="N44" i="1"/>
  <c r="O44" i="1"/>
  <c r="P44" i="1"/>
  <c r="M107" i="1"/>
  <c r="N107" i="1"/>
  <c r="O107" i="1"/>
  <c r="P107" i="1"/>
  <c r="M108" i="1"/>
  <c r="N108" i="1"/>
  <c r="O108" i="1"/>
  <c r="P108" i="1"/>
  <c r="M105" i="1"/>
  <c r="N105" i="1"/>
  <c r="O105" i="1"/>
  <c r="P105" i="1"/>
  <c r="M109" i="1"/>
  <c r="N109" i="1"/>
  <c r="O109" i="1"/>
  <c r="P109" i="1"/>
  <c r="M113" i="1"/>
  <c r="N113" i="1"/>
  <c r="O113" i="1"/>
  <c r="P113" i="1"/>
  <c r="M101" i="1"/>
  <c r="N101" i="1"/>
  <c r="O101" i="1"/>
  <c r="P101" i="1"/>
  <c r="M114" i="1"/>
  <c r="N114" i="1"/>
  <c r="O114" i="1"/>
  <c r="P114" i="1"/>
  <c r="M115" i="1"/>
  <c r="N115" i="1"/>
  <c r="O115" i="1"/>
  <c r="P115" i="1"/>
  <c r="M104" i="1"/>
  <c r="N104" i="1"/>
  <c r="O104" i="1"/>
  <c r="P104" i="1"/>
  <c r="M106" i="1"/>
  <c r="N106" i="1"/>
  <c r="O106" i="1"/>
  <c r="P106" i="1"/>
  <c r="M111" i="1"/>
  <c r="N111" i="1"/>
  <c r="O111" i="1"/>
  <c r="P111" i="1"/>
  <c r="M102" i="1"/>
  <c r="N102" i="1"/>
  <c r="O102" i="1"/>
  <c r="P102" i="1"/>
  <c r="M112" i="1"/>
  <c r="N112" i="1"/>
  <c r="O112" i="1"/>
  <c r="P112" i="1"/>
  <c r="M110" i="1"/>
  <c r="N110" i="1"/>
  <c r="O110" i="1"/>
  <c r="P110" i="1"/>
  <c r="M103" i="1"/>
  <c r="N103" i="1"/>
  <c r="O103" i="1"/>
  <c r="P103" i="1"/>
  <c r="M180" i="1"/>
  <c r="N180" i="1"/>
  <c r="O180" i="1"/>
  <c r="P180" i="1"/>
  <c r="M181" i="1"/>
  <c r="N181" i="1"/>
  <c r="O181" i="1"/>
  <c r="P181" i="1"/>
  <c r="M182" i="1"/>
  <c r="N182" i="1"/>
  <c r="O182" i="1"/>
  <c r="P182" i="1"/>
  <c r="M183" i="1"/>
  <c r="N183" i="1"/>
  <c r="O183" i="1"/>
  <c r="P183" i="1"/>
  <c r="M184" i="1"/>
  <c r="N184" i="1"/>
  <c r="O184" i="1"/>
  <c r="P184" i="1"/>
  <c r="M185" i="1"/>
  <c r="N185" i="1"/>
  <c r="O185" i="1"/>
  <c r="P185" i="1"/>
  <c r="M116" i="1"/>
  <c r="N116" i="1"/>
  <c r="O116" i="1"/>
  <c r="P116" i="1"/>
  <c r="M118" i="1"/>
  <c r="N118" i="1"/>
  <c r="O118" i="1"/>
  <c r="P118" i="1"/>
  <c r="M117" i="1"/>
  <c r="N117" i="1"/>
  <c r="O117" i="1"/>
  <c r="P117" i="1"/>
  <c r="M186" i="1"/>
  <c r="N186" i="1"/>
  <c r="O186" i="1"/>
  <c r="P186" i="1"/>
  <c r="M119" i="1"/>
  <c r="N119" i="1"/>
  <c r="O119" i="1"/>
  <c r="P119" i="1"/>
  <c r="M120" i="1"/>
  <c r="N120" i="1"/>
  <c r="O120" i="1"/>
  <c r="P120" i="1"/>
  <c r="M129" i="1"/>
  <c r="N129" i="1"/>
  <c r="O129" i="1"/>
  <c r="P129" i="1"/>
  <c r="M134" i="1"/>
  <c r="N134" i="1"/>
  <c r="O134" i="1"/>
  <c r="P134" i="1"/>
  <c r="M122" i="1"/>
  <c r="N122" i="1"/>
  <c r="O122" i="1"/>
  <c r="P122" i="1"/>
  <c r="M128" i="1"/>
  <c r="N128" i="1"/>
  <c r="O128" i="1"/>
  <c r="P128" i="1"/>
  <c r="M127" i="1"/>
  <c r="N127" i="1"/>
  <c r="O127" i="1"/>
  <c r="P127" i="1"/>
  <c r="M126" i="1"/>
  <c r="N126" i="1"/>
  <c r="O126" i="1"/>
  <c r="P126" i="1"/>
  <c r="M135" i="1"/>
  <c r="N135" i="1"/>
  <c r="O135" i="1"/>
  <c r="P135" i="1"/>
  <c r="M132" i="1"/>
  <c r="N132" i="1"/>
  <c r="O132" i="1"/>
  <c r="P132" i="1"/>
  <c r="M131" i="1"/>
  <c r="N131" i="1"/>
  <c r="O131" i="1"/>
  <c r="P131" i="1"/>
  <c r="M125" i="1"/>
  <c r="N125" i="1"/>
  <c r="O125" i="1"/>
  <c r="P125" i="1"/>
  <c r="M123" i="1"/>
  <c r="N123" i="1"/>
  <c r="O123" i="1"/>
  <c r="P123" i="1"/>
  <c r="M124" i="1"/>
  <c r="N124" i="1"/>
  <c r="O124" i="1"/>
  <c r="P124" i="1"/>
  <c r="M136" i="1"/>
  <c r="N136" i="1"/>
  <c r="O136" i="1"/>
  <c r="P136" i="1"/>
  <c r="M130" i="1"/>
  <c r="N130" i="1"/>
  <c r="O130" i="1"/>
  <c r="P130" i="1"/>
  <c r="M133" i="1"/>
  <c r="N133" i="1"/>
  <c r="O133" i="1"/>
  <c r="P133" i="1"/>
  <c r="M121" i="1"/>
  <c r="N121" i="1"/>
  <c r="O121" i="1"/>
  <c r="P121" i="1"/>
  <c r="M189" i="1"/>
  <c r="N189" i="1"/>
  <c r="O189" i="1"/>
  <c r="P189" i="1"/>
  <c r="M187" i="1"/>
  <c r="N187" i="1"/>
  <c r="O187" i="1"/>
  <c r="P187" i="1"/>
  <c r="M190" i="1"/>
  <c r="N190" i="1"/>
  <c r="O190" i="1"/>
  <c r="P190" i="1"/>
  <c r="M191" i="1"/>
  <c r="N191" i="1"/>
  <c r="O191" i="1"/>
  <c r="P191" i="1"/>
  <c r="M188" i="1"/>
  <c r="N188" i="1"/>
  <c r="O188" i="1"/>
  <c r="P188" i="1"/>
  <c r="M192" i="1"/>
  <c r="N192" i="1"/>
  <c r="O192" i="1"/>
  <c r="P192" i="1"/>
  <c r="M193" i="1"/>
  <c r="N193" i="1"/>
  <c r="O193" i="1"/>
  <c r="P193" i="1"/>
  <c r="M194" i="1"/>
  <c r="N194" i="1"/>
  <c r="O194" i="1"/>
  <c r="P194" i="1"/>
  <c r="M137" i="1"/>
  <c r="N137" i="1"/>
  <c r="O137" i="1"/>
  <c r="P137" i="1"/>
  <c r="M138" i="1"/>
  <c r="N138" i="1"/>
  <c r="O138" i="1"/>
  <c r="P138" i="1"/>
  <c r="M139" i="1"/>
  <c r="N139" i="1"/>
  <c r="O139" i="1"/>
  <c r="P139" i="1"/>
  <c r="M48" i="1"/>
  <c r="N48" i="1"/>
  <c r="O48" i="1"/>
  <c r="P48" i="1"/>
  <c r="M45" i="1"/>
  <c r="N45" i="1"/>
  <c r="O45" i="1"/>
  <c r="P45" i="1"/>
  <c r="M49" i="1"/>
  <c r="N49" i="1"/>
  <c r="O49" i="1"/>
  <c r="P49" i="1"/>
  <c r="M47" i="1"/>
  <c r="N47" i="1"/>
  <c r="O47" i="1"/>
  <c r="P47" i="1"/>
  <c r="M50" i="1"/>
  <c r="N50" i="1"/>
  <c r="O50" i="1"/>
  <c r="P50" i="1"/>
  <c r="M46" i="1"/>
  <c r="N46" i="1"/>
  <c r="O46" i="1"/>
  <c r="P46" i="1"/>
  <c r="M156" i="1"/>
  <c r="N156" i="1"/>
  <c r="O156" i="1"/>
  <c r="P156" i="1"/>
  <c r="M144" i="1"/>
  <c r="N144" i="1"/>
  <c r="O144" i="1"/>
  <c r="P144" i="1"/>
  <c r="M140" i="1"/>
  <c r="N140" i="1"/>
  <c r="O140" i="1"/>
  <c r="P140" i="1"/>
  <c r="M145" i="1"/>
  <c r="N145" i="1"/>
  <c r="O145" i="1"/>
  <c r="P145" i="1"/>
  <c r="M149" i="1"/>
  <c r="N149" i="1"/>
  <c r="O149" i="1"/>
  <c r="P149" i="1"/>
  <c r="M155" i="1"/>
  <c r="N155" i="1"/>
  <c r="O155" i="1"/>
  <c r="P155" i="1"/>
  <c r="M153" i="1"/>
  <c r="N153" i="1"/>
  <c r="O153" i="1"/>
  <c r="P153" i="1"/>
  <c r="M150" i="1"/>
  <c r="N150" i="1"/>
  <c r="O150" i="1"/>
  <c r="P150" i="1"/>
  <c r="M154" i="1"/>
  <c r="N154" i="1"/>
  <c r="O154" i="1"/>
  <c r="P154" i="1"/>
  <c r="M146" i="1"/>
  <c r="N146" i="1"/>
  <c r="O146" i="1"/>
  <c r="P146" i="1"/>
  <c r="M142" i="1"/>
  <c r="N142" i="1"/>
  <c r="O142" i="1"/>
  <c r="P142" i="1"/>
  <c r="M148" i="1"/>
  <c r="N148" i="1"/>
  <c r="O148" i="1"/>
  <c r="P148" i="1"/>
  <c r="M152" i="1"/>
  <c r="N152" i="1"/>
  <c r="O152" i="1"/>
  <c r="P152" i="1"/>
  <c r="M141" i="1"/>
  <c r="N141" i="1"/>
  <c r="O141" i="1"/>
  <c r="P141" i="1"/>
  <c r="M151" i="1"/>
  <c r="N151" i="1"/>
  <c r="O151" i="1"/>
  <c r="P151" i="1"/>
  <c r="M147" i="1"/>
  <c r="N147" i="1"/>
  <c r="O147" i="1"/>
  <c r="P147" i="1"/>
  <c r="M143" i="1"/>
  <c r="N143" i="1"/>
  <c r="O143" i="1"/>
  <c r="P143" i="1"/>
  <c r="M157" i="1"/>
  <c r="N157" i="1"/>
  <c r="O157" i="1"/>
  <c r="P157" i="1"/>
  <c r="M195" i="1"/>
  <c r="N195" i="1"/>
  <c r="O195" i="1"/>
  <c r="P195" i="1"/>
  <c r="M196" i="1"/>
  <c r="N196" i="1"/>
  <c r="O196" i="1"/>
  <c r="P196" i="1"/>
  <c r="M197" i="1"/>
  <c r="N197" i="1"/>
  <c r="O197" i="1"/>
  <c r="P197" i="1"/>
  <c r="M198" i="1"/>
  <c r="N198" i="1"/>
  <c r="O198" i="1"/>
  <c r="P198" i="1"/>
  <c r="M199" i="1"/>
  <c r="N199" i="1"/>
  <c r="O199" i="1"/>
  <c r="P199" i="1"/>
  <c r="M200" i="1"/>
  <c r="N200" i="1"/>
  <c r="O200" i="1"/>
  <c r="P200" i="1"/>
  <c r="M13" i="1"/>
  <c r="N13" i="1"/>
  <c r="O13" i="1"/>
  <c r="P13" i="1"/>
  <c r="M8" i="1"/>
  <c r="N8" i="1"/>
  <c r="O8" i="1"/>
  <c r="P8" i="1"/>
  <c r="M16" i="1"/>
  <c r="N16" i="1"/>
  <c r="O16" i="1"/>
  <c r="P16" i="1"/>
  <c r="M7" i="1"/>
  <c r="N7" i="1"/>
  <c r="O7" i="1"/>
  <c r="P7" i="1"/>
  <c r="M15" i="1"/>
  <c r="N15" i="1"/>
  <c r="O15" i="1"/>
  <c r="P15" i="1"/>
  <c r="M2" i="1"/>
  <c r="N2" i="1"/>
  <c r="O2" i="1"/>
  <c r="P2" i="1"/>
  <c r="M12" i="1"/>
  <c r="N12" i="1"/>
  <c r="O12" i="1"/>
  <c r="P12" i="1"/>
  <c r="M10" i="1"/>
  <c r="N10" i="1"/>
  <c r="O10" i="1"/>
  <c r="P10" i="1"/>
  <c r="M11" i="1"/>
  <c r="N11" i="1"/>
  <c r="O11" i="1"/>
  <c r="P11" i="1"/>
  <c r="M5" i="1"/>
  <c r="N5" i="1"/>
  <c r="O5" i="1"/>
  <c r="P5" i="1"/>
  <c r="M4" i="1"/>
  <c r="N4" i="1"/>
  <c r="O4" i="1"/>
  <c r="P4" i="1"/>
  <c r="M6" i="1"/>
  <c r="N6" i="1"/>
  <c r="O6" i="1"/>
  <c r="P6" i="1"/>
  <c r="M3" i="1"/>
  <c r="N3" i="1"/>
  <c r="O3" i="1"/>
  <c r="P3" i="1"/>
  <c r="M9" i="1"/>
  <c r="N9" i="1"/>
  <c r="O9" i="1"/>
  <c r="P9" i="1"/>
  <c r="M14" i="1"/>
  <c r="N14" i="1"/>
  <c r="O14" i="1"/>
  <c r="P14" i="1"/>
  <c r="M159" i="1"/>
  <c r="N159" i="1"/>
  <c r="O159" i="1"/>
  <c r="P159" i="1"/>
  <c r="M160" i="1"/>
  <c r="N160" i="1"/>
  <c r="O160" i="1"/>
  <c r="P160" i="1"/>
  <c r="M161" i="1"/>
  <c r="N161" i="1"/>
  <c r="O161" i="1"/>
  <c r="P161" i="1"/>
  <c r="M162" i="1"/>
  <c r="N162" i="1"/>
  <c r="O162" i="1"/>
  <c r="P162" i="1"/>
  <c r="M66" i="1"/>
  <c r="N66" i="1"/>
  <c r="O66" i="1"/>
  <c r="P66" i="1"/>
  <c r="M65" i="1"/>
  <c r="N65" i="1"/>
  <c r="O65" i="1"/>
  <c r="P65" i="1"/>
  <c r="M55" i="1"/>
  <c r="N55" i="1"/>
  <c r="O55" i="1"/>
  <c r="P55" i="1"/>
  <c r="M54" i="1"/>
  <c r="N54" i="1"/>
  <c r="O54" i="1"/>
  <c r="P54" i="1"/>
  <c r="M56" i="1"/>
  <c r="N56" i="1"/>
  <c r="O56" i="1"/>
  <c r="P56" i="1"/>
  <c r="M63" i="1"/>
  <c r="N63" i="1"/>
  <c r="O63" i="1"/>
  <c r="P63" i="1"/>
  <c r="M52" i="1"/>
  <c r="N52" i="1"/>
  <c r="O52" i="1"/>
  <c r="P52" i="1"/>
  <c r="M64" i="1"/>
  <c r="N64" i="1"/>
  <c r="O64" i="1"/>
  <c r="P64" i="1"/>
  <c r="M61" i="1"/>
  <c r="N61" i="1"/>
  <c r="O61" i="1"/>
  <c r="P61" i="1"/>
  <c r="M57" i="1"/>
  <c r="N57" i="1"/>
  <c r="O57" i="1"/>
  <c r="P57" i="1"/>
  <c r="M59" i="1"/>
  <c r="N59" i="1"/>
  <c r="O59" i="1"/>
  <c r="P59" i="1"/>
  <c r="M51" i="1"/>
  <c r="N51" i="1"/>
  <c r="O51" i="1"/>
  <c r="P51" i="1"/>
  <c r="M58" i="1"/>
  <c r="N58" i="1"/>
  <c r="O58" i="1"/>
  <c r="P58" i="1"/>
  <c r="M60" i="1"/>
  <c r="N60" i="1"/>
  <c r="O60" i="1"/>
  <c r="P60" i="1"/>
  <c r="M53" i="1"/>
  <c r="N53" i="1"/>
  <c r="O53" i="1"/>
  <c r="P53" i="1"/>
  <c r="M62" i="1"/>
  <c r="N62" i="1"/>
  <c r="O62" i="1"/>
  <c r="P62" i="1"/>
  <c r="P158" i="1"/>
  <c r="O158" i="1"/>
  <c r="M158" i="1"/>
  <c r="N158" i="1"/>
  <c r="J65" i="1" l="1"/>
  <c r="J55" i="1"/>
  <c r="J54" i="1"/>
  <c r="J56" i="1"/>
  <c r="J63" i="1"/>
  <c r="J52" i="1"/>
  <c r="J64" i="1"/>
  <c r="J61" i="1"/>
  <c r="J57" i="1"/>
  <c r="J59" i="1"/>
  <c r="J51" i="1"/>
  <c r="J58" i="1"/>
  <c r="J60" i="1"/>
  <c r="J53" i="1"/>
  <c r="J62" i="1"/>
  <c r="J158" i="1"/>
  <c r="J159" i="1"/>
  <c r="J160" i="1"/>
  <c r="J161" i="1"/>
  <c r="J162" i="1"/>
  <c r="J13" i="1"/>
  <c r="J8" i="1"/>
  <c r="J16" i="1"/>
  <c r="J7" i="1"/>
  <c r="J15" i="1"/>
  <c r="J2" i="1"/>
  <c r="J12" i="1"/>
  <c r="J10" i="1"/>
  <c r="J11" i="1"/>
  <c r="J5" i="1"/>
  <c r="J4" i="1"/>
  <c r="J6" i="1"/>
  <c r="J3" i="1"/>
  <c r="J9" i="1"/>
  <c r="J14" i="1"/>
  <c r="J163" i="1"/>
  <c r="J17" i="1"/>
  <c r="J79" i="1"/>
  <c r="J67" i="1"/>
  <c r="J71" i="1"/>
  <c r="J70" i="1"/>
  <c r="J68" i="1"/>
  <c r="J69" i="1"/>
  <c r="J73" i="1"/>
  <c r="J74" i="1"/>
  <c r="J80" i="1"/>
  <c r="J72" i="1"/>
  <c r="J81" i="1"/>
  <c r="J82" i="1"/>
  <c r="J75" i="1"/>
  <c r="J76" i="1"/>
  <c r="J77" i="1"/>
  <c r="J78" i="1"/>
  <c r="J22" i="1"/>
  <c r="J23" i="1"/>
  <c r="J20" i="1"/>
  <c r="J18" i="1"/>
  <c r="J19" i="1"/>
  <c r="J21" i="1"/>
  <c r="J83" i="1"/>
  <c r="J84" i="1"/>
  <c r="J85" i="1"/>
  <c r="J175" i="1"/>
  <c r="J169" i="1"/>
  <c r="J171" i="1"/>
  <c r="J167" i="1"/>
  <c r="J164" i="1"/>
  <c r="J165" i="1"/>
  <c r="J173" i="1"/>
  <c r="J168" i="1"/>
  <c r="J172" i="1"/>
  <c r="J166" i="1"/>
  <c r="J174" i="1"/>
  <c r="J170" i="1"/>
  <c r="J176" i="1"/>
  <c r="J89" i="1"/>
  <c r="J86" i="1"/>
  <c r="J87" i="1"/>
  <c r="J88" i="1"/>
  <c r="J90" i="1"/>
  <c r="J96" i="1"/>
  <c r="J92" i="1"/>
  <c r="J95" i="1"/>
  <c r="J100" i="1"/>
  <c r="J91" i="1"/>
  <c r="J93" i="1"/>
  <c r="J99" i="1"/>
  <c r="J97" i="1"/>
  <c r="J98" i="1"/>
  <c r="J94" i="1"/>
  <c r="J177" i="1"/>
  <c r="J179" i="1"/>
  <c r="J178" i="1"/>
  <c r="J35" i="1"/>
  <c r="J32" i="1"/>
  <c r="J30" i="1"/>
  <c r="J28" i="1"/>
  <c r="J26" i="1"/>
  <c r="J38" i="1"/>
  <c r="J37" i="1"/>
  <c r="J25" i="1"/>
  <c r="J33" i="1"/>
  <c r="J31" i="1"/>
  <c r="J24" i="1"/>
  <c r="J34" i="1"/>
  <c r="J36" i="1"/>
  <c r="J29" i="1"/>
  <c r="J27" i="1"/>
  <c r="J40" i="1"/>
  <c r="J41" i="1"/>
  <c r="J42" i="1"/>
  <c r="J39" i="1"/>
  <c r="J43" i="1"/>
  <c r="J44" i="1"/>
  <c r="J107" i="1"/>
  <c r="J108" i="1"/>
  <c r="J105" i="1"/>
  <c r="J109" i="1"/>
  <c r="J113" i="1"/>
  <c r="J101" i="1"/>
  <c r="J114" i="1"/>
  <c r="J115" i="1"/>
  <c r="J104" i="1"/>
  <c r="J106" i="1"/>
  <c r="J111" i="1"/>
  <c r="J102" i="1"/>
  <c r="J112" i="1"/>
  <c r="J110" i="1"/>
  <c r="J103" i="1"/>
  <c r="J180" i="1"/>
  <c r="J181" i="1"/>
  <c r="J182" i="1"/>
  <c r="J183" i="1"/>
  <c r="J184" i="1"/>
  <c r="J185" i="1"/>
  <c r="J116" i="1"/>
  <c r="J118" i="1"/>
  <c r="J117" i="1"/>
  <c r="J186" i="1"/>
  <c r="J119" i="1"/>
  <c r="J120" i="1"/>
  <c r="J129" i="1"/>
  <c r="J134" i="1"/>
  <c r="J122" i="1"/>
  <c r="J128" i="1"/>
  <c r="J127" i="1"/>
  <c r="J126" i="1"/>
  <c r="J135" i="1"/>
  <c r="J132" i="1"/>
  <c r="J131" i="1"/>
  <c r="J125" i="1"/>
  <c r="J123" i="1"/>
  <c r="J124" i="1"/>
  <c r="J136" i="1"/>
  <c r="J130" i="1"/>
  <c r="J133" i="1"/>
  <c r="J121" i="1"/>
  <c r="J189" i="1"/>
  <c r="J187" i="1"/>
  <c r="J190" i="1"/>
  <c r="J191" i="1"/>
  <c r="J188" i="1"/>
  <c r="J192" i="1"/>
  <c r="J193" i="1"/>
  <c r="J194" i="1"/>
  <c r="J137" i="1"/>
  <c r="J138" i="1"/>
  <c r="J139" i="1"/>
  <c r="J48" i="1"/>
  <c r="J45" i="1"/>
  <c r="J49" i="1"/>
  <c r="J47" i="1"/>
  <c r="J50" i="1"/>
  <c r="J46" i="1"/>
  <c r="J156" i="1"/>
  <c r="J144" i="1"/>
  <c r="J140" i="1"/>
  <c r="J145" i="1"/>
  <c r="J149" i="1"/>
  <c r="J155" i="1"/>
  <c r="J153" i="1"/>
  <c r="J150" i="1"/>
  <c r="J154" i="1"/>
  <c r="J146" i="1"/>
  <c r="J142" i="1"/>
  <c r="J148" i="1"/>
  <c r="J152" i="1"/>
  <c r="J141" i="1"/>
  <c r="J151" i="1"/>
  <c r="J147" i="1"/>
  <c r="J143" i="1"/>
  <c r="J157" i="1"/>
  <c r="J195" i="1"/>
  <c r="J196" i="1"/>
  <c r="J197" i="1"/>
  <c r="J198" i="1"/>
  <c r="J199" i="1"/>
  <c r="J200" i="1"/>
  <c r="J66" i="1"/>
  <c r="L58" i="1" l="1"/>
  <c r="L59" i="1"/>
  <c r="L60" i="1"/>
  <c r="L61" i="1"/>
  <c r="L62" i="1"/>
  <c r="L63" i="1"/>
  <c r="L64" i="1"/>
  <c r="L65" i="1"/>
  <c r="L52" i="1"/>
  <c r="L53" i="1"/>
  <c r="L54" i="1"/>
  <c r="L55" i="1"/>
  <c r="L57" i="1"/>
  <c r="L56" i="1"/>
  <c r="L66" i="1"/>
  <c r="L158" i="1"/>
  <c r="L161" i="1"/>
  <c r="L159" i="1"/>
  <c r="L160" i="1"/>
  <c r="L162" i="1"/>
  <c r="L121" i="1"/>
  <c r="L129" i="1"/>
  <c r="L130" i="1"/>
  <c r="L131" i="1"/>
  <c r="L132" i="1"/>
  <c r="L133" i="1"/>
  <c r="L136" i="1"/>
  <c r="L134" i="1"/>
  <c r="L135" i="1"/>
  <c r="L122" i="1"/>
  <c r="L123" i="1"/>
  <c r="L124" i="1"/>
  <c r="L125" i="1"/>
  <c r="L126" i="1"/>
  <c r="L127" i="1"/>
  <c r="L128" i="1"/>
  <c r="L187" i="1"/>
  <c r="L188" i="1"/>
  <c r="L191" i="1"/>
  <c r="L192" i="1"/>
  <c r="L194" i="1"/>
  <c r="L190" i="1"/>
  <c r="L189" i="1"/>
  <c r="L193" i="1"/>
  <c r="L2" i="1"/>
  <c r="L9" i="1"/>
  <c r="L10" i="1"/>
  <c r="L11" i="1"/>
  <c r="L12" i="1"/>
  <c r="L13" i="1"/>
  <c r="L14" i="1"/>
  <c r="L15" i="1"/>
  <c r="L16" i="1"/>
  <c r="L3" i="1"/>
  <c r="L4" i="1"/>
  <c r="L5" i="1"/>
  <c r="L6" i="1"/>
  <c r="L7" i="1"/>
  <c r="L8" i="1"/>
  <c r="L163" i="1"/>
  <c r="L18" i="1"/>
  <c r="L19" i="1"/>
  <c r="L20" i="1"/>
  <c r="L21" i="1"/>
  <c r="L22" i="1"/>
  <c r="L23" i="1"/>
  <c r="L83" i="1"/>
  <c r="L84" i="1"/>
  <c r="L85" i="1"/>
  <c r="L172" i="1"/>
  <c r="L173" i="1"/>
  <c r="L175" i="1"/>
  <c r="L174" i="1"/>
  <c r="L176" i="1"/>
  <c r="L164" i="1"/>
  <c r="L165" i="1"/>
  <c r="L166" i="1"/>
  <c r="L167" i="1"/>
  <c r="L168" i="1"/>
  <c r="L169" i="1"/>
  <c r="L170" i="1"/>
  <c r="L171" i="1"/>
  <c r="L17" i="1"/>
  <c r="L73" i="1"/>
  <c r="L67" i="1"/>
  <c r="L75" i="1"/>
  <c r="L76" i="1"/>
  <c r="L77" i="1"/>
  <c r="L78" i="1"/>
  <c r="L79" i="1"/>
  <c r="L80" i="1"/>
  <c r="L82" i="1"/>
  <c r="L81" i="1"/>
  <c r="L68" i="1"/>
  <c r="L69" i="1"/>
  <c r="L71" i="1"/>
  <c r="L70" i="1"/>
  <c r="L74" i="1"/>
  <c r="L72" i="1"/>
  <c r="L87" i="1"/>
  <c r="L86" i="1"/>
  <c r="L88" i="1"/>
  <c r="L89" i="1"/>
  <c r="L90" i="1"/>
  <c r="L91" i="1"/>
  <c r="L92" i="1"/>
  <c r="L93" i="1"/>
  <c r="L95" i="1"/>
  <c r="L96" i="1"/>
  <c r="L94" i="1"/>
  <c r="L98" i="1"/>
  <c r="L99" i="1"/>
  <c r="L97" i="1"/>
  <c r="L100" i="1"/>
  <c r="L177" i="1"/>
  <c r="L179" i="1"/>
  <c r="L178" i="1"/>
  <c r="L39" i="1"/>
  <c r="L40" i="1"/>
  <c r="L41" i="1"/>
  <c r="L42" i="1"/>
  <c r="L43" i="1"/>
  <c r="L44" i="1"/>
  <c r="L103" i="1"/>
  <c r="L110" i="1"/>
  <c r="L109" i="1"/>
  <c r="L111" i="1"/>
  <c r="L112" i="1"/>
  <c r="L113" i="1"/>
  <c r="L114" i="1"/>
  <c r="L115" i="1"/>
  <c r="L104" i="1"/>
  <c r="L105" i="1"/>
  <c r="L106" i="1"/>
  <c r="L102" i="1"/>
  <c r="L101" i="1"/>
  <c r="L107" i="1"/>
  <c r="L108" i="1"/>
  <c r="L185" i="1"/>
  <c r="L182" i="1"/>
  <c r="L183" i="1"/>
  <c r="L184" i="1"/>
  <c r="L180" i="1"/>
  <c r="L181" i="1"/>
  <c r="L45" i="1"/>
  <c r="L46" i="1"/>
  <c r="L47" i="1"/>
  <c r="L48" i="1"/>
  <c r="L49" i="1"/>
  <c r="L50" i="1"/>
  <c r="L140" i="1"/>
  <c r="L150" i="1"/>
  <c r="L149" i="1"/>
  <c r="L148" i="1"/>
  <c r="L151" i="1"/>
  <c r="L152" i="1"/>
  <c r="L153" i="1"/>
  <c r="L154" i="1"/>
  <c r="L155" i="1"/>
  <c r="L156" i="1"/>
  <c r="L157" i="1"/>
  <c r="L145" i="1"/>
  <c r="L147" i="1"/>
  <c r="L143" i="1"/>
  <c r="L144" i="1"/>
  <c r="L146" i="1"/>
  <c r="L142" i="1"/>
  <c r="L141" i="1"/>
  <c r="L199" i="1"/>
  <c r="L200" i="1"/>
  <c r="L195" i="1"/>
  <c r="L197" i="1"/>
  <c r="L196" i="1"/>
  <c r="L198" i="1"/>
  <c r="L24" i="1"/>
  <c r="L31" i="1"/>
  <c r="L32" i="1"/>
  <c r="L33" i="1"/>
  <c r="L34" i="1"/>
  <c r="L35" i="1"/>
  <c r="L36" i="1"/>
  <c r="L37" i="1"/>
  <c r="L38" i="1"/>
  <c r="L25" i="1"/>
  <c r="L26" i="1"/>
  <c r="L27" i="1"/>
  <c r="L28" i="1"/>
  <c r="L29" i="1"/>
  <c r="L30" i="1"/>
  <c r="L116" i="1"/>
  <c r="L119" i="1"/>
  <c r="L120" i="1"/>
  <c r="L137" i="1"/>
  <c r="L138" i="1"/>
  <c r="L139" i="1"/>
  <c r="L117" i="1"/>
  <c r="L118" i="1"/>
  <c r="L186" i="1"/>
  <c r="L51" i="1"/>
  <c r="K58" i="1"/>
  <c r="K59" i="1"/>
  <c r="K60" i="1"/>
  <c r="K61" i="1"/>
  <c r="K62" i="1"/>
  <c r="K63" i="1"/>
  <c r="K64" i="1"/>
  <c r="K65" i="1"/>
  <c r="K52" i="1"/>
  <c r="K53" i="1"/>
  <c r="K54" i="1"/>
  <c r="K55" i="1"/>
  <c r="K57" i="1"/>
  <c r="K56" i="1"/>
  <c r="K66" i="1"/>
  <c r="K158" i="1"/>
  <c r="K161" i="1"/>
  <c r="K159" i="1"/>
  <c r="K160" i="1"/>
  <c r="K162" i="1"/>
  <c r="K121" i="1"/>
  <c r="K129" i="1"/>
  <c r="K130" i="1"/>
  <c r="K131" i="1"/>
  <c r="K132" i="1"/>
  <c r="K133" i="1"/>
  <c r="K136" i="1"/>
  <c r="K134" i="1"/>
  <c r="K135" i="1"/>
  <c r="K122" i="1"/>
  <c r="K123" i="1"/>
  <c r="K124" i="1"/>
  <c r="K125" i="1"/>
  <c r="K126" i="1"/>
  <c r="K127" i="1"/>
  <c r="K128" i="1"/>
  <c r="K187" i="1"/>
  <c r="K188" i="1"/>
  <c r="K191" i="1"/>
  <c r="K192" i="1"/>
  <c r="K194" i="1"/>
  <c r="K190" i="1"/>
  <c r="K189" i="1"/>
  <c r="K193" i="1"/>
  <c r="K2" i="1"/>
  <c r="K9" i="1"/>
  <c r="K10" i="1"/>
  <c r="K11" i="1"/>
  <c r="K12" i="1"/>
  <c r="K13" i="1"/>
  <c r="K14" i="1"/>
  <c r="K15" i="1"/>
  <c r="K16" i="1"/>
  <c r="K3" i="1"/>
  <c r="K4" i="1"/>
  <c r="K5" i="1"/>
  <c r="K6" i="1"/>
  <c r="K7" i="1"/>
  <c r="K8" i="1"/>
  <c r="K163" i="1"/>
  <c r="K18" i="1"/>
  <c r="K19" i="1"/>
  <c r="K20" i="1"/>
  <c r="K21" i="1"/>
  <c r="K22" i="1"/>
  <c r="K23" i="1"/>
  <c r="K83" i="1"/>
  <c r="K84" i="1"/>
  <c r="K85" i="1"/>
  <c r="K172" i="1"/>
  <c r="K173" i="1"/>
  <c r="K175" i="1"/>
  <c r="K174" i="1"/>
  <c r="K176" i="1"/>
  <c r="K164" i="1"/>
  <c r="K165" i="1"/>
  <c r="K166" i="1"/>
  <c r="K167" i="1"/>
  <c r="K168" i="1"/>
  <c r="K169" i="1"/>
  <c r="K170" i="1"/>
  <c r="K171" i="1"/>
  <c r="K17" i="1"/>
  <c r="K73" i="1"/>
  <c r="K67" i="1"/>
  <c r="K75" i="1"/>
  <c r="K76" i="1"/>
  <c r="K77" i="1"/>
  <c r="K78" i="1"/>
  <c r="K79" i="1"/>
  <c r="K80" i="1"/>
  <c r="K82" i="1"/>
  <c r="K81" i="1"/>
  <c r="K68" i="1"/>
  <c r="K69" i="1"/>
  <c r="K71" i="1"/>
  <c r="K70" i="1"/>
  <c r="K74" i="1"/>
  <c r="K72" i="1"/>
  <c r="K87" i="1"/>
  <c r="K86" i="1"/>
  <c r="K88" i="1"/>
  <c r="K89" i="1"/>
  <c r="K90" i="1"/>
  <c r="K91" i="1"/>
  <c r="K92" i="1"/>
  <c r="K93" i="1"/>
  <c r="K95" i="1"/>
  <c r="K96" i="1"/>
  <c r="K94" i="1"/>
  <c r="K98" i="1"/>
  <c r="K99" i="1"/>
  <c r="K97" i="1"/>
  <c r="K100" i="1"/>
  <c r="K177" i="1"/>
  <c r="K179" i="1"/>
  <c r="K178" i="1"/>
  <c r="K39" i="1"/>
  <c r="K40" i="1"/>
  <c r="K41" i="1"/>
  <c r="K42" i="1"/>
  <c r="K43" i="1"/>
  <c r="K44" i="1"/>
  <c r="K103" i="1"/>
  <c r="K110" i="1"/>
  <c r="K109" i="1"/>
  <c r="K111" i="1"/>
  <c r="K112" i="1"/>
  <c r="K113" i="1"/>
  <c r="K114" i="1"/>
  <c r="K115" i="1"/>
  <c r="K104" i="1"/>
  <c r="K105" i="1"/>
  <c r="K106" i="1"/>
  <c r="K102" i="1"/>
  <c r="K101" i="1"/>
  <c r="K107" i="1"/>
  <c r="K108" i="1"/>
  <c r="K185" i="1"/>
  <c r="K182" i="1"/>
  <c r="K183" i="1"/>
  <c r="K184" i="1"/>
  <c r="K180" i="1"/>
  <c r="K181" i="1"/>
  <c r="K45" i="1"/>
  <c r="K46" i="1"/>
  <c r="K47" i="1"/>
  <c r="K48" i="1"/>
  <c r="K49" i="1"/>
  <c r="K50" i="1"/>
  <c r="K140" i="1"/>
  <c r="K150" i="1"/>
  <c r="K149" i="1"/>
  <c r="K148" i="1"/>
  <c r="K151" i="1"/>
  <c r="K152" i="1"/>
  <c r="K153" i="1"/>
  <c r="K154" i="1"/>
  <c r="K155" i="1"/>
  <c r="K156" i="1"/>
  <c r="K157" i="1"/>
  <c r="K145" i="1"/>
  <c r="K147" i="1"/>
  <c r="K143" i="1"/>
  <c r="K144" i="1"/>
  <c r="K146" i="1"/>
  <c r="K142" i="1"/>
  <c r="K141" i="1"/>
  <c r="K199" i="1"/>
  <c r="K200" i="1"/>
  <c r="K195" i="1"/>
  <c r="K197" i="1"/>
  <c r="K196" i="1"/>
  <c r="K198" i="1"/>
  <c r="K24" i="1"/>
  <c r="K31" i="1"/>
  <c r="K32" i="1"/>
  <c r="K33" i="1"/>
  <c r="K34" i="1"/>
  <c r="K35" i="1"/>
  <c r="K36" i="1"/>
  <c r="K37" i="1"/>
  <c r="K38" i="1"/>
  <c r="K25" i="1"/>
  <c r="K26" i="1"/>
  <c r="K27" i="1"/>
  <c r="K28" i="1"/>
  <c r="K29" i="1"/>
  <c r="K30" i="1"/>
  <c r="K116" i="1"/>
  <c r="K119" i="1"/>
  <c r="K120" i="1"/>
  <c r="K137" i="1"/>
  <c r="K138" i="1"/>
  <c r="K139" i="1"/>
  <c r="K117" i="1"/>
  <c r="K118" i="1"/>
  <c r="K186" i="1"/>
  <c r="K51" i="1"/>
</calcChain>
</file>

<file path=xl/sharedStrings.xml><?xml version="1.0" encoding="utf-8"?>
<sst xmlns="http://schemas.openxmlformats.org/spreadsheetml/2006/main" count="3929" uniqueCount="237">
  <si>
    <t>Plot</t>
  </si>
  <si>
    <t>Species</t>
  </si>
  <si>
    <t>Tree ID</t>
  </si>
  <si>
    <t>DBH</t>
  </si>
  <si>
    <t>Notes</t>
  </si>
  <si>
    <t>ACRU</t>
  </si>
  <si>
    <t>RM1</t>
  </si>
  <si>
    <t>RM2</t>
  </si>
  <si>
    <t>RM3</t>
  </si>
  <si>
    <t>RM4</t>
  </si>
  <si>
    <t>RM5</t>
  </si>
  <si>
    <t>RM6</t>
  </si>
  <si>
    <t>RM7</t>
  </si>
  <si>
    <t>RM8</t>
  </si>
  <si>
    <t>RM9</t>
  </si>
  <si>
    <t>RM10</t>
  </si>
  <si>
    <t>RM11</t>
  </si>
  <si>
    <t>RM12</t>
  </si>
  <si>
    <t>RM13</t>
  </si>
  <si>
    <t>RM14</t>
  </si>
  <si>
    <t>RM16</t>
  </si>
  <si>
    <t>Ridge</t>
  </si>
  <si>
    <t>QURU</t>
  </si>
  <si>
    <t>RO1</t>
  </si>
  <si>
    <t>RO2</t>
  </si>
  <si>
    <t>RO3</t>
  </si>
  <si>
    <t>RO4</t>
  </si>
  <si>
    <t>RO5</t>
  </si>
  <si>
    <t>RO6</t>
  </si>
  <si>
    <t>RO9</t>
  </si>
  <si>
    <t>RO7</t>
  </si>
  <si>
    <t>RO8</t>
  </si>
  <si>
    <t>RO10</t>
  </si>
  <si>
    <t>RO11</t>
  </si>
  <si>
    <t>RO12</t>
  </si>
  <si>
    <t>RO13</t>
  </si>
  <si>
    <t>RO14</t>
  </si>
  <si>
    <t>RO15</t>
  </si>
  <si>
    <t>RO16</t>
  </si>
  <si>
    <t>RO17</t>
  </si>
  <si>
    <t>RO18</t>
  </si>
  <si>
    <t>ACSA</t>
  </si>
  <si>
    <t>SM1</t>
  </si>
  <si>
    <t>SM2</t>
  </si>
  <si>
    <t>SM3</t>
  </si>
  <si>
    <t>SM4</t>
  </si>
  <si>
    <t>SM5</t>
  </si>
  <si>
    <t>SM6</t>
  </si>
  <si>
    <t>SM7</t>
  </si>
  <si>
    <t>SM8</t>
  </si>
  <si>
    <t>SM9</t>
  </si>
  <si>
    <t>SM10</t>
  </si>
  <si>
    <t>SM11</t>
  </si>
  <si>
    <t>SM12</t>
  </si>
  <si>
    <t>SM13</t>
  </si>
  <si>
    <t>SM14</t>
  </si>
  <si>
    <t>SM15</t>
  </si>
  <si>
    <t>Untagged</t>
  </si>
  <si>
    <t>Stream</t>
  </si>
  <si>
    <t>Lowland</t>
  </si>
  <si>
    <t>Hollow trunk</t>
  </si>
  <si>
    <t>Surrounded by pine saplings</t>
  </si>
  <si>
    <t>Lab</t>
  </si>
  <si>
    <t>SMR1</t>
  </si>
  <si>
    <t>BELE</t>
  </si>
  <si>
    <t>BBX1</t>
  </si>
  <si>
    <t>BBX2</t>
  </si>
  <si>
    <t>BBX3</t>
  </si>
  <si>
    <t>BBX4</t>
  </si>
  <si>
    <t>BBX6</t>
  </si>
  <si>
    <t>BBX7</t>
  </si>
  <si>
    <t>BB1</t>
  </si>
  <si>
    <t>BB2</t>
  </si>
  <si>
    <t>BB4</t>
  </si>
  <si>
    <t>BB6</t>
  </si>
  <si>
    <t>BB8</t>
  </si>
  <si>
    <t>BB7</t>
  </si>
  <si>
    <t>BB9</t>
  </si>
  <si>
    <t>BB5</t>
  </si>
  <si>
    <t>BB10</t>
  </si>
  <si>
    <t>BB10'</t>
  </si>
  <si>
    <t>BB11</t>
  </si>
  <si>
    <t>BB12</t>
  </si>
  <si>
    <t>BB13</t>
  </si>
  <si>
    <t>BB14</t>
  </si>
  <si>
    <t>BB16</t>
  </si>
  <si>
    <t>BB16'</t>
  </si>
  <si>
    <t>BEAL</t>
  </si>
  <si>
    <t>YBX1</t>
  </si>
  <si>
    <t>YB16</t>
  </si>
  <si>
    <t>YB2</t>
  </si>
  <si>
    <t>YB3</t>
  </si>
  <si>
    <t>YB4</t>
  </si>
  <si>
    <t>YB5</t>
  </si>
  <si>
    <t>YB6</t>
  </si>
  <si>
    <t>YB7</t>
  </si>
  <si>
    <t>YB9</t>
  </si>
  <si>
    <t>YB8</t>
  </si>
  <si>
    <t>YB10</t>
  </si>
  <si>
    <t>YB13</t>
  </si>
  <si>
    <t>YB1</t>
  </si>
  <si>
    <t>YB14</t>
  </si>
  <si>
    <t>YB11</t>
  </si>
  <si>
    <t>By river</t>
  </si>
  <si>
    <t>YB15</t>
  </si>
  <si>
    <t>BEPA</t>
  </si>
  <si>
    <t>PB2</t>
  </si>
  <si>
    <t>PB1</t>
  </si>
  <si>
    <t>PB3</t>
  </si>
  <si>
    <t>PB4</t>
  </si>
  <si>
    <t>PB5</t>
  </si>
  <si>
    <t>AB1</t>
  </si>
  <si>
    <t>FAGR</t>
  </si>
  <si>
    <t>AB2</t>
  </si>
  <si>
    <t>AB3</t>
  </si>
  <si>
    <t>AB4</t>
  </si>
  <si>
    <t>AB4/6</t>
  </si>
  <si>
    <t>AB3/5</t>
  </si>
  <si>
    <t>AB5</t>
  </si>
  <si>
    <t>AB8</t>
  </si>
  <si>
    <t>AB10</t>
  </si>
  <si>
    <t>AB6</t>
  </si>
  <si>
    <t>AB6'</t>
  </si>
  <si>
    <t>AB9</t>
  </si>
  <si>
    <t>AB11</t>
  </si>
  <si>
    <t>Fix label</t>
  </si>
  <si>
    <t>BBD cankers</t>
  </si>
  <si>
    <t>Bark stripped by beavers</t>
  </si>
  <si>
    <t>Cankers</t>
  </si>
  <si>
    <t>WPX1</t>
  </si>
  <si>
    <t>WPX3</t>
  </si>
  <si>
    <t>WPX4</t>
  </si>
  <si>
    <t>WPX5</t>
  </si>
  <si>
    <t>WPX6</t>
  </si>
  <si>
    <t>WP2</t>
  </si>
  <si>
    <t>WPX2</t>
  </si>
  <si>
    <t>PIST</t>
  </si>
  <si>
    <t>WP1</t>
  </si>
  <si>
    <t>WP3</t>
  </si>
  <si>
    <t>WP4</t>
  </si>
  <si>
    <t>WP5</t>
  </si>
  <si>
    <t>WP6</t>
  </si>
  <si>
    <t>WP7</t>
  </si>
  <si>
    <t>WP9</t>
  </si>
  <si>
    <t>WP10</t>
  </si>
  <si>
    <t>WP11</t>
  </si>
  <si>
    <t>WP12</t>
  </si>
  <si>
    <t>WP13</t>
  </si>
  <si>
    <t>WP14</t>
  </si>
  <si>
    <t>By beaver pond</t>
  </si>
  <si>
    <t>By river past dam</t>
  </si>
  <si>
    <t>TSCA</t>
  </si>
  <si>
    <t>HX1</t>
  </si>
  <si>
    <t>HX2</t>
  </si>
  <si>
    <t>HX3</t>
  </si>
  <si>
    <t>HX4</t>
  </si>
  <si>
    <t>HX5</t>
  </si>
  <si>
    <t>HX6</t>
  </si>
  <si>
    <t>H1</t>
  </si>
  <si>
    <t>H4</t>
  </si>
  <si>
    <t>H3</t>
  </si>
  <si>
    <t>H2</t>
  </si>
  <si>
    <t>H5</t>
  </si>
  <si>
    <t>H6</t>
  </si>
  <si>
    <t>H7</t>
  </si>
  <si>
    <t>H8</t>
  </si>
  <si>
    <t>H9</t>
  </si>
  <si>
    <t>H14</t>
  </si>
  <si>
    <t>H15</t>
  </si>
  <si>
    <t>H12</t>
  </si>
  <si>
    <t>H12'</t>
  </si>
  <si>
    <t>H11</t>
  </si>
  <si>
    <t>H10</t>
  </si>
  <si>
    <t>FRAM</t>
  </si>
  <si>
    <t>WA1</t>
  </si>
  <si>
    <t>WA2</t>
  </si>
  <si>
    <t>WA3</t>
  </si>
  <si>
    <t>WA4</t>
  </si>
  <si>
    <t>WA5</t>
  </si>
  <si>
    <t>WA6</t>
  </si>
  <si>
    <t>WA7</t>
  </si>
  <si>
    <t>WA8</t>
  </si>
  <si>
    <t>WA9</t>
  </si>
  <si>
    <t>WA10</t>
  </si>
  <si>
    <t>WA11</t>
  </si>
  <si>
    <t>WA12</t>
  </si>
  <si>
    <t>WA13</t>
  </si>
  <si>
    <t>WA14</t>
  </si>
  <si>
    <t>WA15</t>
  </si>
  <si>
    <t>PRSE</t>
  </si>
  <si>
    <t>QUAL</t>
  </si>
  <si>
    <t>QUVE</t>
  </si>
  <si>
    <t>BC1</t>
  </si>
  <si>
    <t>BO1</t>
  </si>
  <si>
    <t>WO2</t>
  </si>
  <si>
    <t>BO2</t>
  </si>
  <si>
    <t>BO3</t>
  </si>
  <si>
    <t>WO1</t>
  </si>
  <si>
    <t>BC4</t>
  </si>
  <si>
    <t>BC5</t>
  </si>
  <si>
    <t>BC2</t>
  </si>
  <si>
    <t>NA</t>
  </si>
  <si>
    <t>Row Labels</t>
  </si>
  <si>
    <t>Grand Total</t>
  </si>
  <si>
    <t>Column Labels</t>
  </si>
  <si>
    <t>Count of DBH</t>
  </si>
  <si>
    <t>Label_O</t>
  </si>
  <si>
    <t>Label_A</t>
  </si>
  <si>
    <t>Date collected</t>
  </si>
  <si>
    <t>Time collected</t>
  </si>
  <si>
    <t>Initials (collection)</t>
  </si>
  <si>
    <t>Weather</t>
  </si>
  <si>
    <t>Corer (A/B)</t>
  </si>
  <si>
    <t>Organic Sample Depth (cm)</t>
  </si>
  <si>
    <t>Mineral Sample Depth (cm)</t>
  </si>
  <si>
    <t>Distance from Stem (cm)</t>
  </si>
  <si>
    <t>Cardinal Direction (N/E/S/W)</t>
  </si>
  <si>
    <t>Soil Temperature (ºC)</t>
  </si>
  <si>
    <t>VWC (%)</t>
  </si>
  <si>
    <t>N</t>
  </si>
  <si>
    <t>E</t>
  </si>
  <si>
    <t>S</t>
  </si>
  <si>
    <t>W</t>
  </si>
  <si>
    <t>Exclude</t>
  </si>
  <si>
    <t>Yes</t>
  </si>
  <si>
    <t>No</t>
  </si>
  <si>
    <t>Include</t>
  </si>
  <si>
    <t>Total Hole depth (cm)</t>
  </si>
  <si>
    <t>New ID</t>
  </si>
  <si>
    <t>Lat</t>
  </si>
  <si>
    <t>Long</t>
  </si>
  <si>
    <t>MethaneTraits Core Label</t>
  </si>
  <si>
    <t>Molecular Core Label</t>
  </si>
  <si>
    <t>Organic Molecular Soil Label</t>
  </si>
  <si>
    <t>Mineral Molecular Soil Label</t>
  </si>
  <si>
    <t>Exetainer 1 Label</t>
  </si>
  <si>
    <t>Exetainer 2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</si>
</sst>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3" fillId="0" borderId="1" xfId="0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0" fillId="0" borderId="1" xfId="0" applyFont="1" applyBorder="1" applyAlignment="1"/>
    <xf numFmtId="0" fontId="3" fillId="2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83.798904050927" createdVersion="6" refreshedVersion="6" minRefreshableVersion="3" recordCount="199" xr:uid="{BD02D5A9-FCDF-F141-99A6-87EE743B1B72}">
  <cacheSource type="worksheet">
    <worksheetSource ref="A1:L200" sheet="Trees_DBH"/>
  </cacheSource>
  <cacheFields count="7">
    <cacheField name="Plot" numFmtId="0">
      <sharedItems count="3">
        <s v="Lowland"/>
        <s v="Ridge"/>
        <s v="Lab"/>
      </sharedItems>
    </cacheField>
    <cacheField name="Species" numFmtId="0">
      <sharedItems count="13">
        <s v="ACRU"/>
        <s v="QURU"/>
        <s v="ACSA"/>
        <s v="BELE"/>
        <s v="BEAL"/>
        <s v="BEPA"/>
        <s v="FAGR"/>
        <s v="PIST"/>
        <s v="TSCA"/>
        <s v="FRAM"/>
        <s v="PRSE"/>
        <s v="QUAL"/>
        <s v="QUVE"/>
      </sharedItems>
    </cacheField>
    <cacheField name="Tree ID" numFmtId="0">
      <sharedItems/>
    </cacheField>
    <cacheField name="DBH" numFmtId="0">
      <sharedItems containsMixedTypes="1" containsNumber="1" minValue="20" maxValue="96" count="72">
        <n v="38"/>
        <n v="37.5"/>
        <n v="39"/>
        <n v="33"/>
        <n v="41"/>
        <n v="28"/>
        <n v="30.5"/>
        <n v="24"/>
        <n v="29.5"/>
        <n v="40.5"/>
        <n v="27"/>
        <n v="26.5"/>
        <n v="33.5"/>
        <n v="22"/>
        <n v="21"/>
        <n v="23.5"/>
        <n v="29"/>
        <n v="55"/>
        <n v="32.5"/>
        <n v="48"/>
        <n v="54.5"/>
        <n v="47"/>
        <n v="34.5"/>
        <n v="44"/>
        <n v="41.5"/>
        <n v="37"/>
        <n v="36.5"/>
        <n v="35"/>
        <n v="42"/>
        <n v="42.5"/>
        <n v="50.5"/>
        <n v="35.5"/>
        <n v="45"/>
        <n v="27.5"/>
        <n v="43"/>
        <n v="26"/>
        <n v="30"/>
        <n v="25.5"/>
        <n v="31.5"/>
        <n v="32"/>
        <n v="22.5"/>
        <n v="20.5"/>
        <n v="21.5"/>
        <n v="34"/>
        <n v="28.5"/>
        <n v="31"/>
        <n v="24.5"/>
        <n v="25"/>
        <n v="20"/>
        <n v="23"/>
        <n v="43.5"/>
        <n v="38.5"/>
        <n v="66"/>
        <n v="96"/>
        <n v="72"/>
        <n v="70"/>
        <n v="58.5"/>
        <n v="69.5"/>
        <n v="48.5"/>
        <n v="52.5"/>
        <n v="64"/>
        <n v="68.5"/>
        <n v="46"/>
        <n v="47.5"/>
        <n v="33.799999999999997"/>
        <n v="59.5"/>
        <n v="49"/>
        <n v="36"/>
        <n v="68"/>
        <n v="40"/>
        <n v="58"/>
        <s v="NA"/>
      </sharedItems>
    </cacheField>
    <cacheField name="Notes" numFmtId="0">
      <sharedItems containsBlank="1"/>
    </cacheField>
    <cacheField name="Label_O" numFmtId="0">
      <sharedItems/>
    </cacheField>
    <cacheField name="Label_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  <s v="RM1"/>
    <x v="0"/>
    <m/>
    <s v="JDG_Methane_YMF_x000a_Lowland_ACRU_RM1_x000a_Organic Soil - July 2021"/>
    <s v="JDG_Methane_YMF_x000a_Lowland_ACRU_RM1_x000a_Mineral Soil - July 2021"/>
  </r>
  <r>
    <x v="0"/>
    <x v="0"/>
    <s v="RM2"/>
    <x v="0"/>
    <m/>
    <s v="JDG_Methane_YMF_x000a_Lowland_ACRU_RM2_x000a_Organic Soil - July 2021"/>
    <s v="JDG_Methane_YMF_x000a_Lowland_ACRU_RM2_x000a_Mineral Soil - July 2021"/>
  </r>
  <r>
    <x v="0"/>
    <x v="0"/>
    <s v="RM3"/>
    <x v="1"/>
    <m/>
    <s v="JDG_Methane_YMF_x000a_Lowland_ACRU_RM3_x000a_Organic Soil - July 2021"/>
    <s v="JDG_Methane_YMF_x000a_Lowland_ACRU_RM3_x000a_Mineral Soil - July 2021"/>
  </r>
  <r>
    <x v="0"/>
    <x v="0"/>
    <s v="RM4"/>
    <x v="2"/>
    <m/>
    <s v="JDG_Methane_YMF_x000a_Lowland_ACRU_RM4_x000a_Organic Soil - July 2021"/>
    <s v="JDG_Methane_YMF_x000a_Lowland_ACRU_RM4_x000a_Mineral Soil - July 2021"/>
  </r>
  <r>
    <x v="0"/>
    <x v="0"/>
    <s v="RM5"/>
    <x v="3"/>
    <m/>
    <s v="JDG_Methane_YMF_x000a_Lowland_ACRU_RM5_x000a_Organic Soil - July 2021"/>
    <s v="JDG_Methane_YMF_x000a_Lowland_ACRU_RM5_x000a_Mineral Soil - July 2021"/>
  </r>
  <r>
    <x v="0"/>
    <x v="0"/>
    <s v="RM6"/>
    <x v="4"/>
    <m/>
    <s v="JDG_Methane_YMF_x000a_Lowland_ACRU_RM6_x000a_Organic Soil - July 2021"/>
    <s v="JDG_Methane_YMF_x000a_Lowland_ACRU_RM6_x000a_Mineral Soil - July 2021"/>
  </r>
  <r>
    <x v="0"/>
    <x v="0"/>
    <s v="RM7"/>
    <x v="5"/>
    <m/>
    <s v="JDG_Methane_YMF_x000a_Lowland_ACRU_RM7_x000a_Organic Soil - July 2021"/>
    <s v="JDG_Methane_YMF_x000a_Lowland_ACRU_RM7_x000a_Mineral Soil - July 2021"/>
  </r>
  <r>
    <x v="0"/>
    <x v="0"/>
    <s v="RM8"/>
    <x v="6"/>
    <m/>
    <s v="JDG_Methane_YMF_x000a_Lowland_ACRU_RM8_x000a_Organic Soil - July 2021"/>
    <s v="JDG_Methane_YMF_x000a_Lowland_ACRU_RM8_x000a_Mineral Soil - July 2021"/>
  </r>
  <r>
    <x v="0"/>
    <x v="0"/>
    <s v="RM9"/>
    <x v="7"/>
    <m/>
    <s v="JDG_Methane_YMF_x000a_Lowland_ACRU_RM9_x000a_Organic Soil - July 2021"/>
    <s v="JDG_Methane_YMF_x000a_Lowland_ACRU_RM9_x000a_Mineral Soil - July 2021"/>
  </r>
  <r>
    <x v="0"/>
    <x v="0"/>
    <s v="RM10"/>
    <x v="8"/>
    <m/>
    <s v="JDG_Methane_YMF_x000a_Lowland_ACRU_RM10_x000a_Organic Soil - July 2021"/>
    <s v="JDG_Methane_YMF_x000a_Lowland_ACRU_RM10_x000a_Mineral Soil - July 2021"/>
  </r>
  <r>
    <x v="0"/>
    <x v="0"/>
    <s v="RM11"/>
    <x v="9"/>
    <m/>
    <s v="JDG_Methane_YMF_x000a_Lowland_ACRU_RM11_x000a_Organic Soil - July 2021"/>
    <s v="JDG_Methane_YMF_x000a_Lowland_ACRU_RM11_x000a_Mineral Soil - July 2021"/>
  </r>
  <r>
    <x v="0"/>
    <x v="0"/>
    <s v="RM12"/>
    <x v="10"/>
    <m/>
    <s v="JDG_Methane_YMF_x000a_Lowland_ACRU_RM12_x000a_Organic Soil - July 2021"/>
    <s v="JDG_Methane_YMF_x000a_Lowland_ACRU_RM12_x000a_Mineral Soil - July 2021"/>
  </r>
  <r>
    <x v="0"/>
    <x v="0"/>
    <s v="RM13"/>
    <x v="11"/>
    <m/>
    <s v="JDG_Methane_YMF_x000a_Lowland_ACRU_RM13_x000a_Organic Soil - July 2021"/>
    <s v="JDG_Methane_YMF_x000a_Lowland_ACRU_RM13_x000a_Mineral Soil - July 2021"/>
  </r>
  <r>
    <x v="0"/>
    <x v="0"/>
    <s v="RM16"/>
    <x v="12"/>
    <m/>
    <s v="JDG_Methane_YMF_x000a_Lowland_ACRU_RM16_x000a_Organic Soil - July 2021"/>
    <s v="JDG_Methane_YMF_x000a_Lowland_ACRU_RM16_x000a_Mineral Soil - July 2021"/>
  </r>
  <r>
    <x v="0"/>
    <x v="0"/>
    <s v="RM14"/>
    <x v="10"/>
    <m/>
    <s v="JDG_Methane_YMF_x000a_Lowland_ACRU_RM14_x000a_Organic Soil - July 2021"/>
    <s v="JDG_Methane_YMF_x000a_Lowland_ACRU_RM14_x000a_Mineral Soil - July 2021"/>
  </r>
  <r>
    <x v="0"/>
    <x v="0"/>
    <s v="Untagged"/>
    <x v="13"/>
    <s v="Stream"/>
    <s v="JDG_Methane_YMF_x000a_Lowland_ACRU_Untagged_x000a_Organic Soil - July 2021"/>
    <s v="JDG_Methane_YMF_x000a_Lowland_ACRU_Untagged_x000a_Mineral Soil - July 2021"/>
  </r>
  <r>
    <x v="1"/>
    <x v="0"/>
    <s v="Untagged"/>
    <x v="14"/>
    <m/>
    <s v="JDG_Methane_YMF_x000a_Ridge_ACRU_Untagged_x000a_Organic Soil - July 2021"/>
    <s v="JDG_Methane_YMF_x000a_Ridge_ACRU_Untagged_x000a_Mineral Soil - July 2021"/>
  </r>
  <r>
    <x v="1"/>
    <x v="0"/>
    <s v="Untagged"/>
    <x v="5"/>
    <m/>
    <s v="JDG_Methane_YMF_x000a_Ridge_ACRU_Untagged_x000a_Organic Soil - July 2021"/>
    <s v="JDG_Methane_YMF_x000a_Ridge_ACRU_Untagged_x000a_Mineral Soil - July 2021"/>
  </r>
  <r>
    <x v="1"/>
    <x v="0"/>
    <s v="Untagged"/>
    <x v="15"/>
    <m/>
    <s v="JDG_Methane_YMF_x000a_Ridge_ACRU_Untagged_x000a_Organic Soil - July 2021"/>
    <s v="JDG_Methane_YMF_x000a_Ridge_ACRU_Untagged_x000a_Mineral Soil - July 2021"/>
  </r>
  <r>
    <x v="1"/>
    <x v="0"/>
    <s v="Untagged"/>
    <x v="7"/>
    <m/>
    <s v="JDG_Methane_YMF_x000a_Ridge_ACRU_Untagged_x000a_Organic Soil - July 2021"/>
    <s v="JDG_Methane_YMF_x000a_Ridge_ACRU_Untagged_x000a_Mineral Soil - July 2021"/>
  </r>
  <r>
    <x v="1"/>
    <x v="0"/>
    <s v="Untagged"/>
    <x v="16"/>
    <m/>
    <s v="JDG_Methane_YMF_x000a_Ridge_ACRU_Untagged_x000a_Organic Soil - July 2021"/>
    <s v="JDG_Methane_YMF_x000a_Ridge_ACRU_Untagged_x000a_Mineral Soil - July 2021"/>
  </r>
  <r>
    <x v="0"/>
    <x v="1"/>
    <s v="RO1"/>
    <x v="17"/>
    <m/>
    <s v="JDG_Methane_YMF_x000a_Lowland_QURU_RO1_x000a_Organic Soil - July 2021"/>
    <s v="JDG_Methane_YMF_x000a_Lowland_QURU_RO1_x000a_Mineral Soil - July 2021"/>
  </r>
  <r>
    <x v="0"/>
    <x v="1"/>
    <s v="RO2"/>
    <x v="18"/>
    <m/>
    <s v="JDG_Methane_YMF_x000a_Lowland_QURU_RO2_x000a_Organic Soil - July 2021"/>
    <s v="JDG_Methane_YMF_x000a_Lowland_QURU_RO2_x000a_Mineral Soil - July 2021"/>
  </r>
  <r>
    <x v="0"/>
    <x v="1"/>
    <s v="RO3"/>
    <x v="19"/>
    <s v="Hollow trunk"/>
    <s v="JDG_Methane_YMF_x000a_Lowland_QURU_RO3_x000a_Organic Soil - July 2021"/>
    <s v="JDG_Methane_YMF_x000a_Lowland_QURU_RO3_x000a_Mineral Soil - July 2021"/>
  </r>
  <r>
    <x v="0"/>
    <x v="1"/>
    <s v="RO4"/>
    <x v="4"/>
    <m/>
    <s v="JDG_Methane_YMF_x000a_Lowland_QURU_RO4_x000a_Organic Soil - July 2021"/>
    <s v="JDG_Methane_YMF_x000a_Lowland_QURU_RO4_x000a_Mineral Soil - July 2021"/>
  </r>
  <r>
    <x v="0"/>
    <x v="1"/>
    <s v="RO5"/>
    <x v="9"/>
    <m/>
    <s v="JDG_Methane_YMF_x000a_Lowland_QURU_RO5_x000a_Organic Soil - July 2021"/>
    <s v="JDG_Methane_YMF_x000a_Lowland_QURU_RO5_x000a_Mineral Soil - July 2021"/>
  </r>
  <r>
    <x v="0"/>
    <x v="1"/>
    <s v="RO6"/>
    <x v="20"/>
    <m/>
    <s v="JDG_Methane_YMF_x000a_Lowland_QURU_RO6_x000a_Organic Soil - July 2021"/>
    <s v="JDG_Methane_YMF_x000a_Lowland_QURU_RO6_x000a_Mineral Soil - July 2021"/>
  </r>
  <r>
    <x v="0"/>
    <x v="1"/>
    <s v="RO9"/>
    <x v="21"/>
    <m/>
    <s v="JDG_Methane_YMF_x000a_Lowland_QURU_RO9_x000a_Organic Soil - July 2021"/>
    <s v="JDG_Methane_YMF_x000a_Lowland_QURU_RO9_x000a_Mineral Soil - July 2021"/>
  </r>
  <r>
    <x v="0"/>
    <x v="1"/>
    <s v="RO7"/>
    <x v="12"/>
    <m/>
    <s v="JDG_Methane_YMF_x000a_Lowland_QURU_RO7_x000a_Organic Soil - July 2021"/>
    <s v="JDG_Methane_YMF_x000a_Lowland_QURU_RO7_x000a_Mineral Soil - July 2021"/>
  </r>
  <r>
    <x v="0"/>
    <x v="1"/>
    <s v="RO8"/>
    <x v="2"/>
    <m/>
    <s v="JDG_Methane_YMF_x000a_Lowland_QURU_RO8_x000a_Organic Soil - July 2021"/>
    <s v="JDG_Methane_YMF_x000a_Lowland_QURU_RO8_x000a_Mineral Soil - July 2021"/>
  </r>
  <r>
    <x v="0"/>
    <x v="1"/>
    <s v="RO10"/>
    <x v="22"/>
    <s v="Surrounded by pine saplings"/>
    <s v="JDG_Methane_YMF_x000a_Lowland_QURU_RO10_x000a_Organic Soil - July 2021"/>
    <s v="JDG_Methane_YMF_x000a_Lowland_QURU_RO10_x000a_Mineral Soil - July 2021"/>
  </r>
  <r>
    <x v="0"/>
    <x v="1"/>
    <s v="RO11"/>
    <x v="23"/>
    <m/>
    <s v="JDG_Methane_YMF_x000a_Lowland_QURU_RO11_x000a_Organic Soil - July 2021"/>
    <s v="JDG_Methane_YMF_x000a_Lowland_QURU_RO11_x000a_Mineral Soil - July 2021"/>
  </r>
  <r>
    <x v="0"/>
    <x v="1"/>
    <s v="RO12"/>
    <x v="23"/>
    <m/>
    <s v="JDG_Methane_YMF_x000a_Lowland_QURU_RO12_x000a_Organic Soil - July 2021"/>
    <s v="JDG_Methane_YMF_x000a_Lowland_QURU_RO12_x000a_Mineral Soil - July 2021"/>
  </r>
  <r>
    <x v="0"/>
    <x v="1"/>
    <s v="RO13"/>
    <x v="24"/>
    <m/>
    <s v="JDG_Methane_YMF_x000a_Lowland_QURU_RO13_x000a_Organic Soil - July 2021"/>
    <s v="JDG_Methane_YMF_x000a_Lowland_QURU_RO13_x000a_Mineral Soil - July 2021"/>
  </r>
  <r>
    <x v="0"/>
    <x v="1"/>
    <s v="RO14"/>
    <x v="25"/>
    <m/>
    <s v="JDG_Methane_YMF_x000a_Lowland_QURU_RO14_x000a_Organic Soil - July 2021"/>
    <s v="JDG_Methane_YMF_x000a_Lowland_QURU_RO14_x000a_Mineral Soil - July 2021"/>
  </r>
  <r>
    <x v="0"/>
    <x v="1"/>
    <s v="RO15"/>
    <x v="26"/>
    <m/>
    <s v="JDG_Methane_YMF_x000a_Lowland_QURU_RO15_x000a_Organic Soil - July 2021"/>
    <s v="JDG_Methane_YMF_x000a_Lowland_QURU_RO15_x000a_Mineral Soil - July 2021"/>
  </r>
  <r>
    <x v="0"/>
    <x v="1"/>
    <s v="RO16"/>
    <x v="22"/>
    <m/>
    <s v="JDG_Methane_YMF_x000a_Lowland_QURU_RO16_x000a_Organic Soil - July 2021"/>
    <s v="JDG_Methane_YMF_x000a_Lowland_QURU_RO16_x000a_Mineral Soil - July 2021"/>
  </r>
  <r>
    <x v="1"/>
    <x v="1"/>
    <s v="RO17"/>
    <x v="27"/>
    <m/>
    <s v="JDG_Methane_YMF_x000a_Ridge_QURU_RO17_x000a_Organic Soil - July 2021"/>
    <s v="JDG_Methane_YMF_x000a_Ridge_QURU_RO17_x000a_Mineral Soil - July 2021"/>
  </r>
  <r>
    <x v="1"/>
    <x v="1"/>
    <s v="RO18"/>
    <x v="28"/>
    <m/>
    <s v="JDG_Methane_YMF_x000a_Ridge_QURU_RO18_x000a_Organic Soil - July 2021"/>
    <s v="JDG_Methane_YMF_x000a_Ridge_QURU_RO18_x000a_Mineral Soil - July 2021"/>
  </r>
  <r>
    <x v="1"/>
    <x v="1"/>
    <s v="Untagged"/>
    <x v="24"/>
    <m/>
    <s v="JDG_Methane_YMF_x000a_Ridge_QURU_Untagged_x000a_Organic Soil - July 2021"/>
    <s v="JDG_Methane_YMF_x000a_Ridge_QURU_Untagged_x000a_Mineral Soil - July 2021"/>
  </r>
  <r>
    <x v="1"/>
    <x v="1"/>
    <s v="Untagged"/>
    <x v="29"/>
    <m/>
    <s v="JDG_Methane_YMF_x000a_Ridge_QURU_Untagged_x000a_Organic Soil - July 2021"/>
    <s v="JDG_Methane_YMF_x000a_Ridge_QURU_Untagged_x000a_Mineral Soil - July 2021"/>
  </r>
  <r>
    <x v="1"/>
    <x v="1"/>
    <s v="Untagged"/>
    <x v="30"/>
    <m/>
    <s v="JDG_Methane_YMF_x000a_Ridge_QURU_Untagged_x000a_Organic Soil - July 2021"/>
    <s v="JDG_Methane_YMF_x000a_Ridge_QURU_Untagged_x000a_Mineral Soil - July 2021"/>
  </r>
  <r>
    <x v="1"/>
    <x v="1"/>
    <s v="Untagged"/>
    <x v="31"/>
    <m/>
    <s v="JDG_Methane_YMF_x000a_Ridge_QURU_Untagged_x000a_Organic Soil - July 2021"/>
    <s v="JDG_Methane_YMF_x000a_Ridge_QURU_Untagged_x000a_Mineral Soil - July 2021"/>
  </r>
  <r>
    <x v="1"/>
    <x v="1"/>
    <s v="Untagged"/>
    <x v="10"/>
    <m/>
    <s v="JDG_Methane_YMF_x000a_Ridge_QURU_Untagged_x000a_Organic Soil - July 2021"/>
    <s v="JDG_Methane_YMF_x000a_Ridge_QURU_Untagged_x000a_Mineral Soil - July 2021"/>
  </r>
  <r>
    <x v="1"/>
    <x v="1"/>
    <s v="Untagged"/>
    <x v="32"/>
    <m/>
    <s v="JDG_Methane_YMF_x000a_Ridge_QURU_Untagged_x000a_Organic Soil - July 2021"/>
    <s v="JDG_Methane_YMF_x000a_Ridge_QURU_Untagged_x000a_Mineral Soil - July 2021"/>
  </r>
  <r>
    <x v="2"/>
    <x v="2"/>
    <s v="SM1"/>
    <x v="10"/>
    <m/>
    <s v="JDG_Methane_YMF_x000a_Lab_ACSA_SM1_x000a_Organic Soil - July 2021"/>
    <s v="JDG_Methane_YMF_x000a_Lab_ACSA_SM1_x000a_Mineral Soil - July 2021"/>
  </r>
  <r>
    <x v="2"/>
    <x v="2"/>
    <s v="SM2"/>
    <x v="25"/>
    <m/>
    <s v="JDG_Methane_YMF_x000a_Lab_ACSA_SM2_x000a_Organic Soil - July 2021"/>
    <s v="JDG_Methane_YMF_x000a_Lab_ACSA_SM2_x000a_Mineral Soil - July 2021"/>
  </r>
  <r>
    <x v="2"/>
    <x v="2"/>
    <s v="SM3"/>
    <x v="33"/>
    <m/>
    <s v="JDG_Methane_YMF_x000a_Lab_ACSA_SM3_x000a_Organic Soil - July 2021"/>
    <s v="JDG_Methane_YMF_x000a_Lab_ACSA_SM3_x000a_Mineral Soil - July 2021"/>
  </r>
  <r>
    <x v="2"/>
    <x v="2"/>
    <s v="SM4"/>
    <x v="16"/>
    <m/>
    <s v="JDG_Methane_YMF_x000a_Lab_ACSA_SM4_x000a_Organic Soil - July 2021"/>
    <s v="JDG_Methane_YMF_x000a_Lab_ACSA_SM4_x000a_Mineral Soil - July 2021"/>
  </r>
  <r>
    <x v="2"/>
    <x v="2"/>
    <s v="SM5"/>
    <x v="10"/>
    <m/>
    <s v="JDG_Methane_YMF_x000a_Lab_ACSA_SM5_x000a_Organic Soil - July 2021"/>
    <s v="JDG_Methane_YMF_x000a_Lab_ACSA_SM5_x000a_Mineral Soil - July 2021"/>
  </r>
  <r>
    <x v="2"/>
    <x v="2"/>
    <s v="SM6"/>
    <x v="7"/>
    <m/>
    <s v="JDG_Methane_YMF_x000a_Lab_ACSA_SM6_x000a_Organic Soil - July 2021"/>
    <s v="JDG_Methane_YMF_x000a_Lab_ACSA_SM6_x000a_Mineral Soil - July 2021"/>
  </r>
  <r>
    <x v="2"/>
    <x v="2"/>
    <s v="SM7"/>
    <x v="34"/>
    <m/>
    <s v="JDG_Methane_YMF_x000a_Lab_ACSA_SM7_x000a_Organic Soil - July 2021"/>
    <s v="JDG_Methane_YMF_x000a_Lab_ACSA_SM7_x000a_Mineral Soil - July 2021"/>
  </r>
  <r>
    <x v="2"/>
    <x v="2"/>
    <s v="SM8"/>
    <x v="11"/>
    <m/>
    <s v="JDG_Methane_YMF_x000a_Lab_ACSA_SM8_x000a_Organic Soil - July 2021"/>
    <s v="JDG_Methane_YMF_x000a_Lab_ACSA_SM8_x000a_Mineral Soil - July 2021"/>
  </r>
  <r>
    <x v="2"/>
    <x v="2"/>
    <s v="SM9"/>
    <x v="35"/>
    <m/>
    <s v="JDG_Methane_YMF_x000a_Lab_ACSA_SM9_x000a_Organic Soil - July 2021"/>
    <s v="JDG_Methane_YMF_x000a_Lab_ACSA_SM9_x000a_Mineral Soil - July 2021"/>
  </r>
  <r>
    <x v="2"/>
    <x v="2"/>
    <s v="SM10"/>
    <x v="18"/>
    <m/>
    <s v="JDG_Methane_YMF_x000a_Lab_ACSA_SM10_x000a_Organic Soil - July 2021"/>
    <s v="JDG_Methane_YMF_x000a_Lab_ACSA_SM10_x000a_Mineral Soil - July 2021"/>
  </r>
  <r>
    <x v="2"/>
    <x v="2"/>
    <s v="SM11"/>
    <x v="36"/>
    <m/>
    <s v="JDG_Methane_YMF_x000a_Lab_ACSA_SM11_x000a_Organic Soil - July 2021"/>
    <s v="JDG_Methane_YMF_x000a_Lab_ACSA_SM11_x000a_Mineral Soil - July 2021"/>
  </r>
  <r>
    <x v="2"/>
    <x v="2"/>
    <s v="SM12"/>
    <x v="8"/>
    <m/>
    <s v="JDG_Methane_YMF_x000a_Lab_ACSA_SM12_x000a_Organic Soil - July 2021"/>
    <s v="JDG_Methane_YMF_x000a_Lab_ACSA_SM12_x000a_Mineral Soil - July 2021"/>
  </r>
  <r>
    <x v="2"/>
    <x v="2"/>
    <s v="SM13"/>
    <x v="6"/>
    <m/>
    <s v="JDG_Methane_YMF_x000a_Lab_ACSA_SM13_x000a_Organic Soil - July 2021"/>
    <s v="JDG_Methane_YMF_x000a_Lab_ACSA_SM13_x000a_Mineral Soil - July 2021"/>
  </r>
  <r>
    <x v="2"/>
    <x v="2"/>
    <s v="SM14"/>
    <x v="35"/>
    <m/>
    <s v="JDG_Methane_YMF_x000a_Lab_ACSA_SM14_x000a_Organic Soil - July 2021"/>
    <s v="JDG_Methane_YMF_x000a_Lab_ACSA_SM14_x000a_Mineral Soil - July 2021"/>
  </r>
  <r>
    <x v="2"/>
    <x v="2"/>
    <s v="SM15"/>
    <x v="37"/>
    <m/>
    <s v="JDG_Methane_YMF_x000a_Lab_ACSA_SM15_x000a_Organic Soil - July 2021"/>
    <s v="JDG_Methane_YMF_x000a_Lab_ACSA_SM15_x000a_Mineral Soil - July 2021"/>
  </r>
  <r>
    <x v="1"/>
    <x v="2"/>
    <s v="SMR1"/>
    <x v="4"/>
    <s v="Ridge"/>
    <s v="JDG_Methane_YMF_x000a_Ridge_ACSA_SMR1_x000a_Organic Soil - July 2021"/>
    <s v="JDG_Methane_YMF_x000a_Ridge_ACSA_SMR1_x000a_Mineral Soil - July 2021"/>
  </r>
  <r>
    <x v="2"/>
    <x v="3"/>
    <s v="BBX1"/>
    <x v="38"/>
    <m/>
    <s v="JDG_Methane_YMF_x000a_Lab_BELE_BBX1_x000a_Organic Soil - July 2021"/>
    <s v="JDG_Methane_YMF_x000a_Lab_BELE_BBX1_x000a_Mineral Soil - July 2021"/>
  </r>
  <r>
    <x v="2"/>
    <x v="3"/>
    <s v="BBX2"/>
    <x v="39"/>
    <m/>
    <s v="JDG_Methane_YMF_x000a_Lab_BELE_BBX2_x000a_Organic Soil - July 2021"/>
    <s v="JDG_Methane_YMF_x000a_Lab_BELE_BBX2_x000a_Mineral Soil - July 2021"/>
  </r>
  <r>
    <x v="2"/>
    <x v="3"/>
    <s v="BBX3"/>
    <x v="40"/>
    <m/>
    <s v="JDG_Methane_YMF_x000a_Lab_BELE_BBX3_x000a_Organic Soil - July 2021"/>
    <s v="JDG_Methane_YMF_x000a_Lab_BELE_BBX3_x000a_Mineral Soil - July 2021"/>
  </r>
  <r>
    <x v="2"/>
    <x v="3"/>
    <s v="BBX4"/>
    <x v="31"/>
    <m/>
    <s v="JDG_Methane_YMF_x000a_Lab_BELE_BBX4_x000a_Organic Soil - July 2021"/>
    <s v="JDG_Methane_YMF_x000a_Lab_BELE_BBX4_x000a_Mineral Soil - July 2021"/>
  </r>
  <r>
    <x v="2"/>
    <x v="3"/>
    <s v="BBX6"/>
    <x v="41"/>
    <m/>
    <s v="JDG_Methane_YMF_x000a_Lab_BELE_BBX6_x000a_Organic Soil - July 2021"/>
    <s v="JDG_Methane_YMF_x000a_Lab_BELE_BBX6_x000a_Mineral Soil - July 2021"/>
  </r>
  <r>
    <x v="2"/>
    <x v="3"/>
    <s v="BBX7"/>
    <x v="42"/>
    <m/>
    <s v="JDG_Methane_YMF_x000a_Lab_BELE_BBX7_x000a_Organic Soil - July 2021"/>
    <s v="JDG_Methane_YMF_x000a_Lab_BELE_BBX7_x000a_Mineral Soil - July 2021"/>
  </r>
  <r>
    <x v="0"/>
    <x v="3"/>
    <s v="BB1"/>
    <x v="11"/>
    <m/>
    <s v="JDG_Methane_YMF_x000a_Lowland_BELE_BB1_x000a_Organic Soil - July 2021"/>
    <s v="JDG_Methane_YMF_x000a_Lowland_BELE_BB1_x000a_Mineral Soil - July 2021"/>
  </r>
  <r>
    <x v="0"/>
    <x v="3"/>
    <s v="BB2"/>
    <x v="6"/>
    <m/>
    <s v="JDG_Methane_YMF_x000a_Lowland_BELE_BB2_x000a_Organic Soil - July 2021"/>
    <s v="JDG_Methane_YMF_x000a_Lowland_BELE_BB2_x000a_Mineral Soil - July 2021"/>
  </r>
  <r>
    <x v="0"/>
    <x v="3"/>
    <s v="BB4"/>
    <x v="43"/>
    <m/>
    <s v="JDG_Methane_YMF_x000a_Lowland_BELE_BB4_x000a_Organic Soil - July 2021"/>
    <s v="JDG_Methane_YMF_x000a_Lowland_BELE_BB4_x000a_Mineral Soil - July 2021"/>
  </r>
  <r>
    <x v="1"/>
    <x v="3"/>
    <s v="BB5"/>
    <x v="38"/>
    <m/>
    <s v="JDG_Methane_YMF_x000a_Ridge_BELE_BB5_x000a_Organic Soil - July 2021"/>
    <s v="JDG_Methane_YMF_x000a_Ridge_BELE_BB5_x000a_Mineral Soil - July 2021"/>
  </r>
  <r>
    <x v="1"/>
    <x v="3"/>
    <s v="BB6"/>
    <x v="8"/>
    <m/>
    <s v="JDG_Methane_YMF_x000a_Ridge_BELE_BB6_x000a_Organic Soil - July 2021"/>
    <s v="JDG_Methane_YMF_x000a_Ridge_BELE_BB6_x000a_Mineral Soil - July 2021"/>
  </r>
  <r>
    <x v="1"/>
    <x v="3"/>
    <s v="BB8"/>
    <x v="40"/>
    <m/>
    <s v="JDG_Methane_YMF_x000a_Ridge_BELE_BB8_x000a_Organic Soil - July 2021"/>
    <s v="JDG_Methane_YMF_x000a_Ridge_BELE_BB8_x000a_Mineral Soil - July 2021"/>
  </r>
  <r>
    <x v="1"/>
    <x v="3"/>
    <s v="BB7"/>
    <x v="39"/>
    <m/>
    <s v="JDG_Methane_YMF_x000a_Ridge_BELE_BB7_x000a_Organic Soil - July 2021"/>
    <s v="JDG_Methane_YMF_x000a_Ridge_BELE_BB7_x000a_Mineral Soil - July 2021"/>
  </r>
  <r>
    <x v="1"/>
    <x v="3"/>
    <s v="BB9"/>
    <x v="43"/>
    <m/>
    <s v="JDG_Methane_YMF_x000a_Ridge_BELE_BB9_x000a_Organic Soil - July 2021"/>
    <s v="JDG_Methane_YMF_x000a_Ridge_BELE_BB9_x000a_Mineral Soil - July 2021"/>
  </r>
  <r>
    <x v="1"/>
    <x v="3"/>
    <s v="BB10"/>
    <x v="44"/>
    <m/>
    <s v="JDG_Methane_YMF_x000a_Ridge_BELE_BB10_x000a_Organic Soil - July 2021"/>
    <s v="JDG_Methane_YMF_x000a_Ridge_BELE_BB10_x000a_Mineral Soil - July 2021"/>
  </r>
  <r>
    <x v="1"/>
    <x v="3"/>
    <s v="BB10'"/>
    <x v="16"/>
    <m/>
    <s v="JDG_Methane_YMF_x000a_Ridge_BELE_BB10'_x000a_Organic Soil - July 2021"/>
    <s v="JDG_Methane_YMF_x000a_Ridge_BELE_BB10'_x000a_Mineral Soil - July 2021"/>
  </r>
  <r>
    <x v="1"/>
    <x v="3"/>
    <s v="BB11"/>
    <x v="38"/>
    <m/>
    <s v="JDG_Methane_YMF_x000a_Ridge_BELE_BB11_x000a_Organic Soil - July 2021"/>
    <s v="JDG_Methane_YMF_x000a_Ridge_BELE_BB11_x000a_Mineral Soil - July 2021"/>
  </r>
  <r>
    <x v="1"/>
    <x v="3"/>
    <s v="BB12"/>
    <x v="11"/>
    <m/>
    <s v="JDG_Methane_YMF_x000a_Ridge_BELE_BB12_x000a_Organic Soil - July 2021"/>
    <s v="JDG_Methane_YMF_x000a_Ridge_BELE_BB12_x000a_Mineral Soil - July 2021"/>
  </r>
  <r>
    <x v="1"/>
    <x v="3"/>
    <s v="BB13"/>
    <x v="45"/>
    <m/>
    <s v="JDG_Methane_YMF_x000a_Ridge_BELE_BB13_x000a_Organic Soil - July 2021"/>
    <s v="JDG_Methane_YMF_x000a_Ridge_BELE_BB13_x000a_Mineral Soil - July 2021"/>
  </r>
  <r>
    <x v="1"/>
    <x v="3"/>
    <s v="BB14"/>
    <x v="46"/>
    <m/>
    <s v="JDG_Methane_YMF_x000a_Ridge_BELE_BB14_x000a_Organic Soil - July 2021"/>
    <s v="JDG_Methane_YMF_x000a_Ridge_BELE_BB14_x000a_Mineral Soil - July 2021"/>
  </r>
  <r>
    <x v="1"/>
    <x v="3"/>
    <s v="BB16"/>
    <x v="12"/>
    <m/>
    <s v="JDG_Methane_YMF_x000a_Ridge_BELE_BB16_x000a_Organic Soil - July 2021"/>
    <s v="JDG_Methane_YMF_x000a_Ridge_BELE_BB16_x000a_Mineral Soil - July 2021"/>
  </r>
  <r>
    <x v="1"/>
    <x v="3"/>
    <s v="BB16'"/>
    <x v="47"/>
    <m/>
    <s v="JDG_Methane_YMF_x000a_Ridge_BELE_BB16'_x000a_Organic Soil - July 2021"/>
    <s v="JDG_Methane_YMF_x000a_Ridge_BELE_BB16'_x000a_Mineral Soil - July 2021"/>
  </r>
  <r>
    <x v="2"/>
    <x v="4"/>
    <s v="YBX1"/>
    <x v="38"/>
    <m/>
    <s v="JDG_Methane_YMF_x000a_Lab_BEAL_YBX1_x000a_Organic Soil - July 2021"/>
    <s v="JDG_Methane_YMF_x000a_Lab_BEAL_YBX1_x000a_Mineral Soil - July 2021"/>
  </r>
  <r>
    <x v="0"/>
    <x v="4"/>
    <s v="YB16"/>
    <x v="13"/>
    <m/>
    <s v="JDG_Methane_YMF_x000a_Lowland_BEAL_YB16_x000a_Organic Soil - July 2021"/>
    <s v="JDG_Methane_YMF_x000a_Lowland_BEAL_YB16_x000a_Mineral Soil - July 2021"/>
  </r>
  <r>
    <x v="0"/>
    <x v="4"/>
    <s v="YB1"/>
    <x v="14"/>
    <m/>
    <s v="JDG_Methane_YMF_x000a_Lowland_BEAL_YB1_x000a_Organic Soil - July 2021"/>
    <s v="JDG_Methane_YMF_x000a_Lowland_BEAL_YB1_x000a_Mineral Soil - July 2021"/>
  </r>
  <r>
    <x v="0"/>
    <x v="4"/>
    <s v="YB2"/>
    <x v="11"/>
    <s v="Hollow trunk"/>
    <s v="JDG_Methane_YMF_x000a_Lowland_BEAL_YB2_x000a_Organic Soil - July 2021"/>
    <s v="JDG_Methane_YMF_x000a_Lowland_BEAL_YB2_x000a_Mineral Soil - July 2021"/>
  </r>
  <r>
    <x v="0"/>
    <x v="4"/>
    <s v="YB3"/>
    <x v="5"/>
    <m/>
    <s v="JDG_Methane_YMF_x000a_Lowland_BEAL_YB3_x000a_Organic Soil - July 2021"/>
    <s v="JDG_Methane_YMF_x000a_Lowland_BEAL_YB3_x000a_Mineral Soil - July 2021"/>
  </r>
  <r>
    <x v="0"/>
    <x v="4"/>
    <s v="YB4"/>
    <x v="45"/>
    <m/>
    <s v="JDG_Methane_YMF_x000a_Lowland_BEAL_YB4_x000a_Organic Soil - July 2021"/>
    <s v="JDG_Methane_YMF_x000a_Lowland_BEAL_YB4_x000a_Mineral Soil - July 2021"/>
  </r>
  <r>
    <x v="0"/>
    <x v="4"/>
    <s v="YB5"/>
    <x v="45"/>
    <s v="By river"/>
    <s v="JDG_Methane_YMF_x000a_Lowland_BEAL_YB5_x000a_Organic Soil - July 2021"/>
    <s v="JDG_Methane_YMF_x000a_Lowland_BEAL_YB5_x000a_Mineral Soil - July 2021"/>
  </r>
  <r>
    <x v="0"/>
    <x v="4"/>
    <s v="YB6"/>
    <x v="48"/>
    <m/>
    <s v="JDG_Methane_YMF_x000a_Lowland_BEAL_YB6_x000a_Organic Soil - July 2021"/>
    <s v="JDG_Methane_YMF_x000a_Lowland_BEAL_YB6_x000a_Mineral Soil - July 2021"/>
  </r>
  <r>
    <x v="0"/>
    <x v="4"/>
    <s v="YB7"/>
    <x v="40"/>
    <m/>
    <s v="JDG_Methane_YMF_x000a_Lowland_BEAL_YB7_x000a_Organic Soil - July 2021"/>
    <s v="JDG_Methane_YMF_x000a_Lowland_BEAL_YB7_x000a_Mineral Soil - July 2021"/>
  </r>
  <r>
    <x v="0"/>
    <x v="4"/>
    <s v="YB9"/>
    <x v="35"/>
    <m/>
    <s v="JDG_Methane_YMF_x000a_Lowland_BEAL_YB9_x000a_Organic Soil - July 2021"/>
    <s v="JDG_Methane_YMF_x000a_Lowland_BEAL_YB9_x000a_Mineral Soil - July 2021"/>
  </r>
  <r>
    <x v="0"/>
    <x v="4"/>
    <s v="YB8"/>
    <x v="37"/>
    <m/>
    <s v="JDG_Methane_YMF_x000a_Lowland_BEAL_YB8_x000a_Organic Soil - July 2021"/>
    <s v="JDG_Methane_YMF_x000a_Lowland_BEAL_YB8_x000a_Mineral Soil - July 2021"/>
  </r>
  <r>
    <x v="0"/>
    <x v="4"/>
    <s v="YB10"/>
    <x v="42"/>
    <m/>
    <s v="JDG_Methane_YMF_x000a_Lowland_BEAL_YB10_x000a_Organic Soil - July 2021"/>
    <s v="JDG_Methane_YMF_x000a_Lowland_BEAL_YB10_x000a_Mineral Soil - July 2021"/>
  </r>
  <r>
    <x v="0"/>
    <x v="4"/>
    <s v="YB11"/>
    <x v="42"/>
    <m/>
    <s v="JDG_Methane_YMF_x000a_Lowland_BEAL_YB11_x000a_Organic Soil - July 2021"/>
    <s v="JDG_Methane_YMF_x000a_Lowland_BEAL_YB11_x000a_Mineral Soil - July 2021"/>
  </r>
  <r>
    <x v="0"/>
    <x v="4"/>
    <s v="YB14"/>
    <x v="14"/>
    <m/>
    <s v="JDG_Methane_YMF_x000a_Lowland_BEAL_YB14_x000a_Organic Soil - July 2021"/>
    <s v="JDG_Methane_YMF_x000a_Lowland_BEAL_YB14_x000a_Mineral Soil - July 2021"/>
  </r>
  <r>
    <x v="0"/>
    <x v="4"/>
    <s v="YB13"/>
    <x v="14"/>
    <m/>
    <s v="JDG_Methane_YMF_x000a_Lowland_BEAL_YB13_x000a_Organic Soil - July 2021"/>
    <s v="JDG_Methane_YMF_x000a_Lowland_BEAL_YB13_x000a_Mineral Soil - July 2021"/>
  </r>
  <r>
    <x v="0"/>
    <x v="4"/>
    <s v="YB16"/>
    <x v="13"/>
    <m/>
    <s v="JDG_Methane_YMF_x000a_Lowland_BEAL_YB16_x000a_Organic Soil - July 2021"/>
    <s v="JDG_Methane_YMF_x000a_Lowland_BEAL_YB16_x000a_Mineral Soil - July 2021"/>
  </r>
  <r>
    <x v="0"/>
    <x v="4"/>
    <s v="YB15"/>
    <x v="7"/>
    <m/>
    <s v="JDG_Methane_YMF_x000a_Lowland_BEAL_YB15_x000a_Organic Soil - July 2021"/>
    <s v="JDG_Methane_YMF_x000a_Lowland_BEAL_YB15_x000a_Mineral Soil - July 2021"/>
  </r>
  <r>
    <x v="0"/>
    <x v="5"/>
    <s v="PB2"/>
    <x v="22"/>
    <m/>
    <s v="JDG_Methane_YMF_x000a_Lowland_BEPA_PB2_x000a_Organic Soil - July 2021"/>
    <s v="JDG_Methane_YMF_x000a_Lowland_BEPA_PB2_x000a_Mineral Soil - July 2021"/>
  </r>
  <r>
    <x v="0"/>
    <x v="5"/>
    <s v="PB1"/>
    <x v="16"/>
    <m/>
    <s v="JDG_Methane_YMF_x000a_Lowland_BEPA_PB1_x000a_Organic Soil - July 2021"/>
    <s v="JDG_Methane_YMF_x000a_Lowland_BEPA_PB1_x000a_Mineral Soil - July 2021"/>
  </r>
  <r>
    <x v="0"/>
    <x v="5"/>
    <s v="PB3"/>
    <x v="22"/>
    <m/>
    <s v="JDG_Methane_YMF_x000a_Lowland_BEPA_PB3_x000a_Organic Soil - July 2021"/>
    <s v="JDG_Methane_YMF_x000a_Lowland_BEPA_PB3_x000a_Mineral Soil - July 2021"/>
  </r>
  <r>
    <x v="0"/>
    <x v="5"/>
    <s v="PB4"/>
    <x v="49"/>
    <m/>
    <s v="JDG_Methane_YMF_x000a_Lowland_BEPA_PB4_x000a_Organic Soil - July 2021"/>
    <s v="JDG_Methane_YMF_x000a_Lowland_BEPA_PB4_x000a_Mineral Soil - July 2021"/>
  </r>
  <r>
    <x v="0"/>
    <x v="5"/>
    <s v="PB5"/>
    <x v="1"/>
    <m/>
    <s v="JDG_Methane_YMF_x000a_Lowland_BEPA_PB5_x000a_Organic Soil - July 2021"/>
    <s v="JDG_Methane_YMF_x000a_Lowland_BEPA_PB5_x000a_Mineral Soil - July 2021"/>
  </r>
  <r>
    <x v="0"/>
    <x v="6"/>
    <s v="AB1"/>
    <x v="33"/>
    <m/>
    <s v="JDG_Methane_YMF_x000a_Lowland_FAGR_AB1_x000a_Organic Soil - July 2021"/>
    <s v="JDG_Methane_YMF_x000a_Lowland_FAGR_AB1_x000a_Mineral Soil - July 2021"/>
  </r>
  <r>
    <x v="0"/>
    <x v="6"/>
    <s v="AB2"/>
    <x v="37"/>
    <m/>
    <s v="JDG_Methane_YMF_x000a_Lowland_FAGR_AB2_x000a_Organic Soil - July 2021"/>
    <s v="JDG_Methane_YMF_x000a_Lowland_FAGR_AB2_x000a_Mineral Soil - July 2021"/>
  </r>
  <r>
    <x v="0"/>
    <x v="6"/>
    <s v="AB3"/>
    <x v="44"/>
    <m/>
    <s v="JDG_Methane_YMF_x000a_Lowland_FAGR_AB3_x000a_Organic Soil - July 2021"/>
    <s v="JDG_Methane_YMF_x000a_Lowland_FAGR_AB3_x000a_Mineral Soil - July 2021"/>
  </r>
  <r>
    <x v="0"/>
    <x v="6"/>
    <s v="AB4"/>
    <x v="35"/>
    <m/>
    <s v="JDG_Methane_YMF_x000a_Lowland_FAGR_AB4_x000a_Organic Soil - July 2021"/>
    <s v="JDG_Methane_YMF_x000a_Lowland_FAGR_AB4_x000a_Mineral Soil - July 2021"/>
  </r>
  <r>
    <x v="0"/>
    <x v="6"/>
    <s v="AB4/6"/>
    <x v="40"/>
    <s v="Fix label"/>
    <s v="JDG_Methane_YMF_x000a_Lowland_FAGR_AB4/6_x000a_Organic Soil - July 2021"/>
    <s v="JDG_Methane_YMF_x000a_Lowland_FAGR_AB4/6_x000a_Mineral Soil - July 2021"/>
  </r>
  <r>
    <x v="0"/>
    <x v="6"/>
    <s v="AB3/5"/>
    <x v="50"/>
    <s v="Fix label"/>
    <s v="JDG_Methane_YMF_x000a_Lowland_FAGR_AB3/5_x000a_Organic Soil - July 2021"/>
    <s v="JDG_Methane_YMF_x000a_Lowland_FAGR_AB3/5_x000a_Mineral Soil - July 2021"/>
  </r>
  <r>
    <x v="0"/>
    <x v="6"/>
    <s v="AB6"/>
    <x v="29"/>
    <s v="BBD cankers"/>
    <s v="JDG_Methane_YMF_x000a_Lowland_FAGR_AB6_x000a_Organic Soil - July 2021"/>
    <s v="JDG_Methane_YMF_x000a_Lowland_FAGR_AB6_x000a_Mineral Soil - July 2021"/>
  </r>
  <r>
    <x v="0"/>
    <x v="6"/>
    <s v="AB6'"/>
    <x v="45"/>
    <s v="Bark stripped by beavers"/>
    <s v="JDG_Methane_YMF_x000a_Lowland_FAGR_AB6'_x000a_Organic Soil - July 2021"/>
    <s v="JDG_Methane_YMF_x000a_Lowland_FAGR_AB6'_x000a_Mineral Soil - July 2021"/>
  </r>
  <r>
    <x v="0"/>
    <x v="6"/>
    <s v="AB5"/>
    <x v="26"/>
    <s v="Bark stripped by beavers"/>
    <s v="JDG_Methane_YMF_x000a_Lowland_FAGR_AB5_x000a_Organic Soil - July 2021"/>
    <s v="JDG_Methane_YMF_x000a_Lowland_FAGR_AB5_x000a_Mineral Soil - July 2021"/>
  </r>
  <r>
    <x v="0"/>
    <x v="6"/>
    <s v="AB8"/>
    <x v="35"/>
    <s v="Cankers"/>
    <s v="JDG_Methane_YMF_x000a_Lowland_FAGR_AB8_x000a_Organic Soil - July 2021"/>
    <s v="JDG_Methane_YMF_x000a_Lowland_FAGR_AB8_x000a_Mineral Soil - July 2021"/>
  </r>
  <r>
    <x v="1"/>
    <x v="6"/>
    <s v="AB10"/>
    <x v="48"/>
    <m/>
    <s v="JDG_Methane_YMF_x000a_Ridge_FAGR_AB10_x000a_Organic Soil - July 2021"/>
    <s v="JDG_Methane_YMF_x000a_Ridge_FAGR_AB10_x000a_Mineral Soil - July 2021"/>
  </r>
  <r>
    <x v="1"/>
    <x v="6"/>
    <s v="AB9"/>
    <x v="41"/>
    <m/>
    <s v="JDG_Methane_YMF_x000a_Ridge_FAGR_AB9_x000a_Organic Soil - July 2021"/>
    <s v="JDG_Methane_YMF_x000a_Ridge_FAGR_AB9_x000a_Mineral Soil - July 2021"/>
  </r>
  <r>
    <x v="1"/>
    <x v="6"/>
    <s v="AB11"/>
    <x v="37"/>
    <m/>
    <s v="JDG_Methane_YMF_x000a_Ridge_FAGR_AB11_x000a_Organic Soil - July 2021"/>
    <s v="JDG_Methane_YMF_x000a_Ridge_FAGR_AB11_x000a_Mineral Soil - July 2021"/>
  </r>
  <r>
    <x v="2"/>
    <x v="7"/>
    <s v="WPX1"/>
    <x v="21"/>
    <m/>
    <s v="JDG_Methane_YMF_x000a_Lab_PIST_WPX1_x000a_Organic Soil - July 2021"/>
    <s v="JDG_Methane_YMF_x000a_Lab_PIST_WPX1_x000a_Mineral Soil - July 2021"/>
  </r>
  <r>
    <x v="2"/>
    <x v="7"/>
    <s v="WPX2"/>
    <x v="33"/>
    <m/>
    <s v="JDG_Methane_YMF_x000a_Lab_PIST_WPX2_x000a_Organic Soil - July 2021"/>
    <s v="JDG_Methane_YMF_x000a_Lab_PIST_WPX2_x000a_Mineral Soil - July 2021"/>
  </r>
  <r>
    <x v="2"/>
    <x v="7"/>
    <s v="WPX3"/>
    <x v="51"/>
    <m/>
    <s v="JDG_Methane_YMF_x000a_Lab_PIST_WPX3_x000a_Organic Soil - July 2021"/>
    <s v="JDG_Methane_YMF_x000a_Lab_PIST_WPX3_x000a_Mineral Soil - July 2021"/>
  </r>
  <r>
    <x v="2"/>
    <x v="7"/>
    <s v="WPX4"/>
    <x v="9"/>
    <m/>
    <s v="JDG_Methane_YMF_x000a_Lab_PIST_WPX4_x000a_Organic Soil - July 2021"/>
    <s v="JDG_Methane_YMF_x000a_Lab_PIST_WPX4_x000a_Mineral Soil - July 2021"/>
  </r>
  <r>
    <x v="2"/>
    <x v="7"/>
    <s v="WPX5"/>
    <x v="52"/>
    <m/>
    <s v="JDG_Methane_YMF_x000a_Lab_PIST_WPX5_x000a_Organic Soil - July 2021"/>
    <s v="JDG_Methane_YMF_x000a_Lab_PIST_WPX5_x000a_Mineral Soil - July 2021"/>
  </r>
  <r>
    <x v="2"/>
    <x v="7"/>
    <s v="WPX6"/>
    <x v="53"/>
    <m/>
    <s v="JDG_Methane_YMF_x000a_Lab_PIST_WPX6_x000a_Organic Soil - July 2021"/>
    <s v="JDG_Methane_YMF_x000a_Lab_PIST_WPX6_x000a_Mineral Soil - July 2021"/>
  </r>
  <r>
    <x v="0"/>
    <x v="7"/>
    <s v="WP1"/>
    <x v="54"/>
    <m/>
    <s v="JDG_Methane_YMF_x000a_Lowland_PIST_WP1_x000a_Organic Soil - July 2021"/>
    <s v="JDG_Methane_YMF_x000a_Lowland_PIST_WP1_x000a_Mineral Soil - July 2021"/>
  </r>
  <r>
    <x v="0"/>
    <x v="7"/>
    <s v="WP3"/>
    <x v="55"/>
    <m/>
    <s v="JDG_Methane_YMF_x000a_Lowland_PIST_WP3_x000a_Organic Soil - July 2021"/>
    <s v="JDG_Methane_YMF_x000a_Lowland_PIST_WP3_x000a_Mineral Soil - July 2021"/>
  </r>
  <r>
    <x v="0"/>
    <x v="7"/>
    <s v="WP2"/>
    <x v="43"/>
    <m/>
    <s v="JDG_Methane_YMF_x000a_Lowland_PIST_WP2_x000a_Organic Soil - July 2021"/>
    <s v="JDG_Methane_YMF_x000a_Lowland_PIST_WP2_x000a_Mineral Soil - July 2021"/>
  </r>
  <r>
    <x v="0"/>
    <x v="7"/>
    <s v="WP4"/>
    <x v="56"/>
    <m/>
    <s v="JDG_Methane_YMF_x000a_Lowland_PIST_WP4_x000a_Organic Soil - July 2021"/>
    <s v="JDG_Methane_YMF_x000a_Lowland_PIST_WP4_x000a_Mineral Soil - July 2021"/>
  </r>
  <r>
    <x v="0"/>
    <x v="7"/>
    <s v="WP5"/>
    <x v="57"/>
    <m/>
    <s v="JDG_Methane_YMF_x000a_Lowland_PIST_WP5_x000a_Organic Soil - July 2021"/>
    <s v="JDG_Methane_YMF_x000a_Lowland_PIST_WP5_x000a_Mineral Soil - July 2021"/>
  </r>
  <r>
    <x v="0"/>
    <x v="7"/>
    <s v="WP6"/>
    <x v="50"/>
    <m/>
    <s v="JDG_Methane_YMF_x000a_Lowland_PIST_WP6_x000a_Organic Soil - July 2021"/>
    <s v="JDG_Methane_YMF_x000a_Lowland_PIST_WP6_x000a_Mineral Soil - July 2021"/>
  </r>
  <r>
    <x v="0"/>
    <x v="7"/>
    <s v="WP7"/>
    <x v="58"/>
    <m/>
    <s v="JDG_Methane_YMF_x000a_Lowland_PIST_WP7_x000a_Organic Soil - July 2021"/>
    <s v="JDG_Methane_YMF_x000a_Lowland_PIST_WP7_x000a_Mineral Soil - July 2021"/>
  </r>
  <r>
    <x v="0"/>
    <x v="7"/>
    <s v="WP9"/>
    <x v="58"/>
    <m/>
    <s v="JDG_Methane_YMF_x000a_Lowland_PIST_WP9_x000a_Organic Soil - July 2021"/>
    <s v="JDG_Methane_YMF_x000a_Lowland_PIST_WP9_x000a_Mineral Soil - July 2021"/>
  </r>
  <r>
    <x v="0"/>
    <x v="7"/>
    <s v="WP10"/>
    <x v="58"/>
    <m/>
    <s v="JDG_Methane_YMF_x000a_Lowland_PIST_WP10_x000a_Organic Soil - July 2021"/>
    <s v="JDG_Methane_YMF_x000a_Lowland_PIST_WP10_x000a_Mineral Soil - July 2021"/>
  </r>
  <r>
    <x v="0"/>
    <x v="7"/>
    <s v="WP11"/>
    <x v="3"/>
    <m/>
    <s v="JDG_Methane_YMF_x000a_Lowland_PIST_WP11_x000a_Organic Soil - July 2021"/>
    <s v="JDG_Methane_YMF_x000a_Lowland_PIST_WP11_x000a_Mineral Soil - July 2021"/>
  </r>
  <r>
    <x v="0"/>
    <x v="7"/>
    <s v="WP12"/>
    <x v="59"/>
    <m/>
    <s v="JDG_Methane_YMF_x000a_Lowland_PIST_WP12_x000a_Organic Soil - July 2021"/>
    <s v="JDG_Methane_YMF_x000a_Lowland_PIST_WP12_x000a_Mineral Soil - July 2021"/>
  </r>
  <r>
    <x v="0"/>
    <x v="7"/>
    <s v="Untagged"/>
    <x v="60"/>
    <s v="By beaver pond"/>
    <s v="JDG_Methane_YMF_x000a_Lowland_PIST_Untagged_x000a_Organic Soil - July 2021"/>
    <s v="JDG_Methane_YMF_x000a_Lowland_PIST_Untagged_x000a_Mineral Soil - July 2021"/>
  </r>
  <r>
    <x v="0"/>
    <x v="7"/>
    <s v="Untagged"/>
    <x v="32"/>
    <s v="By river past dam"/>
    <s v="JDG_Methane_YMF_x000a_Lowland_PIST_Untagged_x000a_Organic Soil - July 2021"/>
    <s v="JDG_Methane_YMF_x000a_Lowland_PIST_Untagged_x000a_Mineral Soil - July 2021"/>
  </r>
  <r>
    <x v="0"/>
    <x v="7"/>
    <s v="WP13"/>
    <x v="35"/>
    <m/>
    <s v="JDG_Methane_YMF_x000a_Lowland_PIST_WP13_x000a_Organic Soil - July 2021"/>
    <s v="JDG_Methane_YMF_x000a_Lowland_PIST_WP13_x000a_Mineral Soil - July 2021"/>
  </r>
  <r>
    <x v="0"/>
    <x v="7"/>
    <s v="WP14"/>
    <x v="10"/>
    <m/>
    <s v="JDG_Methane_YMF_x000a_Lowland_PIST_WP14_x000a_Organic Soil - July 2021"/>
    <s v="JDG_Methane_YMF_x000a_Lowland_PIST_WP14_x000a_Mineral Soil - July 2021"/>
  </r>
  <r>
    <x v="1"/>
    <x v="7"/>
    <s v="Untagged"/>
    <x v="61"/>
    <m/>
    <s v="JDG_Methane_YMF_x000a_Ridge_PIST_Untagged_x000a_Organic Soil - July 2021"/>
    <s v="JDG_Methane_YMF_x000a_Ridge_PIST_Untagged_x000a_Mineral Soil - July 2021"/>
  </r>
  <r>
    <x v="1"/>
    <x v="7"/>
    <s v="Untagged"/>
    <x v="32"/>
    <m/>
    <s v="JDG_Methane_YMF_x000a_Ridge_PIST_Untagged_x000a_Organic Soil - July 2021"/>
    <s v="JDG_Methane_YMF_x000a_Ridge_PIST_Untagged_x000a_Mineral Soil - July 2021"/>
  </r>
  <r>
    <x v="1"/>
    <x v="7"/>
    <s v="Untagged"/>
    <x v="62"/>
    <m/>
    <s v="JDG_Methane_YMF_x000a_Ridge_PIST_Untagged_x000a_Organic Soil - July 2021"/>
    <s v="JDG_Methane_YMF_x000a_Ridge_PIST_Untagged_x000a_Mineral Soil - July 2021"/>
  </r>
  <r>
    <x v="1"/>
    <x v="7"/>
    <s v="Untagged"/>
    <x v="62"/>
    <m/>
    <s v="JDG_Methane_YMF_x000a_Ridge_PIST_Untagged_x000a_Organic Soil - July 2021"/>
    <s v="JDG_Methane_YMF_x000a_Ridge_PIST_Untagged_x000a_Mineral Soil - July 2021"/>
  </r>
  <r>
    <x v="1"/>
    <x v="7"/>
    <s v="Untagged"/>
    <x v="49"/>
    <m/>
    <s v="JDG_Methane_YMF_x000a_Ridge_PIST_Untagged_x000a_Organic Soil - July 2021"/>
    <s v="JDG_Methane_YMF_x000a_Ridge_PIST_Untagged_x000a_Mineral Soil - July 2021"/>
  </r>
  <r>
    <x v="1"/>
    <x v="7"/>
    <s v="Untagged"/>
    <x v="12"/>
    <m/>
    <s v="JDG_Methane_YMF_x000a_Ridge_PIST_Untagged_x000a_Organic Soil - July 2021"/>
    <s v="JDG_Methane_YMF_x000a_Ridge_PIST_Untagged_x000a_Mineral Soil - July 2021"/>
  </r>
  <r>
    <x v="2"/>
    <x v="8"/>
    <s v="HX1"/>
    <x v="3"/>
    <m/>
    <s v="JDG_Methane_YMF_x000a_Lab_TSCA_HX1_x000a_Organic Soil - July 2021"/>
    <s v="JDG_Methane_YMF_x000a_Lab_TSCA_HX1_x000a_Mineral Soil - July 2021"/>
  </r>
  <r>
    <x v="2"/>
    <x v="8"/>
    <s v="HX2"/>
    <x v="63"/>
    <m/>
    <s v="JDG_Methane_YMF_x000a_Lab_TSCA_HX2_x000a_Organic Soil - July 2021"/>
    <s v="JDG_Methane_YMF_x000a_Lab_TSCA_HX2_x000a_Mineral Soil - July 2021"/>
  </r>
  <r>
    <x v="2"/>
    <x v="8"/>
    <s v="HX3"/>
    <x v="9"/>
    <m/>
    <s v="JDG_Methane_YMF_x000a_Lab_TSCA_HX3_x000a_Organic Soil - July 2021"/>
    <s v="JDG_Methane_YMF_x000a_Lab_TSCA_HX3_x000a_Mineral Soil - July 2021"/>
  </r>
  <r>
    <x v="2"/>
    <x v="8"/>
    <s v="HX4"/>
    <x v="49"/>
    <m/>
    <s v="JDG_Methane_YMF_x000a_Lab_TSCA_HX4_x000a_Organic Soil - July 2021"/>
    <s v="JDG_Methane_YMF_x000a_Lab_TSCA_HX4_x000a_Mineral Soil - July 2021"/>
  </r>
  <r>
    <x v="2"/>
    <x v="8"/>
    <s v="HX5"/>
    <x v="22"/>
    <m/>
    <s v="JDG_Methane_YMF_x000a_Lab_TSCA_HX5_x000a_Organic Soil - July 2021"/>
    <s v="JDG_Methane_YMF_x000a_Lab_TSCA_HX5_x000a_Mineral Soil - July 2021"/>
  </r>
  <r>
    <x v="2"/>
    <x v="8"/>
    <s v="HX6"/>
    <x v="34"/>
    <m/>
    <s v="JDG_Methane_YMF_x000a_Lab_TSCA_HX6_x000a_Organic Soil - July 2021"/>
    <s v="JDG_Methane_YMF_x000a_Lab_TSCA_HX6_x000a_Mineral Soil - July 2021"/>
  </r>
  <r>
    <x v="0"/>
    <x v="8"/>
    <s v="H1"/>
    <x v="36"/>
    <m/>
    <s v="JDG_Methane_YMF_x000a_Lowland_TSCA_H1_x000a_Organic Soil - July 2021"/>
    <s v="JDG_Methane_YMF_x000a_Lowland_TSCA_H1_x000a_Mineral Soil - July 2021"/>
  </r>
  <r>
    <x v="0"/>
    <x v="8"/>
    <s v="H4"/>
    <x v="3"/>
    <m/>
    <s v="JDG_Methane_YMF_x000a_Lowland_TSCA_H4_x000a_Organic Soil - July 2021"/>
    <s v="JDG_Methane_YMF_x000a_Lowland_TSCA_H4_x000a_Mineral Soil - July 2021"/>
  </r>
  <r>
    <x v="0"/>
    <x v="8"/>
    <s v="H3"/>
    <x v="45"/>
    <m/>
    <s v="JDG_Methane_YMF_x000a_Lowland_TSCA_H3_x000a_Organic Soil - July 2021"/>
    <s v="JDG_Methane_YMF_x000a_Lowland_TSCA_H3_x000a_Mineral Soil - July 2021"/>
  </r>
  <r>
    <x v="0"/>
    <x v="8"/>
    <s v="H2"/>
    <x v="9"/>
    <m/>
    <s v="JDG_Methane_YMF_x000a_Lowland_TSCA_H2_x000a_Organic Soil - July 2021"/>
    <s v="JDG_Methane_YMF_x000a_Lowland_TSCA_H2_x000a_Mineral Soil - July 2021"/>
  </r>
  <r>
    <x v="0"/>
    <x v="8"/>
    <s v="H5"/>
    <x v="32"/>
    <m/>
    <s v="JDG_Methane_YMF_x000a_Lowland_TSCA_H5_x000a_Organic Soil - July 2021"/>
    <s v="JDG_Methane_YMF_x000a_Lowland_TSCA_H5_x000a_Mineral Soil - July 2021"/>
  </r>
  <r>
    <x v="0"/>
    <x v="8"/>
    <s v="H6"/>
    <x v="9"/>
    <m/>
    <s v="JDG_Methane_YMF_x000a_Lowland_TSCA_H6_x000a_Organic Soil - July 2021"/>
    <s v="JDG_Methane_YMF_x000a_Lowland_TSCA_H6_x000a_Mineral Soil - July 2021"/>
  </r>
  <r>
    <x v="0"/>
    <x v="8"/>
    <s v="H7"/>
    <x v="18"/>
    <m/>
    <s v="JDG_Methane_YMF_x000a_Lowland_TSCA_H7_x000a_Organic Soil - July 2021"/>
    <s v="JDG_Methane_YMF_x000a_Lowland_TSCA_H7_x000a_Mineral Soil - July 2021"/>
  </r>
  <r>
    <x v="0"/>
    <x v="8"/>
    <s v="H8"/>
    <x v="64"/>
    <m/>
    <s v="JDG_Methane_YMF_x000a_Lowland_TSCA_H8_x000a_Organic Soil - July 2021"/>
    <s v="JDG_Methane_YMF_x000a_Lowland_TSCA_H8_x000a_Mineral Soil - July 2021"/>
  </r>
  <r>
    <x v="0"/>
    <x v="8"/>
    <s v="H9"/>
    <x v="45"/>
    <m/>
    <s v="JDG_Methane_YMF_x000a_Lowland_TSCA_H9_x000a_Organic Soil - July 2021"/>
    <s v="JDG_Methane_YMF_x000a_Lowland_TSCA_H9_x000a_Mineral Soil - July 2021"/>
  </r>
  <r>
    <x v="0"/>
    <x v="8"/>
    <s v="Untagged"/>
    <x v="35"/>
    <s v="By beaver pond"/>
    <s v="JDG_Methane_YMF_x000a_Lowland_TSCA_Untagged_x000a_Organic Soil - July 2021"/>
    <s v="JDG_Methane_YMF_x000a_Lowland_TSCA_Untagged_x000a_Mineral Soil - July 2021"/>
  </r>
  <r>
    <x v="0"/>
    <x v="8"/>
    <s v="Untagged"/>
    <x v="65"/>
    <s v="By beaver pond"/>
    <s v="JDG_Methane_YMF_x000a_Lowland_TSCA_Untagged_x000a_Organic Soil - July 2021"/>
    <s v="JDG_Methane_YMF_x000a_Lowland_TSCA_Untagged_x000a_Mineral Soil - July 2021"/>
  </r>
  <r>
    <x v="0"/>
    <x v="8"/>
    <s v="H14"/>
    <x v="36"/>
    <m/>
    <s v="JDG_Methane_YMF_x000a_Lowland_TSCA_H14_x000a_Organic Soil - July 2021"/>
    <s v="JDG_Methane_YMF_x000a_Lowland_TSCA_H14_x000a_Mineral Soil - July 2021"/>
  </r>
  <r>
    <x v="0"/>
    <x v="8"/>
    <s v="H15"/>
    <x v="21"/>
    <m/>
    <s v="JDG_Methane_YMF_x000a_Lowland_TSCA_H15_x000a_Organic Soil - July 2021"/>
    <s v="JDG_Methane_YMF_x000a_Lowland_TSCA_H15_x000a_Mineral Soil - July 2021"/>
  </r>
  <r>
    <x v="0"/>
    <x v="8"/>
    <s v="H12"/>
    <x v="66"/>
    <m/>
    <s v="JDG_Methane_YMF_x000a_Lowland_TSCA_H12_x000a_Organic Soil - July 2021"/>
    <s v="JDG_Methane_YMF_x000a_Lowland_TSCA_H12_x000a_Mineral Soil - July 2021"/>
  </r>
  <r>
    <x v="0"/>
    <x v="8"/>
    <s v="H12'"/>
    <x v="35"/>
    <m/>
    <s v="JDG_Methane_YMF_x000a_Lowland_TSCA_H12'_x000a_Organic Soil - July 2021"/>
    <s v="JDG_Methane_YMF_x000a_Lowland_TSCA_H12'_x000a_Mineral Soil - July 2021"/>
  </r>
  <r>
    <x v="0"/>
    <x v="8"/>
    <s v="H14"/>
    <x v="67"/>
    <m/>
    <s v="JDG_Methane_YMF_x000a_Lowland_TSCA_H14_x000a_Organic Soil - July 2021"/>
    <s v="JDG_Methane_YMF_x000a_Lowland_TSCA_H14_x000a_Mineral Soil - July 2021"/>
  </r>
  <r>
    <x v="0"/>
    <x v="8"/>
    <s v="H11"/>
    <x v="0"/>
    <m/>
    <s v="JDG_Methane_YMF_x000a_Lowland_TSCA_H11_x000a_Organic Soil - July 2021"/>
    <s v="JDG_Methane_YMF_x000a_Lowland_TSCA_H11_x000a_Mineral Soil - July 2021"/>
  </r>
  <r>
    <x v="0"/>
    <x v="8"/>
    <s v="H10"/>
    <x v="23"/>
    <m/>
    <s v="JDG_Methane_YMF_x000a_Lowland_TSCA_H10_x000a_Organic Soil - July 2021"/>
    <s v="JDG_Methane_YMF_x000a_Lowland_TSCA_H10_x000a_Mineral Soil - July 2021"/>
  </r>
  <r>
    <x v="1"/>
    <x v="8"/>
    <s v="Untagged"/>
    <x v="27"/>
    <m/>
    <s v="JDG_Methane_YMF_x000a_Ridge_TSCA_Untagged_x000a_Organic Soil - July 2021"/>
    <s v="JDG_Methane_YMF_x000a_Ridge_TSCA_Untagged_x000a_Mineral Soil - July 2021"/>
  </r>
  <r>
    <x v="1"/>
    <x v="8"/>
    <s v="Untagged"/>
    <x v="68"/>
    <m/>
    <s v="JDG_Methane_YMF_x000a_Ridge_TSCA_Untagged_x000a_Organic Soil - July 2021"/>
    <s v="JDG_Methane_YMF_x000a_Ridge_TSCA_Untagged_x000a_Mineral Soil - July 2021"/>
  </r>
  <r>
    <x v="1"/>
    <x v="8"/>
    <s v="Untagged"/>
    <x v="49"/>
    <m/>
    <s v="JDG_Methane_YMF_x000a_Ridge_TSCA_Untagged_x000a_Organic Soil - July 2021"/>
    <s v="JDG_Methane_YMF_x000a_Ridge_TSCA_Untagged_x000a_Mineral Soil - July 2021"/>
  </r>
  <r>
    <x v="1"/>
    <x v="8"/>
    <s v="Untagged"/>
    <x v="44"/>
    <m/>
    <s v="JDG_Methane_YMF_x000a_Ridge_TSCA_Untagged_x000a_Organic Soil - July 2021"/>
    <s v="JDG_Methane_YMF_x000a_Ridge_TSCA_Untagged_x000a_Mineral Soil - July 2021"/>
  </r>
  <r>
    <x v="1"/>
    <x v="8"/>
    <s v="Untagged"/>
    <x v="49"/>
    <m/>
    <s v="JDG_Methane_YMF_x000a_Ridge_TSCA_Untagged_x000a_Organic Soil - July 2021"/>
    <s v="JDG_Methane_YMF_x000a_Ridge_TSCA_Untagged_x000a_Mineral Soil - July 2021"/>
  </r>
  <r>
    <x v="1"/>
    <x v="8"/>
    <s v="Untagged"/>
    <x v="39"/>
    <m/>
    <s v="JDG_Methane_YMF_x000a_Ridge_TSCA_Untagged_x000a_Organic Soil - July 2021"/>
    <s v="JDG_Methane_YMF_x000a_Ridge_TSCA_Untagged_x000a_Mineral Soil - July 2021"/>
  </r>
  <r>
    <x v="2"/>
    <x v="9"/>
    <s v="WA1"/>
    <x v="25"/>
    <m/>
    <s v="JDG_Methane_YMF_x000a_Lab_FRAM_WA1_x000a_Organic Soil - July 2021"/>
    <s v="JDG_Methane_YMF_x000a_Lab_FRAM_WA1_x000a_Mineral Soil - July 2021"/>
  </r>
  <r>
    <x v="2"/>
    <x v="9"/>
    <s v="WA2"/>
    <x v="22"/>
    <m/>
    <s v="JDG_Methane_YMF_x000a_Lab_FRAM_WA2_x000a_Organic Soil - July 2021"/>
    <s v="JDG_Methane_YMF_x000a_Lab_FRAM_WA2_x000a_Mineral Soil - July 2021"/>
  </r>
  <r>
    <x v="2"/>
    <x v="9"/>
    <s v="WA3"/>
    <x v="40"/>
    <m/>
    <s v="JDG_Methane_YMF_x000a_Lab_FRAM_WA3_x000a_Organic Soil - July 2021"/>
    <s v="JDG_Methane_YMF_x000a_Lab_FRAM_WA3_x000a_Mineral Soil - July 2021"/>
  </r>
  <r>
    <x v="2"/>
    <x v="9"/>
    <s v="WA4"/>
    <x v="43"/>
    <m/>
    <s v="JDG_Methane_YMF_x000a_Lab_FRAM_WA4_x000a_Organic Soil - July 2021"/>
    <s v="JDG_Methane_YMF_x000a_Lab_FRAM_WA4_x000a_Mineral Soil - July 2021"/>
  </r>
  <r>
    <x v="2"/>
    <x v="9"/>
    <s v="WA5"/>
    <x v="25"/>
    <m/>
    <s v="JDG_Methane_YMF_x000a_Lab_FRAM_WA5_x000a_Organic Soil - July 2021"/>
    <s v="JDG_Methane_YMF_x000a_Lab_FRAM_WA5_x000a_Mineral Soil - July 2021"/>
  </r>
  <r>
    <x v="2"/>
    <x v="9"/>
    <s v="WA6"/>
    <x v="14"/>
    <m/>
    <s v="JDG_Methane_YMF_x000a_Lab_FRAM_WA6_x000a_Organic Soil - July 2021"/>
    <s v="JDG_Methane_YMF_x000a_Lab_FRAM_WA6_x000a_Mineral Soil - July 2021"/>
  </r>
  <r>
    <x v="2"/>
    <x v="9"/>
    <s v="WA7"/>
    <x v="69"/>
    <m/>
    <s v="JDG_Methane_YMF_x000a_Lab_FRAM_WA7_x000a_Organic Soil - July 2021"/>
    <s v="JDG_Methane_YMF_x000a_Lab_FRAM_WA7_x000a_Mineral Soil - July 2021"/>
  </r>
  <r>
    <x v="2"/>
    <x v="9"/>
    <s v="WA8"/>
    <x v="39"/>
    <m/>
    <s v="JDG_Methane_YMF_x000a_Lab_FRAM_WA8_x000a_Organic Soil - July 2021"/>
    <s v="JDG_Methane_YMF_x000a_Lab_FRAM_WA8_x000a_Mineral Soil - July 2021"/>
  </r>
  <r>
    <x v="2"/>
    <x v="9"/>
    <s v="WA9"/>
    <x v="6"/>
    <m/>
    <s v="JDG_Methane_YMF_x000a_Lab_FRAM_WA9_x000a_Organic Soil - July 2021"/>
    <s v="JDG_Methane_YMF_x000a_Lab_FRAM_WA9_x000a_Mineral Soil - July 2021"/>
  </r>
  <r>
    <x v="2"/>
    <x v="9"/>
    <s v="WA10"/>
    <x v="3"/>
    <m/>
    <s v="JDG_Methane_YMF_x000a_Lab_FRAM_WA10_x000a_Organic Soil - July 2021"/>
    <s v="JDG_Methane_YMF_x000a_Lab_FRAM_WA10_x000a_Mineral Soil - July 2021"/>
  </r>
  <r>
    <x v="2"/>
    <x v="9"/>
    <s v="WA11"/>
    <x v="10"/>
    <m/>
    <s v="JDG_Methane_YMF_x000a_Lab_FRAM_WA11_x000a_Organic Soil - July 2021"/>
    <s v="JDG_Methane_YMF_x000a_Lab_FRAM_WA11_x000a_Mineral Soil - July 2021"/>
  </r>
  <r>
    <x v="2"/>
    <x v="9"/>
    <s v="WA12"/>
    <x v="70"/>
    <m/>
    <s v="JDG_Methane_YMF_x000a_Lab_FRAM_WA12_x000a_Organic Soil - July 2021"/>
    <s v="JDG_Methane_YMF_x000a_Lab_FRAM_WA12_x000a_Mineral Soil - July 2021"/>
  </r>
  <r>
    <x v="2"/>
    <x v="9"/>
    <s v="WA13"/>
    <x v="15"/>
    <m/>
    <s v="JDG_Methane_YMF_x000a_Lab_FRAM_WA13_x000a_Organic Soil - July 2021"/>
    <s v="JDG_Methane_YMF_x000a_Lab_FRAM_WA13_x000a_Mineral Soil - July 2021"/>
  </r>
  <r>
    <x v="2"/>
    <x v="9"/>
    <s v="WA14"/>
    <x v="63"/>
    <m/>
    <s v="JDG_Methane_YMF_x000a_Lab_FRAM_WA14_x000a_Organic Soil - July 2021"/>
    <s v="JDG_Methane_YMF_x000a_Lab_FRAM_WA14_x000a_Mineral Soil - July 2021"/>
  </r>
  <r>
    <x v="2"/>
    <x v="9"/>
    <s v="WA15"/>
    <x v="40"/>
    <m/>
    <s v="JDG_Methane_YMF_x000a_Lab_FRAM_WA15_x000a_Organic Soil - July 2021"/>
    <s v="JDG_Methane_YMF_x000a_Lab_FRAM_WA15_x000a_Mineral Soil - July 2021"/>
  </r>
  <r>
    <x v="0"/>
    <x v="10"/>
    <s v="BC1"/>
    <x v="44"/>
    <m/>
    <s v="JDG_Methane_YMF_x000a_Lowland_PRSE_BC1_x000a_Organic Soil - July 2021"/>
    <s v="JDG_Methane_YMF_x000a_Lowland_PRSE_BC1_x000a_Mineral Soil - July 2021"/>
  </r>
  <r>
    <x v="0"/>
    <x v="11"/>
    <s v="WO1"/>
    <x v="2"/>
    <m/>
    <s v="JDG_Methane_YMF_x000a_Lowland_QUAL_WO1_x000a_Organic Soil - July 2021"/>
    <s v="JDG_Methane_YMF_x000a_Lowland_QUAL_WO1_x000a_Mineral Soil - July 2021"/>
  </r>
  <r>
    <x v="0"/>
    <x v="11"/>
    <s v="WO2"/>
    <x v="4"/>
    <m/>
    <s v="JDG_Methane_YMF_x000a_Lowland_QUAL_WO2_x000a_Organic Soil - July 2021"/>
    <s v="JDG_Methane_YMF_x000a_Lowland_QUAL_WO2_x000a_Mineral Soil - July 2021"/>
  </r>
  <r>
    <x v="0"/>
    <x v="12"/>
    <s v="BO1"/>
    <x v="25"/>
    <m/>
    <s v="JDG_Methane_YMF_x000a_Lowland_QUVE_BO1_x000a_Organic Soil - July 2021"/>
    <s v="JDG_Methane_YMF_x000a_Lowland_QUVE_BO1_x000a_Mineral Soil - July 2021"/>
  </r>
  <r>
    <x v="0"/>
    <x v="12"/>
    <s v="BO2"/>
    <x v="0"/>
    <m/>
    <s v="JDG_Methane_YMF_x000a_Lowland_QUVE_BO2_x000a_Organic Soil - July 2021"/>
    <s v="JDG_Methane_YMF_x000a_Lowland_QUVE_BO2_x000a_Mineral Soil - July 2021"/>
  </r>
  <r>
    <x v="0"/>
    <x v="12"/>
    <s v="BO3"/>
    <x v="71"/>
    <m/>
    <s v="JDG_Methane_YMF_x000a_Lowland_QUVE_BO3_x000a_Organic Soil - July 2021"/>
    <s v="JDG_Methane_YMF_x000a_Lowland_QUVE_BO3_x000a_Mineral Soil - July 2021"/>
  </r>
  <r>
    <x v="0"/>
    <x v="10"/>
    <s v="BC4"/>
    <x v="58"/>
    <m/>
    <s v="JDG_Methane_YMF_x000a_Lowland_PRSE_BC4_x000a_Organic Soil - July 2021"/>
    <s v="JDG_Methane_YMF_x000a_Lowland_PRSE_BC4_x000a_Mineral Soil - July 2021"/>
  </r>
  <r>
    <x v="0"/>
    <x v="10"/>
    <s v="BC5"/>
    <x v="43"/>
    <m/>
    <s v="JDG_Methane_YMF_x000a_Lowland_PRSE_BC5_x000a_Organic Soil - July 2021"/>
    <s v="JDG_Methane_YMF_x000a_Lowland_PRSE_BC5_x000a_Mineral Soil - July 2021"/>
  </r>
  <r>
    <x v="1"/>
    <x v="10"/>
    <s v="BC2"/>
    <x v="45"/>
    <m/>
    <s v="JDG_Methane_YMF_x000a_Ridge_PRSE_BC2_x000a_Organic Soil - July 2021"/>
    <s v="JDG_Methane_YMF_x000a_Ridge_PRSE_BC2_x000a_Mineral Soil - July 20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ACC2E-FC8D-484F-AD0B-B534879D6F02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8" firstHeaderRow="1" firstDataRow="2" firstDataCol="1"/>
  <pivotFields count="7">
    <pivotField axis="axisCol" showAll="0">
      <items count="4">
        <item x="2"/>
        <item x="0"/>
        <item x="1"/>
        <item t="default"/>
      </items>
    </pivotField>
    <pivotField axis="axisRow" showAll="0">
      <items count="14">
        <item x="0"/>
        <item x="2"/>
        <item x="4"/>
        <item x="3"/>
        <item x="5"/>
        <item x="6"/>
        <item x="9"/>
        <item x="7"/>
        <item x="10"/>
        <item x="11"/>
        <item x="1"/>
        <item x="12"/>
        <item x="8"/>
        <item t="default"/>
      </items>
    </pivotField>
    <pivotField showAll="0"/>
    <pivotField dataField="1" showAll="0">
      <items count="73">
        <item x="48"/>
        <item x="41"/>
        <item x="14"/>
        <item x="42"/>
        <item x="13"/>
        <item x="40"/>
        <item x="49"/>
        <item x="15"/>
        <item x="7"/>
        <item x="46"/>
        <item x="47"/>
        <item x="37"/>
        <item x="35"/>
        <item x="11"/>
        <item x="10"/>
        <item x="33"/>
        <item x="5"/>
        <item x="44"/>
        <item x="16"/>
        <item x="8"/>
        <item x="36"/>
        <item x="6"/>
        <item x="45"/>
        <item x="38"/>
        <item x="39"/>
        <item x="18"/>
        <item x="3"/>
        <item x="12"/>
        <item x="64"/>
        <item x="43"/>
        <item x="22"/>
        <item x="27"/>
        <item x="31"/>
        <item x="67"/>
        <item x="26"/>
        <item x="25"/>
        <item x="1"/>
        <item x="0"/>
        <item x="51"/>
        <item x="2"/>
        <item x="69"/>
        <item x="9"/>
        <item x="4"/>
        <item x="24"/>
        <item x="28"/>
        <item x="29"/>
        <item x="34"/>
        <item x="50"/>
        <item x="23"/>
        <item x="32"/>
        <item x="62"/>
        <item x="21"/>
        <item x="63"/>
        <item x="19"/>
        <item x="58"/>
        <item x="66"/>
        <item x="30"/>
        <item x="59"/>
        <item x="20"/>
        <item x="17"/>
        <item x="70"/>
        <item x="56"/>
        <item x="65"/>
        <item x="60"/>
        <item x="52"/>
        <item x="68"/>
        <item x="61"/>
        <item x="57"/>
        <item x="55"/>
        <item x="54"/>
        <item x="53"/>
        <item x="71"/>
        <item t="default"/>
      </items>
    </pivotField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DBH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0794-B8B0-664D-B556-21E4111E05E0}">
  <dimension ref="A3:E18"/>
  <sheetViews>
    <sheetView workbookViewId="0">
      <selection activeCell="B26" sqref="B26"/>
    </sheetView>
  </sheetViews>
  <sheetFormatPr baseColWidth="10" defaultRowHeight="16" x14ac:dyDescent="0.2"/>
  <cols>
    <col min="1" max="1" width="13" bestFit="1" customWidth="1"/>
    <col min="2" max="2" width="15.5" bestFit="1" customWidth="1"/>
    <col min="3" max="3" width="8" bestFit="1" customWidth="1"/>
    <col min="4" max="4" width="5.83203125" bestFit="1" customWidth="1"/>
  </cols>
  <sheetData>
    <row r="3" spans="1:5" x14ac:dyDescent="0.2">
      <c r="A3" s="1" t="s">
        <v>205</v>
      </c>
      <c r="B3" s="1" t="s">
        <v>204</v>
      </c>
    </row>
    <row r="4" spans="1:5" x14ac:dyDescent="0.2">
      <c r="A4" s="1" t="s">
        <v>202</v>
      </c>
      <c r="B4" t="s">
        <v>62</v>
      </c>
      <c r="C4" t="s">
        <v>59</v>
      </c>
      <c r="D4" t="s">
        <v>21</v>
      </c>
      <c r="E4" t="s">
        <v>203</v>
      </c>
    </row>
    <row r="5" spans="1:5" x14ac:dyDescent="0.2">
      <c r="A5" s="2" t="s">
        <v>5</v>
      </c>
      <c r="B5" s="3"/>
      <c r="C5" s="3">
        <v>16</v>
      </c>
      <c r="D5" s="3">
        <v>5</v>
      </c>
      <c r="E5" s="3">
        <v>21</v>
      </c>
    </row>
    <row r="6" spans="1:5" x14ac:dyDescent="0.2">
      <c r="A6" s="2" t="s">
        <v>41</v>
      </c>
      <c r="B6" s="3">
        <v>15</v>
      </c>
      <c r="C6" s="3"/>
      <c r="D6" s="3">
        <v>1</v>
      </c>
      <c r="E6" s="3">
        <v>16</v>
      </c>
    </row>
    <row r="7" spans="1:5" x14ac:dyDescent="0.2">
      <c r="A7" s="2" t="s">
        <v>87</v>
      </c>
      <c r="B7" s="3">
        <v>1</v>
      </c>
      <c r="C7" s="3">
        <v>16</v>
      </c>
      <c r="D7" s="3"/>
      <c r="E7" s="3">
        <v>17</v>
      </c>
    </row>
    <row r="8" spans="1:5" x14ac:dyDescent="0.2">
      <c r="A8" s="2" t="s">
        <v>64</v>
      </c>
      <c r="B8" s="3">
        <v>6</v>
      </c>
      <c r="C8" s="3">
        <v>3</v>
      </c>
      <c r="D8" s="3">
        <v>13</v>
      </c>
      <c r="E8" s="3">
        <v>22</v>
      </c>
    </row>
    <row r="9" spans="1:5" x14ac:dyDescent="0.2">
      <c r="A9" s="2" t="s">
        <v>105</v>
      </c>
      <c r="B9" s="3"/>
      <c r="C9" s="3">
        <v>5</v>
      </c>
      <c r="D9" s="3"/>
      <c r="E9" s="3">
        <v>5</v>
      </c>
    </row>
    <row r="10" spans="1:5" x14ac:dyDescent="0.2">
      <c r="A10" s="2" t="s">
        <v>112</v>
      </c>
      <c r="B10" s="3"/>
      <c r="C10" s="3">
        <v>10</v>
      </c>
      <c r="D10" s="3">
        <v>3</v>
      </c>
      <c r="E10" s="3">
        <v>13</v>
      </c>
    </row>
    <row r="11" spans="1:5" x14ac:dyDescent="0.2">
      <c r="A11" s="2" t="s">
        <v>173</v>
      </c>
      <c r="B11" s="3">
        <v>15</v>
      </c>
      <c r="C11" s="3"/>
      <c r="D11" s="3"/>
      <c r="E11" s="3">
        <v>15</v>
      </c>
    </row>
    <row r="12" spans="1:5" x14ac:dyDescent="0.2">
      <c r="A12" s="2" t="s">
        <v>136</v>
      </c>
      <c r="B12" s="3">
        <v>6</v>
      </c>
      <c r="C12" s="3">
        <v>15</v>
      </c>
      <c r="D12" s="3">
        <v>6</v>
      </c>
      <c r="E12" s="3">
        <v>27</v>
      </c>
    </row>
    <row r="13" spans="1:5" x14ac:dyDescent="0.2">
      <c r="A13" s="2" t="s">
        <v>189</v>
      </c>
      <c r="B13" s="3"/>
      <c r="C13" s="3">
        <v>3</v>
      </c>
      <c r="D13" s="3">
        <v>1</v>
      </c>
      <c r="E13" s="3">
        <v>4</v>
      </c>
    </row>
    <row r="14" spans="1:5" x14ac:dyDescent="0.2">
      <c r="A14" s="2" t="s">
        <v>190</v>
      </c>
      <c r="B14" s="3"/>
      <c r="C14" s="3">
        <v>2</v>
      </c>
      <c r="D14" s="3"/>
      <c r="E14" s="3">
        <v>2</v>
      </c>
    </row>
    <row r="15" spans="1:5" x14ac:dyDescent="0.2">
      <c r="A15" s="2" t="s">
        <v>22</v>
      </c>
      <c r="B15" s="3"/>
      <c r="C15" s="3">
        <v>16</v>
      </c>
      <c r="D15" s="3">
        <v>8</v>
      </c>
      <c r="E15" s="3">
        <v>24</v>
      </c>
    </row>
    <row r="16" spans="1:5" x14ac:dyDescent="0.2">
      <c r="A16" s="2" t="s">
        <v>191</v>
      </c>
      <c r="B16" s="3"/>
      <c r="C16" s="3">
        <v>3</v>
      </c>
      <c r="D16" s="3"/>
      <c r="E16" s="3">
        <v>3</v>
      </c>
    </row>
    <row r="17" spans="1:5" x14ac:dyDescent="0.2">
      <c r="A17" s="2" t="s">
        <v>151</v>
      </c>
      <c r="B17" s="3">
        <v>6</v>
      </c>
      <c r="C17" s="3">
        <v>18</v>
      </c>
      <c r="D17" s="3">
        <v>6</v>
      </c>
      <c r="E17" s="3">
        <v>30</v>
      </c>
    </row>
    <row r="18" spans="1:5" x14ac:dyDescent="0.2">
      <c r="A18" s="2" t="s">
        <v>203</v>
      </c>
      <c r="B18" s="3">
        <v>49</v>
      </c>
      <c r="C18" s="3">
        <v>107</v>
      </c>
      <c r="D18" s="3">
        <v>43</v>
      </c>
      <c r="E18" s="3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6865-B0FC-E740-8306-15A4224C98A5}">
  <sheetPr>
    <pageSetUpPr fitToPage="1"/>
  </sheetPr>
  <dimension ref="A1:R200"/>
  <sheetViews>
    <sheetView tabSelected="1" topLeftCell="M1" zoomScale="168" workbookViewId="0">
      <pane ySplit="1" topLeftCell="A2" activePane="bottomLeft" state="frozen"/>
      <selection pane="bottomLeft" activeCell="Q2" sqref="Q2:R200"/>
    </sheetView>
  </sheetViews>
  <sheetFormatPr baseColWidth="10" defaultRowHeight="16" x14ac:dyDescent="0.2"/>
  <cols>
    <col min="13" max="13" width="57.33203125" bestFit="1" customWidth="1"/>
  </cols>
  <sheetData>
    <row r="1" spans="1:18" ht="45" x14ac:dyDescent="0.2">
      <c r="A1" s="7" t="s">
        <v>0</v>
      </c>
      <c r="B1" s="7" t="s">
        <v>1</v>
      </c>
      <c r="C1" s="7" t="s">
        <v>2</v>
      </c>
      <c r="D1" s="7" t="s">
        <v>228</v>
      </c>
      <c r="E1" s="7" t="s">
        <v>229</v>
      </c>
      <c r="F1" s="7" t="s">
        <v>230</v>
      </c>
      <c r="G1" s="7" t="s">
        <v>3</v>
      </c>
      <c r="H1" s="7" t="s">
        <v>4</v>
      </c>
      <c r="I1" s="7" t="s">
        <v>223</v>
      </c>
      <c r="J1" s="7" t="s">
        <v>226</v>
      </c>
      <c r="K1" s="7" t="s">
        <v>206</v>
      </c>
      <c r="L1" s="7" t="s">
        <v>207</v>
      </c>
      <c r="M1" s="14" t="s">
        <v>231</v>
      </c>
      <c r="N1" s="14" t="s">
        <v>232</v>
      </c>
      <c r="O1" s="16" t="s">
        <v>233</v>
      </c>
      <c r="P1" s="16" t="s">
        <v>234</v>
      </c>
      <c r="Q1" s="15" t="s">
        <v>235</v>
      </c>
      <c r="R1" s="15" t="s">
        <v>236</v>
      </c>
    </row>
    <row r="2" spans="1:18" x14ac:dyDescent="0.2">
      <c r="A2" s="7" t="s">
        <v>62</v>
      </c>
      <c r="B2" s="7" t="s">
        <v>41</v>
      </c>
      <c r="C2" s="7" t="s">
        <v>42</v>
      </c>
      <c r="D2" s="7"/>
      <c r="E2" s="7"/>
      <c r="F2" s="7"/>
      <c r="G2" s="7">
        <v>27</v>
      </c>
      <c r="H2" s="7"/>
      <c r="I2" s="7" t="s">
        <v>225</v>
      </c>
      <c r="J2" s="7" t="str">
        <f>IF(I2="No", "Yes", "No")</f>
        <v>Yes</v>
      </c>
      <c r="K2" s="7" t="str">
        <f>"JDG_Methane_YMF"&amp;CHAR(10)&amp;A2&amp;"_"&amp;B2&amp;"_"&amp;C2&amp;CHAR(10)&amp;"Organic Soil - July 2021"</f>
        <v>JDG_Methane_YMF
Lab_ACSA_SM1
Organic Soil - July 2021</v>
      </c>
      <c r="L2" s="7" t="str">
        <f>"JDG_Methane_YMF"&amp;CHAR(10)&amp;A2&amp;"_"&amp;B2&amp;"_"&amp;C2&amp;CHAR(10)&amp;"Mineral Soil - July 2021"</f>
        <v>JDG_Methane_YMF
Lab_ACSA_SM1
Mineral Soil - July 2021</v>
      </c>
      <c r="M2" s="7" t="str">
        <f>"JDG_Methane_YMF"&amp;CHAR(10)&amp;A2&amp;"_"&amp;B2&amp;"_"&amp;C2&amp;CHAR(10)&amp;"Tree Core - MethaneTraits - 2021"</f>
        <v>JDG_Methane_YMF
Lab_ACSA_SM1
Tree Core - MethaneTraits - 2021</v>
      </c>
      <c r="N2" s="7" t="str">
        <f>"JDG_Methane_YMF"&amp;CHAR(10)&amp;A2&amp;"_"&amp;B2&amp;"_"&amp;C2&amp;CHAR(10)&amp;"Tree Core - Molecular - 2021"</f>
        <v>JDG_Methane_YMF
Lab_ACSA_SM1
Tree Core - Molecular - 2021</v>
      </c>
      <c r="O2" s="7" t="str">
        <f>"JDG_Methane_YMF"&amp;CHAR(10)&amp;A2&amp;"_"&amp;B2&amp;"_"&amp;C2&amp;CHAR(10)&amp;"Organic Soil - Molecular - 2021"</f>
        <v>JDG_Methane_YMF
Lab_ACSA_SM1
Organic Soil - Molecular - 2021</v>
      </c>
      <c r="P2" s="7" t="str">
        <f>"JDG_Methane_YMF"&amp;CHAR(10)&amp;A2&amp;"_"&amp;B2&amp;"_"&amp;C2&amp;CHAR(10)&amp;"Mineral Soil - Molecular - 2021"</f>
        <v>JDG_Methane_YMF
Lab_ACSA_SM1
Mineral Soil - Molecular - 2021</v>
      </c>
      <c r="Q2" t="str">
        <f>"JDG_Methane_YMF"&amp;CHAR(10)&amp;A2&amp;"_"&amp;B2&amp;"_"&amp;C2&amp;CHAR(10)&amp;"Internal Gas - #1/2 - 2021"</f>
        <v>JDG_Methane_YMF
Lab_ACSA_SM1
Internal Gas - #1/2 - 2021</v>
      </c>
      <c r="R2" t="str">
        <f>"JDG_Methane_YMF"&amp;CHAR(10)&amp;A2&amp;"_"&amp;B2&amp;"_"&amp;C2&amp;CHAR(10)&amp;"Internal Gas - #2/2 - 2021"</f>
        <v>JDG_Methane_YMF
Lab_ACSA_SM1
Internal Gas - #2/2 - 2021</v>
      </c>
    </row>
    <row r="3" spans="1:18" x14ac:dyDescent="0.2">
      <c r="A3" s="7" t="s">
        <v>62</v>
      </c>
      <c r="B3" s="7" t="s">
        <v>41</v>
      </c>
      <c r="C3" s="7" t="s">
        <v>51</v>
      </c>
      <c r="D3" s="7"/>
      <c r="E3" s="7"/>
      <c r="F3" s="7"/>
      <c r="G3" s="7">
        <v>32.5</v>
      </c>
      <c r="H3" s="7"/>
      <c r="I3" s="7" t="s">
        <v>225</v>
      </c>
      <c r="J3" s="7" t="str">
        <f>IF(I3="No", "Yes", "No")</f>
        <v>Yes</v>
      </c>
      <c r="K3" s="7" t="str">
        <f>"JDG_Methane_YMF"&amp;CHAR(10)&amp;A3&amp;"_"&amp;B3&amp;"_"&amp;C3&amp;CHAR(10)&amp;"Organic Soil - July 2021"</f>
        <v>JDG_Methane_YMF
Lab_ACSA_SM10
Organic Soil - July 2021</v>
      </c>
      <c r="L3" s="7" t="str">
        <f>"JDG_Methane_YMF"&amp;CHAR(10)&amp;A3&amp;"_"&amp;B3&amp;"_"&amp;C3&amp;CHAR(10)&amp;"Mineral Soil - July 2021"</f>
        <v>JDG_Methane_YMF
Lab_ACSA_SM10
Mineral Soil - July 2021</v>
      </c>
      <c r="M3" s="7" t="str">
        <f>"JDG_Methane_YMF"&amp;CHAR(10)&amp;A3&amp;"_"&amp;B3&amp;"_"&amp;C3&amp;CHAR(10)&amp;"Tree Core - MethaneTraits - 2021"</f>
        <v>JDG_Methane_YMF
Lab_ACSA_SM10
Tree Core - MethaneTraits - 2021</v>
      </c>
      <c r="N3" s="7" t="str">
        <f>"JDG_Methane_YMF"&amp;CHAR(10)&amp;A3&amp;"_"&amp;B3&amp;"_"&amp;C3&amp;CHAR(10)&amp;"Tree Core - Molecular - 2021"</f>
        <v>JDG_Methane_YMF
Lab_ACSA_SM10
Tree Core - Molecular - 2021</v>
      </c>
      <c r="O3" s="7" t="str">
        <f>"JDG_Methane_YMF"&amp;CHAR(10)&amp;A3&amp;"_"&amp;B3&amp;"_"&amp;C3&amp;CHAR(10)&amp;"Organic Soil - Molecular - 2021"</f>
        <v>JDG_Methane_YMF
Lab_ACSA_SM10
Organic Soil - Molecular - 2021</v>
      </c>
      <c r="P3" s="7" t="str">
        <f>"JDG_Methane_YMF"&amp;CHAR(10)&amp;A3&amp;"_"&amp;B3&amp;"_"&amp;C3&amp;CHAR(10)&amp;"Mineral Soil - Molecular - 2021"</f>
        <v>JDG_Methane_YMF
Lab_ACSA_SM10
Mineral Soil - Molecular - 2021</v>
      </c>
      <c r="Q3" t="str">
        <f t="shared" ref="Q3:Q66" si="0">"JDG_Methane_YMF"&amp;CHAR(10)&amp;A3&amp;"_"&amp;B3&amp;"_"&amp;C3&amp;CHAR(10)&amp;"Internal Gas - #1/2 - 2021"</f>
        <v>JDG_Methane_YMF
Lab_ACSA_SM10
Internal Gas - #1/2 - 2021</v>
      </c>
      <c r="R3" t="str">
        <f t="shared" ref="R3:R66" si="1">"JDG_Methane_YMF"&amp;CHAR(10)&amp;A3&amp;"_"&amp;B3&amp;"_"&amp;C3&amp;CHAR(10)&amp;"Internal Gas - #2/2 - 2021"</f>
        <v>JDG_Methane_YMF
Lab_ACSA_SM10
Internal Gas - #2/2 - 2021</v>
      </c>
    </row>
    <row r="4" spans="1:18" x14ac:dyDescent="0.2">
      <c r="A4" s="7" t="s">
        <v>62</v>
      </c>
      <c r="B4" s="7" t="s">
        <v>41</v>
      </c>
      <c r="C4" s="7" t="s">
        <v>52</v>
      </c>
      <c r="D4" s="7"/>
      <c r="E4" s="7"/>
      <c r="F4" s="7"/>
      <c r="G4" s="7">
        <v>30</v>
      </c>
      <c r="H4" s="7"/>
      <c r="I4" s="7" t="s">
        <v>225</v>
      </c>
      <c r="J4" s="7" t="str">
        <f>IF(I4="No", "Yes", "No")</f>
        <v>Yes</v>
      </c>
      <c r="K4" s="7" t="str">
        <f>"JDG_Methane_YMF"&amp;CHAR(10)&amp;A4&amp;"_"&amp;B4&amp;"_"&amp;C4&amp;CHAR(10)&amp;"Organic Soil - July 2021"</f>
        <v>JDG_Methane_YMF
Lab_ACSA_SM11
Organic Soil - July 2021</v>
      </c>
      <c r="L4" s="7" t="str">
        <f>"JDG_Methane_YMF"&amp;CHAR(10)&amp;A4&amp;"_"&amp;B4&amp;"_"&amp;C4&amp;CHAR(10)&amp;"Mineral Soil - July 2021"</f>
        <v>JDG_Methane_YMF
Lab_ACSA_SM11
Mineral Soil - July 2021</v>
      </c>
      <c r="M4" s="7" t="str">
        <f>"JDG_Methane_YMF"&amp;CHAR(10)&amp;A4&amp;"_"&amp;B4&amp;"_"&amp;C4&amp;CHAR(10)&amp;"Tree Core - MethaneTraits - 2021"</f>
        <v>JDG_Methane_YMF
Lab_ACSA_SM11
Tree Core - MethaneTraits - 2021</v>
      </c>
      <c r="N4" s="7" t="str">
        <f>"JDG_Methane_YMF"&amp;CHAR(10)&amp;A4&amp;"_"&amp;B4&amp;"_"&amp;C4&amp;CHAR(10)&amp;"Tree Core - Molecular - 2021"</f>
        <v>JDG_Methane_YMF
Lab_ACSA_SM11
Tree Core - Molecular - 2021</v>
      </c>
      <c r="O4" s="7" t="str">
        <f>"JDG_Methane_YMF"&amp;CHAR(10)&amp;A4&amp;"_"&amp;B4&amp;"_"&amp;C4&amp;CHAR(10)&amp;"Organic Soil - Molecular - 2021"</f>
        <v>JDG_Methane_YMF
Lab_ACSA_SM11
Organic Soil - Molecular - 2021</v>
      </c>
      <c r="P4" s="7" t="str">
        <f>"JDG_Methane_YMF"&amp;CHAR(10)&amp;A4&amp;"_"&amp;B4&amp;"_"&amp;C4&amp;CHAR(10)&amp;"Mineral Soil - Molecular - 2021"</f>
        <v>JDG_Methane_YMF
Lab_ACSA_SM11
Mineral Soil - Molecular - 2021</v>
      </c>
      <c r="Q4" t="str">
        <f t="shared" si="0"/>
        <v>JDG_Methane_YMF
Lab_ACSA_SM11
Internal Gas - #1/2 - 2021</v>
      </c>
      <c r="R4" t="str">
        <f t="shared" si="1"/>
        <v>JDG_Methane_YMF
Lab_ACSA_SM11
Internal Gas - #2/2 - 2021</v>
      </c>
    </row>
    <row r="5" spans="1:18" x14ac:dyDescent="0.2">
      <c r="A5" s="7" t="s">
        <v>62</v>
      </c>
      <c r="B5" s="7" t="s">
        <v>41</v>
      </c>
      <c r="C5" s="7" t="s">
        <v>53</v>
      </c>
      <c r="D5" s="7"/>
      <c r="E5" s="7"/>
      <c r="F5" s="7"/>
      <c r="G5" s="7">
        <v>29.5</v>
      </c>
      <c r="H5" s="7"/>
      <c r="I5" s="7" t="s">
        <v>225</v>
      </c>
      <c r="J5" s="7" t="str">
        <f>IF(I5="No", "Yes", "No")</f>
        <v>Yes</v>
      </c>
      <c r="K5" s="7" t="str">
        <f>"JDG_Methane_YMF"&amp;CHAR(10)&amp;A5&amp;"_"&amp;B5&amp;"_"&amp;C5&amp;CHAR(10)&amp;"Organic Soil - July 2021"</f>
        <v>JDG_Methane_YMF
Lab_ACSA_SM12
Organic Soil - July 2021</v>
      </c>
      <c r="L5" s="7" t="str">
        <f>"JDG_Methane_YMF"&amp;CHAR(10)&amp;A5&amp;"_"&amp;B5&amp;"_"&amp;C5&amp;CHAR(10)&amp;"Mineral Soil - July 2021"</f>
        <v>JDG_Methane_YMF
Lab_ACSA_SM12
Mineral Soil - July 2021</v>
      </c>
      <c r="M5" s="7" t="str">
        <f>"JDG_Methane_YMF"&amp;CHAR(10)&amp;A5&amp;"_"&amp;B5&amp;"_"&amp;C5&amp;CHAR(10)&amp;"Tree Core - MethaneTraits - 2021"</f>
        <v>JDG_Methane_YMF
Lab_ACSA_SM12
Tree Core - MethaneTraits - 2021</v>
      </c>
      <c r="N5" s="7" t="str">
        <f>"JDG_Methane_YMF"&amp;CHAR(10)&amp;A5&amp;"_"&amp;B5&amp;"_"&amp;C5&amp;CHAR(10)&amp;"Tree Core - Molecular - 2021"</f>
        <v>JDG_Methane_YMF
Lab_ACSA_SM12
Tree Core - Molecular - 2021</v>
      </c>
      <c r="O5" s="7" t="str">
        <f>"JDG_Methane_YMF"&amp;CHAR(10)&amp;A5&amp;"_"&amp;B5&amp;"_"&amp;C5&amp;CHAR(10)&amp;"Organic Soil - Molecular - 2021"</f>
        <v>JDG_Methane_YMF
Lab_ACSA_SM12
Organic Soil - Molecular - 2021</v>
      </c>
      <c r="P5" s="7" t="str">
        <f>"JDG_Methane_YMF"&amp;CHAR(10)&amp;A5&amp;"_"&amp;B5&amp;"_"&amp;C5&amp;CHAR(10)&amp;"Mineral Soil - Molecular - 2021"</f>
        <v>JDG_Methane_YMF
Lab_ACSA_SM12
Mineral Soil - Molecular - 2021</v>
      </c>
      <c r="Q5" t="str">
        <f t="shared" si="0"/>
        <v>JDG_Methane_YMF
Lab_ACSA_SM12
Internal Gas - #1/2 - 2021</v>
      </c>
      <c r="R5" t="str">
        <f t="shared" si="1"/>
        <v>JDG_Methane_YMF
Lab_ACSA_SM12
Internal Gas - #2/2 - 2021</v>
      </c>
    </row>
    <row r="6" spans="1:18" x14ac:dyDescent="0.2">
      <c r="A6" s="7" t="s">
        <v>62</v>
      </c>
      <c r="B6" s="7" t="s">
        <v>41</v>
      </c>
      <c r="C6" s="7" t="s">
        <v>54</v>
      </c>
      <c r="D6" s="7"/>
      <c r="E6" s="7"/>
      <c r="F6" s="7"/>
      <c r="G6" s="7">
        <v>30.5</v>
      </c>
      <c r="H6" s="7"/>
      <c r="I6" s="7" t="s">
        <v>225</v>
      </c>
      <c r="J6" s="7" t="str">
        <f>IF(I6="No", "Yes", "No")</f>
        <v>Yes</v>
      </c>
      <c r="K6" s="7" t="str">
        <f>"JDG_Methane_YMF"&amp;CHAR(10)&amp;A6&amp;"_"&amp;B6&amp;"_"&amp;C6&amp;CHAR(10)&amp;"Organic Soil - July 2021"</f>
        <v>JDG_Methane_YMF
Lab_ACSA_SM13
Organic Soil - July 2021</v>
      </c>
      <c r="L6" s="7" t="str">
        <f>"JDG_Methane_YMF"&amp;CHAR(10)&amp;A6&amp;"_"&amp;B6&amp;"_"&amp;C6&amp;CHAR(10)&amp;"Mineral Soil - July 2021"</f>
        <v>JDG_Methane_YMF
Lab_ACSA_SM13
Mineral Soil - July 2021</v>
      </c>
      <c r="M6" s="7" t="str">
        <f>"JDG_Methane_YMF"&amp;CHAR(10)&amp;A6&amp;"_"&amp;B6&amp;"_"&amp;C6&amp;CHAR(10)&amp;"Tree Core - MethaneTraits - 2021"</f>
        <v>JDG_Methane_YMF
Lab_ACSA_SM13
Tree Core - MethaneTraits - 2021</v>
      </c>
      <c r="N6" s="7" t="str">
        <f>"JDG_Methane_YMF"&amp;CHAR(10)&amp;A6&amp;"_"&amp;B6&amp;"_"&amp;C6&amp;CHAR(10)&amp;"Tree Core - Molecular - 2021"</f>
        <v>JDG_Methane_YMF
Lab_ACSA_SM13
Tree Core - Molecular - 2021</v>
      </c>
      <c r="O6" s="7" t="str">
        <f>"JDG_Methane_YMF"&amp;CHAR(10)&amp;A6&amp;"_"&amp;B6&amp;"_"&amp;C6&amp;CHAR(10)&amp;"Organic Soil - Molecular - 2021"</f>
        <v>JDG_Methane_YMF
Lab_ACSA_SM13
Organic Soil - Molecular - 2021</v>
      </c>
      <c r="P6" s="7" t="str">
        <f>"JDG_Methane_YMF"&amp;CHAR(10)&amp;A6&amp;"_"&amp;B6&amp;"_"&amp;C6&amp;CHAR(10)&amp;"Mineral Soil - Molecular - 2021"</f>
        <v>JDG_Methane_YMF
Lab_ACSA_SM13
Mineral Soil - Molecular - 2021</v>
      </c>
      <c r="Q6" t="str">
        <f t="shared" si="0"/>
        <v>JDG_Methane_YMF
Lab_ACSA_SM13
Internal Gas - #1/2 - 2021</v>
      </c>
      <c r="R6" t="str">
        <f t="shared" si="1"/>
        <v>JDG_Methane_YMF
Lab_ACSA_SM13
Internal Gas - #2/2 - 2021</v>
      </c>
    </row>
    <row r="7" spans="1:18" x14ac:dyDescent="0.2">
      <c r="A7" s="7" t="s">
        <v>62</v>
      </c>
      <c r="B7" s="7" t="s">
        <v>41</v>
      </c>
      <c r="C7" s="7" t="s">
        <v>55</v>
      </c>
      <c r="D7" s="7"/>
      <c r="E7" s="7"/>
      <c r="F7" s="7"/>
      <c r="G7" s="7">
        <v>26</v>
      </c>
      <c r="H7" s="7"/>
      <c r="I7" s="7" t="s">
        <v>224</v>
      </c>
      <c r="J7" s="7" t="str">
        <f>IF(I7="No", "Yes", "No")</f>
        <v>No</v>
      </c>
      <c r="K7" s="7" t="str">
        <f>"JDG_Methane_YMF"&amp;CHAR(10)&amp;A7&amp;"_"&amp;B7&amp;"_"&amp;C7&amp;CHAR(10)&amp;"Organic Soil - July 2021"</f>
        <v>JDG_Methane_YMF
Lab_ACSA_SM14
Organic Soil - July 2021</v>
      </c>
      <c r="L7" s="7" t="str">
        <f>"JDG_Methane_YMF"&amp;CHAR(10)&amp;A7&amp;"_"&amp;B7&amp;"_"&amp;C7&amp;CHAR(10)&amp;"Mineral Soil - July 2021"</f>
        <v>JDG_Methane_YMF
Lab_ACSA_SM14
Mineral Soil - July 2021</v>
      </c>
      <c r="M7" s="7" t="str">
        <f>"JDG_Methane_YMF"&amp;CHAR(10)&amp;A7&amp;"_"&amp;B7&amp;"_"&amp;C7&amp;CHAR(10)&amp;"Tree Core - MethaneTraits - 2021"</f>
        <v>JDG_Methane_YMF
Lab_ACSA_SM14
Tree Core - MethaneTraits - 2021</v>
      </c>
      <c r="N7" s="7" t="str">
        <f>"JDG_Methane_YMF"&amp;CHAR(10)&amp;A7&amp;"_"&amp;B7&amp;"_"&amp;C7&amp;CHAR(10)&amp;"Tree Core - Molecular - 2021"</f>
        <v>JDG_Methane_YMF
Lab_ACSA_SM14
Tree Core - Molecular - 2021</v>
      </c>
      <c r="O7" s="7" t="str">
        <f>"JDG_Methane_YMF"&amp;CHAR(10)&amp;A7&amp;"_"&amp;B7&amp;"_"&amp;C7&amp;CHAR(10)&amp;"Organic Soil - Molecular - 2021"</f>
        <v>JDG_Methane_YMF
Lab_ACSA_SM14
Organic Soil - Molecular - 2021</v>
      </c>
      <c r="P7" s="7" t="str">
        <f>"JDG_Methane_YMF"&amp;CHAR(10)&amp;A7&amp;"_"&amp;B7&amp;"_"&amp;C7&amp;CHAR(10)&amp;"Mineral Soil - Molecular - 2021"</f>
        <v>JDG_Methane_YMF
Lab_ACSA_SM14
Mineral Soil - Molecular - 2021</v>
      </c>
      <c r="Q7" t="str">
        <f t="shared" si="0"/>
        <v>JDG_Methane_YMF
Lab_ACSA_SM14
Internal Gas - #1/2 - 2021</v>
      </c>
      <c r="R7" t="str">
        <f t="shared" si="1"/>
        <v>JDG_Methane_YMF
Lab_ACSA_SM14
Internal Gas - #2/2 - 2021</v>
      </c>
    </row>
    <row r="8" spans="1:18" x14ac:dyDescent="0.2">
      <c r="A8" s="7" t="s">
        <v>62</v>
      </c>
      <c r="B8" s="7" t="s">
        <v>41</v>
      </c>
      <c r="C8" s="7" t="s">
        <v>56</v>
      </c>
      <c r="D8" s="7"/>
      <c r="E8" s="7"/>
      <c r="F8" s="7"/>
      <c r="G8" s="7">
        <v>25.5</v>
      </c>
      <c r="H8" s="7"/>
      <c r="I8" s="7" t="s">
        <v>225</v>
      </c>
      <c r="J8" s="7" t="str">
        <f>IF(I8="No", "Yes", "No")</f>
        <v>Yes</v>
      </c>
      <c r="K8" s="7" t="str">
        <f>"JDG_Methane_YMF"&amp;CHAR(10)&amp;A8&amp;"_"&amp;B8&amp;"_"&amp;C8&amp;CHAR(10)&amp;"Organic Soil - July 2021"</f>
        <v>JDG_Methane_YMF
Lab_ACSA_SM15
Organic Soil - July 2021</v>
      </c>
      <c r="L8" s="7" t="str">
        <f>"JDG_Methane_YMF"&amp;CHAR(10)&amp;A8&amp;"_"&amp;B8&amp;"_"&amp;C8&amp;CHAR(10)&amp;"Mineral Soil - July 2021"</f>
        <v>JDG_Methane_YMF
Lab_ACSA_SM15
Mineral Soil - July 2021</v>
      </c>
      <c r="M8" s="7" t="str">
        <f>"JDG_Methane_YMF"&amp;CHAR(10)&amp;A8&amp;"_"&amp;B8&amp;"_"&amp;C8&amp;CHAR(10)&amp;"Tree Core - MethaneTraits - 2021"</f>
        <v>JDG_Methane_YMF
Lab_ACSA_SM15
Tree Core - MethaneTraits - 2021</v>
      </c>
      <c r="N8" s="7" t="str">
        <f>"JDG_Methane_YMF"&amp;CHAR(10)&amp;A8&amp;"_"&amp;B8&amp;"_"&amp;C8&amp;CHAR(10)&amp;"Tree Core - Molecular - 2021"</f>
        <v>JDG_Methane_YMF
Lab_ACSA_SM15
Tree Core - Molecular - 2021</v>
      </c>
      <c r="O8" s="7" t="str">
        <f>"JDG_Methane_YMF"&amp;CHAR(10)&amp;A8&amp;"_"&amp;B8&amp;"_"&amp;C8&amp;CHAR(10)&amp;"Organic Soil - Molecular - 2021"</f>
        <v>JDG_Methane_YMF
Lab_ACSA_SM15
Organic Soil - Molecular - 2021</v>
      </c>
      <c r="P8" s="7" t="str">
        <f>"JDG_Methane_YMF"&amp;CHAR(10)&amp;A8&amp;"_"&amp;B8&amp;"_"&amp;C8&amp;CHAR(10)&amp;"Mineral Soil - Molecular - 2021"</f>
        <v>JDG_Methane_YMF
Lab_ACSA_SM15
Mineral Soil - Molecular - 2021</v>
      </c>
      <c r="Q8" t="str">
        <f t="shared" si="0"/>
        <v>JDG_Methane_YMF
Lab_ACSA_SM15
Internal Gas - #1/2 - 2021</v>
      </c>
      <c r="R8" t="str">
        <f t="shared" si="1"/>
        <v>JDG_Methane_YMF
Lab_ACSA_SM15
Internal Gas - #2/2 - 2021</v>
      </c>
    </row>
    <row r="9" spans="1:18" x14ac:dyDescent="0.2">
      <c r="A9" s="7" t="s">
        <v>62</v>
      </c>
      <c r="B9" s="7" t="s">
        <v>41</v>
      </c>
      <c r="C9" s="7" t="s">
        <v>43</v>
      </c>
      <c r="D9" s="7"/>
      <c r="E9" s="7"/>
      <c r="F9" s="7"/>
      <c r="G9" s="7">
        <v>37</v>
      </c>
      <c r="H9" s="7"/>
      <c r="I9" s="7" t="s">
        <v>225</v>
      </c>
      <c r="J9" s="7" t="str">
        <f>IF(I9="No", "Yes", "No")</f>
        <v>Yes</v>
      </c>
      <c r="K9" s="7" t="str">
        <f>"JDG_Methane_YMF"&amp;CHAR(10)&amp;A9&amp;"_"&amp;B9&amp;"_"&amp;C9&amp;CHAR(10)&amp;"Organic Soil - July 2021"</f>
        <v>JDG_Methane_YMF
Lab_ACSA_SM2
Organic Soil - July 2021</v>
      </c>
      <c r="L9" s="7" t="str">
        <f>"JDG_Methane_YMF"&amp;CHAR(10)&amp;A9&amp;"_"&amp;B9&amp;"_"&amp;C9&amp;CHAR(10)&amp;"Mineral Soil - July 2021"</f>
        <v>JDG_Methane_YMF
Lab_ACSA_SM2
Mineral Soil - July 2021</v>
      </c>
      <c r="M9" s="7" t="str">
        <f>"JDG_Methane_YMF"&amp;CHAR(10)&amp;A9&amp;"_"&amp;B9&amp;"_"&amp;C9&amp;CHAR(10)&amp;"Tree Core - MethaneTraits - 2021"</f>
        <v>JDG_Methane_YMF
Lab_ACSA_SM2
Tree Core - MethaneTraits - 2021</v>
      </c>
      <c r="N9" s="7" t="str">
        <f>"JDG_Methane_YMF"&amp;CHAR(10)&amp;A9&amp;"_"&amp;B9&amp;"_"&amp;C9&amp;CHAR(10)&amp;"Tree Core - Molecular - 2021"</f>
        <v>JDG_Methane_YMF
Lab_ACSA_SM2
Tree Core - Molecular - 2021</v>
      </c>
      <c r="O9" s="7" t="str">
        <f>"JDG_Methane_YMF"&amp;CHAR(10)&amp;A9&amp;"_"&amp;B9&amp;"_"&amp;C9&amp;CHAR(10)&amp;"Organic Soil - Molecular - 2021"</f>
        <v>JDG_Methane_YMF
Lab_ACSA_SM2
Organic Soil - Molecular - 2021</v>
      </c>
      <c r="P9" s="7" t="str">
        <f>"JDG_Methane_YMF"&amp;CHAR(10)&amp;A9&amp;"_"&amp;B9&amp;"_"&amp;C9&amp;CHAR(10)&amp;"Mineral Soil - Molecular - 2021"</f>
        <v>JDG_Methane_YMF
Lab_ACSA_SM2
Mineral Soil - Molecular - 2021</v>
      </c>
      <c r="Q9" t="str">
        <f t="shared" si="0"/>
        <v>JDG_Methane_YMF
Lab_ACSA_SM2
Internal Gas - #1/2 - 2021</v>
      </c>
      <c r="R9" t="str">
        <f t="shared" si="1"/>
        <v>JDG_Methane_YMF
Lab_ACSA_SM2
Internal Gas - #2/2 - 2021</v>
      </c>
    </row>
    <row r="10" spans="1:18" x14ac:dyDescent="0.2">
      <c r="A10" s="7" t="s">
        <v>62</v>
      </c>
      <c r="B10" s="7" t="s">
        <v>41</v>
      </c>
      <c r="C10" s="7" t="s">
        <v>44</v>
      </c>
      <c r="D10" s="7"/>
      <c r="E10" s="7"/>
      <c r="F10" s="7"/>
      <c r="G10" s="7">
        <v>27.5</v>
      </c>
      <c r="H10" s="7"/>
      <c r="I10" s="7" t="s">
        <v>225</v>
      </c>
      <c r="J10" s="7" t="str">
        <f>IF(I10="No", "Yes", "No")</f>
        <v>Yes</v>
      </c>
      <c r="K10" s="7" t="str">
        <f>"JDG_Methane_YMF"&amp;CHAR(10)&amp;A10&amp;"_"&amp;B10&amp;"_"&amp;C10&amp;CHAR(10)&amp;"Organic Soil - July 2021"</f>
        <v>JDG_Methane_YMF
Lab_ACSA_SM3
Organic Soil - July 2021</v>
      </c>
      <c r="L10" s="7" t="str">
        <f>"JDG_Methane_YMF"&amp;CHAR(10)&amp;A10&amp;"_"&amp;B10&amp;"_"&amp;C10&amp;CHAR(10)&amp;"Mineral Soil - July 2021"</f>
        <v>JDG_Methane_YMF
Lab_ACSA_SM3
Mineral Soil - July 2021</v>
      </c>
      <c r="M10" s="7" t="str">
        <f>"JDG_Methane_YMF"&amp;CHAR(10)&amp;A10&amp;"_"&amp;B10&amp;"_"&amp;C10&amp;CHAR(10)&amp;"Tree Core - MethaneTraits - 2021"</f>
        <v>JDG_Methane_YMF
Lab_ACSA_SM3
Tree Core - MethaneTraits - 2021</v>
      </c>
      <c r="N10" s="7" t="str">
        <f>"JDG_Methane_YMF"&amp;CHAR(10)&amp;A10&amp;"_"&amp;B10&amp;"_"&amp;C10&amp;CHAR(10)&amp;"Tree Core - Molecular - 2021"</f>
        <v>JDG_Methane_YMF
Lab_ACSA_SM3
Tree Core - Molecular - 2021</v>
      </c>
      <c r="O10" s="7" t="str">
        <f>"JDG_Methane_YMF"&amp;CHAR(10)&amp;A10&amp;"_"&amp;B10&amp;"_"&amp;C10&amp;CHAR(10)&amp;"Organic Soil - Molecular - 2021"</f>
        <v>JDG_Methane_YMF
Lab_ACSA_SM3
Organic Soil - Molecular - 2021</v>
      </c>
      <c r="P10" s="7" t="str">
        <f>"JDG_Methane_YMF"&amp;CHAR(10)&amp;A10&amp;"_"&amp;B10&amp;"_"&amp;C10&amp;CHAR(10)&amp;"Mineral Soil - Molecular - 2021"</f>
        <v>JDG_Methane_YMF
Lab_ACSA_SM3
Mineral Soil - Molecular - 2021</v>
      </c>
      <c r="Q10" t="str">
        <f t="shared" si="0"/>
        <v>JDG_Methane_YMF
Lab_ACSA_SM3
Internal Gas - #1/2 - 2021</v>
      </c>
      <c r="R10" t="str">
        <f t="shared" si="1"/>
        <v>JDG_Methane_YMF
Lab_ACSA_SM3
Internal Gas - #2/2 - 2021</v>
      </c>
    </row>
    <row r="11" spans="1:18" x14ac:dyDescent="0.2">
      <c r="A11" s="7" t="s">
        <v>62</v>
      </c>
      <c r="B11" s="7" t="s">
        <v>41</v>
      </c>
      <c r="C11" s="7" t="s">
        <v>45</v>
      </c>
      <c r="D11" s="7"/>
      <c r="E11" s="7"/>
      <c r="F11" s="7"/>
      <c r="G11" s="7">
        <v>29</v>
      </c>
      <c r="H11" s="7"/>
      <c r="I11" s="7" t="s">
        <v>225</v>
      </c>
      <c r="J11" s="7" t="str">
        <f>IF(I11="No", "Yes", "No")</f>
        <v>Yes</v>
      </c>
      <c r="K11" s="7" t="str">
        <f>"JDG_Methane_YMF"&amp;CHAR(10)&amp;A11&amp;"_"&amp;B11&amp;"_"&amp;C11&amp;CHAR(10)&amp;"Organic Soil - July 2021"</f>
        <v>JDG_Methane_YMF
Lab_ACSA_SM4
Organic Soil - July 2021</v>
      </c>
      <c r="L11" s="7" t="str">
        <f>"JDG_Methane_YMF"&amp;CHAR(10)&amp;A11&amp;"_"&amp;B11&amp;"_"&amp;C11&amp;CHAR(10)&amp;"Mineral Soil - July 2021"</f>
        <v>JDG_Methane_YMF
Lab_ACSA_SM4
Mineral Soil - July 2021</v>
      </c>
      <c r="M11" s="7" t="str">
        <f>"JDG_Methane_YMF"&amp;CHAR(10)&amp;A11&amp;"_"&amp;B11&amp;"_"&amp;C11&amp;CHAR(10)&amp;"Tree Core - MethaneTraits - 2021"</f>
        <v>JDG_Methane_YMF
Lab_ACSA_SM4
Tree Core - MethaneTraits - 2021</v>
      </c>
      <c r="N11" s="7" t="str">
        <f>"JDG_Methane_YMF"&amp;CHAR(10)&amp;A11&amp;"_"&amp;B11&amp;"_"&amp;C11&amp;CHAR(10)&amp;"Tree Core - Molecular - 2021"</f>
        <v>JDG_Methane_YMF
Lab_ACSA_SM4
Tree Core - Molecular - 2021</v>
      </c>
      <c r="O11" s="7" t="str">
        <f>"JDG_Methane_YMF"&amp;CHAR(10)&amp;A11&amp;"_"&amp;B11&amp;"_"&amp;C11&amp;CHAR(10)&amp;"Organic Soil - Molecular - 2021"</f>
        <v>JDG_Methane_YMF
Lab_ACSA_SM4
Organic Soil - Molecular - 2021</v>
      </c>
      <c r="P11" s="7" t="str">
        <f>"JDG_Methane_YMF"&amp;CHAR(10)&amp;A11&amp;"_"&amp;B11&amp;"_"&amp;C11&amp;CHAR(10)&amp;"Mineral Soil - Molecular - 2021"</f>
        <v>JDG_Methane_YMF
Lab_ACSA_SM4
Mineral Soil - Molecular - 2021</v>
      </c>
      <c r="Q11" t="str">
        <f t="shared" si="0"/>
        <v>JDG_Methane_YMF
Lab_ACSA_SM4
Internal Gas - #1/2 - 2021</v>
      </c>
      <c r="R11" t="str">
        <f t="shared" si="1"/>
        <v>JDG_Methane_YMF
Lab_ACSA_SM4
Internal Gas - #2/2 - 2021</v>
      </c>
    </row>
    <row r="12" spans="1:18" x14ac:dyDescent="0.2">
      <c r="A12" s="7" t="s">
        <v>62</v>
      </c>
      <c r="B12" s="7" t="s">
        <v>41</v>
      </c>
      <c r="C12" s="7" t="s">
        <v>46</v>
      </c>
      <c r="D12" s="7"/>
      <c r="E12" s="7"/>
      <c r="F12" s="7"/>
      <c r="G12" s="7">
        <v>27</v>
      </c>
      <c r="H12" s="7"/>
      <c r="I12" s="7" t="s">
        <v>225</v>
      </c>
      <c r="J12" s="7" t="str">
        <f>IF(I12="No", "Yes", "No")</f>
        <v>Yes</v>
      </c>
      <c r="K12" s="7" t="str">
        <f>"JDG_Methane_YMF"&amp;CHAR(10)&amp;A12&amp;"_"&amp;B12&amp;"_"&amp;C12&amp;CHAR(10)&amp;"Organic Soil - July 2021"</f>
        <v>JDG_Methane_YMF
Lab_ACSA_SM5
Organic Soil - July 2021</v>
      </c>
      <c r="L12" s="7" t="str">
        <f>"JDG_Methane_YMF"&amp;CHAR(10)&amp;A12&amp;"_"&amp;B12&amp;"_"&amp;C12&amp;CHAR(10)&amp;"Mineral Soil - July 2021"</f>
        <v>JDG_Methane_YMF
Lab_ACSA_SM5
Mineral Soil - July 2021</v>
      </c>
      <c r="M12" s="7" t="str">
        <f>"JDG_Methane_YMF"&amp;CHAR(10)&amp;A12&amp;"_"&amp;B12&amp;"_"&amp;C12&amp;CHAR(10)&amp;"Tree Core - MethaneTraits - 2021"</f>
        <v>JDG_Methane_YMF
Lab_ACSA_SM5
Tree Core - MethaneTraits - 2021</v>
      </c>
      <c r="N12" s="7" t="str">
        <f>"JDG_Methane_YMF"&amp;CHAR(10)&amp;A12&amp;"_"&amp;B12&amp;"_"&amp;C12&amp;CHAR(10)&amp;"Tree Core - Molecular - 2021"</f>
        <v>JDG_Methane_YMF
Lab_ACSA_SM5
Tree Core - Molecular - 2021</v>
      </c>
      <c r="O12" s="7" t="str">
        <f>"JDG_Methane_YMF"&amp;CHAR(10)&amp;A12&amp;"_"&amp;B12&amp;"_"&amp;C12&amp;CHAR(10)&amp;"Organic Soil - Molecular - 2021"</f>
        <v>JDG_Methane_YMF
Lab_ACSA_SM5
Organic Soil - Molecular - 2021</v>
      </c>
      <c r="P12" s="7" t="str">
        <f>"JDG_Methane_YMF"&amp;CHAR(10)&amp;A12&amp;"_"&amp;B12&amp;"_"&amp;C12&amp;CHAR(10)&amp;"Mineral Soil - Molecular - 2021"</f>
        <v>JDG_Methane_YMF
Lab_ACSA_SM5
Mineral Soil - Molecular - 2021</v>
      </c>
      <c r="Q12" t="str">
        <f t="shared" si="0"/>
        <v>JDG_Methane_YMF
Lab_ACSA_SM5
Internal Gas - #1/2 - 2021</v>
      </c>
      <c r="R12" t="str">
        <f t="shared" si="1"/>
        <v>JDG_Methane_YMF
Lab_ACSA_SM5
Internal Gas - #2/2 - 2021</v>
      </c>
    </row>
    <row r="13" spans="1:18" x14ac:dyDescent="0.2">
      <c r="A13" s="7" t="s">
        <v>62</v>
      </c>
      <c r="B13" s="7" t="s">
        <v>41</v>
      </c>
      <c r="C13" s="7" t="s">
        <v>47</v>
      </c>
      <c r="D13" s="7"/>
      <c r="E13" s="7"/>
      <c r="F13" s="7"/>
      <c r="G13" s="7">
        <v>24</v>
      </c>
      <c r="H13" s="7"/>
      <c r="I13" s="7" t="s">
        <v>225</v>
      </c>
      <c r="J13" s="7" t="str">
        <f>IF(I13="No", "Yes", "No")</f>
        <v>Yes</v>
      </c>
      <c r="K13" s="7" t="str">
        <f>"JDG_Methane_YMF"&amp;CHAR(10)&amp;A13&amp;"_"&amp;B13&amp;"_"&amp;C13&amp;CHAR(10)&amp;"Organic Soil - July 2021"</f>
        <v>JDG_Methane_YMF
Lab_ACSA_SM6
Organic Soil - July 2021</v>
      </c>
      <c r="L13" s="7" t="str">
        <f>"JDG_Methane_YMF"&amp;CHAR(10)&amp;A13&amp;"_"&amp;B13&amp;"_"&amp;C13&amp;CHAR(10)&amp;"Mineral Soil - July 2021"</f>
        <v>JDG_Methane_YMF
Lab_ACSA_SM6
Mineral Soil - July 2021</v>
      </c>
      <c r="M13" s="7" t="str">
        <f>"JDG_Methane_YMF"&amp;CHAR(10)&amp;A13&amp;"_"&amp;B13&amp;"_"&amp;C13&amp;CHAR(10)&amp;"Tree Core - MethaneTraits - 2021"</f>
        <v>JDG_Methane_YMF
Lab_ACSA_SM6
Tree Core - MethaneTraits - 2021</v>
      </c>
      <c r="N13" s="7" t="str">
        <f>"JDG_Methane_YMF"&amp;CHAR(10)&amp;A13&amp;"_"&amp;B13&amp;"_"&amp;C13&amp;CHAR(10)&amp;"Tree Core - Molecular - 2021"</f>
        <v>JDG_Methane_YMF
Lab_ACSA_SM6
Tree Core - Molecular - 2021</v>
      </c>
      <c r="O13" s="7" t="str">
        <f>"JDG_Methane_YMF"&amp;CHAR(10)&amp;A13&amp;"_"&amp;B13&amp;"_"&amp;C13&amp;CHAR(10)&amp;"Organic Soil - Molecular - 2021"</f>
        <v>JDG_Methane_YMF
Lab_ACSA_SM6
Organic Soil - Molecular - 2021</v>
      </c>
      <c r="P13" s="7" t="str">
        <f>"JDG_Methane_YMF"&amp;CHAR(10)&amp;A13&amp;"_"&amp;B13&amp;"_"&amp;C13&amp;CHAR(10)&amp;"Mineral Soil - Molecular - 2021"</f>
        <v>JDG_Methane_YMF
Lab_ACSA_SM6
Mineral Soil - Molecular - 2021</v>
      </c>
      <c r="Q13" t="str">
        <f t="shared" si="0"/>
        <v>JDG_Methane_YMF
Lab_ACSA_SM6
Internal Gas - #1/2 - 2021</v>
      </c>
      <c r="R13" t="str">
        <f t="shared" si="1"/>
        <v>JDG_Methane_YMF
Lab_ACSA_SM6
Internal Gas - #2/2 - 2021</v>
      </c>
    </row>
    <row r="14" spans="1:18" x14ac:dyDescent="0.2">
      <c r="A14" s="7" t="s">
        <v>62</v>
      </c>
      <c r="B14" s="7" t="s">
        <v>41</v>
      </c>
      <c r="C14" s="7" t="s">
        <v>48</v>
      </c>
      <c r="D14" s="7"/>
      <c r="E14" s="7"/>
      <c r="F14" s="7"/>
      <c r="G14" s="7">
        <v>43</v>
      </c>
      <c r="H14" s="7"/>
      <c r="I14" s="7" t="s">
        <v>225</v>
      </c>
      <c r="J14" s="7" t="str">
        <f>IF(I14="No", "Yes", "No")</f>
        <v>Yes</v>
      </c>
      <c r="K14" s="7" t="str">
        <f>"JDG_Methane_YMF"&amp;CHAR(10)&amp;A14&amp;"_"&amp;B14&amp;"_"&amp;C14&amp;CHAR(10)&amp;"Organic Soil - July 2021"</f>
        <v>JDG_Methane_YMF
Lab_ACSA_SM7
Organic Soil - July 2021</v>
      </c>
      <c r="L14" s="7" t="str">
        <f>"JDG_Methane_YMF"&amp;CHAR(10)&amp;A14&amp;"_"&amp;B14&amp;"_"&amp;C14&amp;CHAR(10)&amp;"Mineral Soil - July 2021"</f>
        <v>JDG_Methane_YMF
Lab_ACSA_SM7
Mineral Soil - July 2021</v>
      </c>
      <c r="M14" s="7" t="str">
        <f>"JDG_Methane_YMF"&amp;CHAR(10)&amp;A14&amp;"_"&amp;B14&amp;"_"&amp;C14&amp;CHAR(10)&amp;"Tree Core - MethaneTraits - 2021"</f>
        <v>JDG_Methane_YMF
Lab_ACSA_SM7
Tree Core - MethaneTraits - 2021</v>
      </c>
      <c r="N14" s="7" t="str">
        <f>"JDG_Methane_YMF"&amp;CHAR(10)&amp;A14&amp;"_"&amp;B14&amp;"_"&amp;C14&amp;CHAR(10)&amp;"Tree Core - Molecular - 2021"</f>
        <v>JDG_Methane_YMF
Lab_ACSA_SM7
Tree Core - Molecular - 2021</v>
      </c>
      <c r="O14" s="7" t="str">
        <f>"JDG_Methane_YMF"&amp;CHAR(10)&amp;A14&amp;"_"&amp;B14&amp;"_"&amp;C14&amp;CHAR(10)&amp;"Organic Soil - Molecular - 2021"</f>
        <v>JDG_Methane_YMF
Lab_ACSA_SM7
Organic Soil - Molecular - 2021</v>
      </c>
      <c r="P14" s="7" t="str">
        <f>"JDG_Methane_YMF"&amp;CHAR(10)&amp;A14&amp;"_"&amp;B14&amp;"_"&amp;C14&amp;CHAR(10)&amp;"Mineral Soil - Molecular - 2021"</f>
        <v>JDG_Methane_YMF
Lab_ACSA_SM7
Mineral Soil - Molecular - 2021</v>
      </c>
      <c r="Q14" t="str">
        <f t="shared" si="0"/>
        <v>JDG_Methane_YMF
Lab_ACSA_SM7
Internal Gas - #1/2 - 2021</v>
      </c>
      <c r="R14" t="str">
        <f t="shared" si="1"/>
        <v>JDG_Methane_YMF
Lab_ACSA_SM7
Internal Gas - #2/2 - 2021</v>
      </c>
    </row>
    <row r="15" spans="1:18" x14ac:dyDescent="0.2">
      <c r="A15" s="7" t="s">
        <v>62</v>
      </c>
      <c r="B15" s="7" t="s">
        <v>41</v>
      </c>
      <c r="C15" s="7" t="s">
        <v>49</v>
      </c>
      <c r="D15" s="7"/>
      <c r="E15" s="7"/>
      <c r="F15" s="7"/>
      <c r="G15" s="7">
        <v>26.5</v>
      </c>
      <c r="H15" s="7"/>
      <c r="I15" s="7" t="s">
        <v>225</v>
      </c>
      <c r="J15" s="7" t="str">
        <f>IF(I15="No", "Yes", "No")</f>
        <v>Yes</v>
      </c>
      <c r="K15" s="7" t="str">
        <f>"JDG_Methane_YMF"&amp;CHAR(10)&amp;A15&amp;"_"&amp;B15&amp;"_"&amp;C15&amp;CHAR(10)&amp;"Organic Soil - July 2021"</f>
        <v>JDG_Methane_YMF
Lab_ACSA_SM8
Organic Soil - July 2021</v>
      </c>
      <c r="L15" s="7" t="str">
        <f>"JDG_Methane_YMF"&amp;CHAR(10)&amp;A15&amp;"_"&amp;B15&amp;"_"&amp;C15&amp;CHAR(10)&amp;"Mineral Soil - July 2021"</f>
        <v>JDG_Methane_YMF
Lab_ACSA_SM8
Mineral Soil - July 2021</v>
      </c>
      <c r="M15" s="7" t="str">
        <f>"JDG_Methane_YMF"&amp;CHAR(10)&amp;A15&amp;"_"&amp;B15&amp;"_"&amp;C15&amp;CHAR(10)&amp;"Tree Core - MethaneTraits - 2021"</f>
        <v>JDG_Methane_YMF
Lab_ACSA_SM8
Tree Core - MethaneTraits - 2021</v>
      </c>
      <c r="N15" s="7" t="str">
        <f>"JDG_Methane_YMF"&amp;CHAR(10)&amp;A15&amp;"_"&amp;B15&amp;"_"&amp;C15&amp;CHAR(10)&amp;"Tree Core - Molecular - 2021"</f>
        <v>JDG_Methane_YMF
Lab_ACSA_SM8
Tree Core - Molecular - 2021</v>
      </c>
      <c r="O15" s="7" t="str">
        <f>"JDG_Methane_YMF"&amp;CHAR(10)&amp;A15&amp;"_"&amp;B15&amp;"_"&amp;C15&amp;CHAR(10)&amp;"Organic Soil - Molecular - 2021"</f>
        <v>JDG_Methane_YMF
Lab_ACSA_SM8
Organic Soil - Molecular - 2021</v>
      </c>
      <c r="P15" s="7" t="str">
        <f>"JDG_Methane_YMF"&amp;CHAR(10)&amp;A15&amp;"_"&amp;B15&amp;"_"&amp;C15&amp;CHAR(10)&amp;"Mineral Soil - Molecular - 2021"</f>
        <v>JDG_Methane_YMF
Lab_ACSA_SM8
Mineral Soil - Molecular - 2021</v>
      </c>
      <c r="Q15" t="str">
        <f t="shared" si="0"/>
        <v>JDG_Methane_YMF
Lab_ACSA_SM8
Internal Gas - #1/2 - 2021</v>
      </c>
      <c r="R15" t="str">
        <f t="shared" si="1"/>
        <v>JDG_Methane_YMF
Lab_ACSA_SM8
Internal Gas - #2/2 - 2021</v>
      </c>
    </row>
    <row r="16" spans="1:18" x14ac:dyDescent="0.2">
      <c r="A16" s="7" t="s">
        <v>62</v>
      </c>
      <c r="B16" s="7" t="s">
        <v>41</v>
      </c>
      <c r="C16" s="7" t="s">
        <v>50</v>
      </c>
      <c r="D16" s="7"/>
      <c r="E16" s="7"/>
      <c r="F16" s="7"/>
      <c r="G16" s="7">
        <v>26</v>
      </c>
      <c r="H16" s="7"/>
      <c r="I16" s="7" t="s">
        <v>225</v>
      </c>
      <c r="J16" s="7" t="str">
        <f>IF(I16="No", "Yes", "No")</f>
        <v>Yes</v>
      </c>
      <c r="K16" s="7" t="str">
        <f>"JDG_Methane_YMF"&amp;CHAR(10)&amp;A16&amp;"_"&amp;B16&amp;"_"&amp;C16&amp;CHAR(10)&amp;"Organic Soil - July 2021"</f>
        <v>JDG_Methane_YMF
Lab_ACSA_SM9
Organic Soil - July 2021</v>
      </c>
      <c r="L16" s="7" t="str">
        <f>"JDG_Methane_YMF"&amp;CHAR(10)&amp;A16&amp;"_"&amp;B16&amp;"_"&amp;C16&amp;CHAR(10)&amp;"Mineral Soil - July 2021"</f>
        <v>JDG_Methane_YMF
Lab_ACSA_SM9
Mineral Soil - July 2021</v>
      </c>
      <c r="M16" s="7" t="str">
        <f>"JDG_Methane_YMF"&amp;CHAR(10)&amp;A16&amp;"_"&amp;B16&amp;"_"&amp;C16&amp;CHAR(10)&amp;"Tree Core - MethaneTraits - 2021"</f>
        <v>JDG_Methane_YMF
Lab_ACSA_SM9
Tree Core - MethaneTraits - 2021</v>
      </c>
      <c r="N16" s="7" t="str">
        <f>"JDG_Methane_YMF"&amp;CHAR(10)&amp;A16&amp;"_"&amp;B16&amp;"_"&amp;C16&amp;CHAR(10)&amp;"Tree Core - Molecular - 2021"</f>
        <v>JDG_Methane_YMF
Lab_ACSA_SM9
Tree Core - Molecular - 2021</v>
      </c>
      <c r="O16" s="7" t="str">
        <f>"JDG_Methane_YMF"&amp;CHAR(10)&amp;A16&amp;"_"&amp;B16&amp;"_"&amp;C16&amp;CHAR(10)&amp;"Organic Soil - Molecular - 2021"</f>
        <v>JDG_Methane_YMF
Lab_ACSA_SM9
Organic Soil - Molecular - 2021</v>
      </c>
      <c r="P16" s="7" t="str">
        <f>"JDG_Methane_YMF"&amp;CHAR(10)&amp;A16&amp;"_"&amp;B16&amp;"_"&amp;C16&amp;CHAR(10)&amp;"Mineral Soil - Molecular - 2021"</f>
        <v>JDG_Methane_YMF
Lab_ACSA_SM9
Mineral Soil - Molecular - 2021</v>
      </c>
      <c r="Q16" t="str">
        <f t="shared" si="0"/>
        <v>JDG_Methane_YMF
Lab_ACSA_SM9
Internal Gas - #1/2 - 2021</v>
      </c>
      <c r="R16" t="str">
        <f t="shared" si="1"/>
        <v>JDG_Methane_YMF
Lab_ACSA_SM9
Internal Gas - #2/2 - 2021</v>
      </c>
    </row>
    <row r="17" spans="1:18" x14ac:dyDescent="0.2">
      <c r="A17" s="7" t="s">
        <v>62</v>
      </c>
      <c r="B17" s="7" t="s">
        <v>87</v>
      </c>
      <c r="C17" s="7" t="s">
        <v>88</v>
      </c>
      <c r="D17" s="7"/>
      <c r="E17" s="7"/>
      <c r="F17" s="7"/>
      <c r="G17" s="7">
        <v>31.5</v>
      </c>
      <c r="H17" s="7"/>
      <c r="I17" s="7" t="s">
        <v>225</v>
      </c>
      <c r="J17" s="7" t="str">
        <f>IF(I17="No", "Yes", "No")</f>
        <v>Yes</v>
      </c>
      <c r="K17" s="7" t="str">
        <f>"JDG_Methane_YMF"&amp;CHAR(10)&amp;A17&amp;"_"&amp;B17&amp;"_"&amp;C17&amp;CHAR(10)&amp;"Organic Soil - July 2021"</f>
        <v>JDG_Methane_YMF
Lab_BEAL_YBX1
Organic Soil - July 2021</v>
      </c>
      <c r="L17" s="7" t="str">
        <f>"JDG_Methane_YMF"&amp;CHAR(10)&amp;A17&amp;"_"&amp;B17&amp;"_"&amp;C17&amp;CHAR(10)&amp;"Mineral Soil - July 2021"</f>
        <v>JDG_Methane_YMF
Lab_BEAL_YBX1
Mineral Soil - July 2021</v>
      </c>
      <c r="M17" s="7" t="str">
        <f>"JDG_Methane_YMF"&amp;CHAR(10)&amp;A17&amp;"_"&amp;B17&amp;"_"&amp;C17&amp;CHAR(10)&amp;"Tree Core - MethaneTraits - 2021"</f>
        <v>JDG_Methane_YMF
Lab_BEAL_YBX1
Tree Core - MethaneTraits - 2021</v>
      </c>
      <c r="N17" s="7" t="str">
        <f>"JDG_Methane_YMF"&amp;CHAR(10)&amp;A17&amp;"_"&amp;B17&amp;"_"&amp;C17&amp;CHAR(10)&amp;"Tree Core - Molecular - 2021"</f>
        <v>JDG_Methane_YMF
Lab_BEAL_YBX1
Tree Core - Molecular - 2021</v>
      </c>
      <c r="O17" s="7" t="str">
        <f>"JDG_Methane_YMF"&amp;CHAR(10)&amp;A17&amp;"_"&amp;B17&amp;"_"&amp;C17&amp;CHAR(10)&amp;"Organic Soil - Molecular - 2021"</f>
        <v>JDG_Methane_YMF
Lab_BEAL_YBX1
Organic Soil - Molecular - 2021</v>
      </c>
      <c r="P17" s="7" t="str">
        <f>"JDG_Methane_YMF"&amp;CHAR(10)&amp;A17&amp;"_"&amp;B17&amp;"_"&amp;C17&amp;CHAR(10)&amp;"Mineral Soil - Molecular - 2021"</f>
        <v>JDG_Methane_YMF
Lab_BEAL_YBX1
Mineral Soil - Molecular - 2021</v>
      </c>
      <c r="Q17" t="str">
        <f t="shared" si="0"/>
        <v>JDG_Methane_YMF
Lab_BEAL_YBX1
Internal Gas - #1/2 - 2021</v>
      </c>
      <c r="R17" t="str">
        <f t="shared" si="1"/>
        <v>JDG_Methane_YMF
Lab_BEAL_YBX1
Internal Gas - #2/2 - 2021</v>
      </c>
    </row>
    <row r="18" spans="1:18" x14ac:dyDescent="0.2">
      <c r="A18" s="7" t="s">
        <v>62</v>
      </c>
      <c r="B18" s="7" t="s">
        <v>64</v>
      </c>
      <c r="C18" s="7" t="s">
        <v>65</v>
      </c>
      <c r="D18" s="7"/>
      <c r="E18" s="7"/>
      <c r="F18" s="7"/>
      <c r="G18" s="7">
        <v>31.5</v>
      </c>
      <c r="H18" s="7"/>
      <c r="I18" s="7" t="s">
        <v>225</v>
      </c>
      <c r="J18" s="7" t="str">
        <f>IF(I18="No", "Yes", "No")</f>
        <v>Yes</v>
      </c>
      <c r="K18" s="7" t="str">
        <f>"JDG_Methane_YMF"&amp;CHAR(10)&amp;A18&amp;"_"&amp;B18&amp;"_"&amp;C18&amp;CHAR(10)&amp;"Organic Soil - July 2021"</f>
        <v>JDG_Methane_YMF
Lab_BELE_BBX1
Organic Soil - July 2021</v>
      </c>
      <c r="L18" s="7" t="str">
        <f>"JDG_Methane_YMF"&amp;CHAR(10)&amp;A18&amp;"_"&amp;B18&amp;"_"&amp;C18&amp;CHAR(10)&amp;"Mineral Soil - July 2021"</f>
        <v>JDG_Methane_YMF
Lab_BELE_BBX1
Mineral Soil - July 2021</v>
      </c>
      <c r="M18" s="7" t="str">
        <f>"JDG_Methane_YMF"&amp;CHAR(10)&amp;A18&amp;"_"&amp;B18&amp;"_"&amp;C18&amp;CHAR(10)&amp;"Tree Core - MethaneTraits - 2021"</f>
        <v>JDG_Methane_YMF
Lab_BELE_BBX1
Tree Core - MethaneTraits - 2021</v>
      </c>
      <c r="N18" s="7" t="str">
        <f>"JDG_Methane_YMF"&amp;CHAR(10)&amp;A18&amp;"_"&amp;B18&amp;"_"&amp;C18&amp;CHAR(10)&amp;"Tree Core - Molecular - 2021"</f>
        <v>JDG_Methane_YMF
Lab_BELE_BBX1
Tree Core - Molecular - 2021</v>
      </c>
      <c r="O18" s="7" t="str">
        <f>"JDG_Methane_YMF"&amp;CHAR(10)&amp;A18&amp;"_"&amp;B18&amp;"_"&amp;C18&amp;CHAR(10)&amp;"Organic Soil - Molecular - 2021"</f>
        <v>JDG_Methane_YMF
Lab_BELE_BBX1
Organic Soil - Molecular - 2021</v>
      </c>
      <c r="P18" s="7" t="str">
        <f>"JDG_Methane_YMF"&amp;CHAR(10)&amp;A18&amp;"_"&amp;B18&amp;"_"&amp;C18&amp;CHAR(10)&amp;"Mineral Soil - Molecular - 2021"</f>
        <v>JDG_Methane_YMF
Lab_BELE_BBX1
Mineral Soil - Molecular - 2021</v>
      </c>
      <c r="Q18" t="str">
        <f t="shared" si="0"/>
        <v>JDG_Methane_YMF
Lab_BELE_BBX1
Internal Gas - #1/2 - 2021</v>
      </c>
      <c r="R18" t="str">
        <f t="shared" si="1"/>
        <v>JDG_Methane_YMF
Lab_BELE_BBX1
Internal Gas - #2/2 - 2021</v>
      </c>
    </row>
    <row r="19" spans="1:18" x14ac:dyDescent="0.2">
      <c r="A19" s="7" t="s">
        <v>62</v>
      </c>
      <c r="B19" s="7" t="s">
        <v>64</v>
      </c>
      <c r="C19" s="7" t="s">
        <v>66</v>
      </c>
      <c r="D19" s="7"/>
      <c r="E19" s="7"/>
      <c r="F19" s="7"/>
      <c r="G19" s="7">
        <v>32</v>
      </c>
      <c r="H19" s="7"/>
      <c r="I19" s="7" t="s">
        <v>224</v>
      </c>
      <c r="J19" s="7" t="str">
        <f>IF(I19="No", "Yes", "No")</f>
        <v>No</v>
      </c>
      <c r="K19" s="7" t="str">
        <f>"JDG_Methane_YMF"&amp;CHAR(10)&amp;A19&amp;"_"&amp;B19&amp;"_"&amp;C19&amp;CHAR(10)&amp;"Organic Soil - July 2021"</f>
        <v>JDG_Methane_YMF
Lab_BELE_BBX2
Organic Soil - July 2021</v>
      </c>
      <c r="L19" s="7" t="str">
        <f>"JDG_Methane_YMF"&amp;CHAR(10)&amp;A19&amp;"_"&amp;B19&amp;"_"&amp;C19&amp;CHAR(10)&amp;"Mineral Soil - July 2021"</f>
        <v>JDG_Methane_YMF
Lab_BELE_BBX2
Mineral Soil - July 2021</v>
      </c>
      <c r="M19" s="7" t="str">
        <f>"JDG_Methane_YMF"&amp;CHAR(10)&amp;A19&amp;"_"&amp;B19&amp;"_"&amp;C19&amp;CHAR(10)&amp;"Tree Core - MethaneTraits - 2021"</f>
        <v>JDG_Methane_YMF
Lab_BELE_BBX2
Tree Core - MethaneTraits - 2021</v>
      </c>
      <c r="N19" s="7" t="str">
        <f>"JDG_Methane_YMF"&amp;CHAR(10)&amp;A19&amp;"_"&amp;B19&amp;"_"&amp;C19&amp;CHAR(10)&amp;"Tree Core - Molecular - 2021"</f>
        <v>JDG_Methane_YMF
Lab_BELE_BBX2
Tree Core - Molecular - 2021</v>
      </c>
      <c r="O19" s="7" t="str">
        <f>"JDG_Methane_YMF"&amp;CHAR(10)&amp;A19&amp;"_"&amp;B19&amp;"_"&amp;C19&amp;CHAR(10)&amp;"Organic Soil - Molecular - 2021"</f>
        <v>JDG_Methane_YMF
Lab_BELE_BBX2
Organic Soil - Molecular - 2021</v>
      </c>
      <c r="P19" s="7" t="str">
        <f>"JDG_Methane_YMF"&amp;CHAR(10)&amp;A19&amp;"_"&amp;B19&amp;"_"&amp;C19&amp;CHAR(10)&amp;"Mineral Soil - Molecular - 2021"</f>
        <v>JDG_Methane_YMF
Lab_BELE_BBX2
Mineral Soil - Molecular - 2021</v>
      </c>
      <c r="Q19" t="str">
        <f t="shared" si="0"/>
        <v>JDG_Methane_YMF
Lab_BELE_BBX2
Internal Gas - #1/2 - 2021</v>
      </c>
      <c r="R19" t="str">
        <f t="shared" si="1"/>
        <v>JDG_Methane_YMF
Lab_BELE_BBX2
Internal Gas - #2/2 - 2021</v>
      </c>
    </row>
    <row r="20" spans="1:18" x14ac:dyDescent="0.2">
      <c r="A20" s="7" t="s">
        <v>62</v>
      </c>
      <c r="B20" s="7" t="s">
        <v>64</v>
      </c>
      <c r="C20" s="7" t="s">
        <v>67</v>
      </c>
      <c r="D20" s="7"/>
      <c r="E20" s="7"/>
      <c r="F20" s="7"/>
      <c r="G20" s="7">
        <v>22.5</v>
      </c>
      <c r="H20" s="7"/>
      <c r="I20" s="7" t="s">
        <v>225</v>
      </c>
      <c r="J20" s="7" t="str">
        <f>IF(I20="No", "Yes", "No")</f>
        <v>Yes</v>
      </c>
      <c r="K20" s="7" t="str">
        <f>"JDG_Methane_YMF"&amp;CHAR(10)&amp;A20&amp;"_"&amp;B20&amp;"_"&amp;C20&amp;CHAR(10)&amp;"Organic Soil - July 2021"</f>
        <v>JDG_Methane_YMF
Lab_BELE_BBX3
Organic Soil - July 2021</v>
      </c>
      <c r="L20" s="7" t="str">
        <f>"JDG_Methane_YMF"&amp;CHAR(10)&amp;A20&amp;"_"&amp;B20&amp;"_"&amp;C20&amp;CHAR(10)&amp;"Mineral Soil - July 2021"</f>
        <v>JDG_Methane_YMF
Lab_BELE_BBX3
Mineral Soil - July 2021</v>
      </c>
      <c r="M20" s="7" t="str">
        <f>"JDG_Methane_YMF"&amp;CHAR(10)&amp;A20&amp;"_"&amp;B20&amp;"_"&amp;C20&amp;CHAR(10)&amp;"Tree Core - MethaneTraits - 2021"</f>
        <v>JDG_Methane_YMF
Lab_BELE_BBX3
Tree Core - MethaneTraits - 2021</v>
      </c>
      <c r="N20" s="7" t="str">
        <f>"JDG_Methane_YMF"&amp;CHAR(10)&amp;A20&amp;"_"&amp;B20&amp;"_"&amp;C20&amp;CHAR(10)&amp;"Tree Core - Molecular - 2021"</f>
        <v>JDG_Methane_YMF
Lab_BELE_BBX3
Tree Core - Molecular - 2021</v>
      </c>
      <c r="O20" s="7" t="str">
        <f>"JDG_Methane_YMF"&amp;CHAR(10)&amp;A20&amp;"_"&amp;B20&amp;"_"&amp;C20&amp;CHAR(10)&amp;"Organic Soil - Molecular - 2021"</f>
        <v>JDG_Methane_YMF
Lab_BELE_BBX3
Organic Soil - Molecular - 2021</v>
      </c>
      <c r="P20" s="7" t="str">
        <f>"JDG_Methane_YMF"&amp;CHAR(10)&amp;A20&amp;"_"&amp;B20&amp;"_"&amp;C20&amp;CHAR(10)&amp;"Mineral Soil - Molecular - 2021"</f>
        <v>JDG_Methane_YMF
Lab_BELE_BBX3
Mineral Soil - Molecular - 2021</v>
      </c>
      <c r="Q20" t="str">
        <f t="shared" si="0"/>
        <v>JDG_Methane_YMF
Lab_BELE_BBX3
Internal Gas - #1/2 - 2021</v>
      </c>
      <c r="R20" t="str">
        <f t="shared" si="1"/>
        <v>JDG_Methane_YMF
Lab_BELE_BBX3
Internal Gas - #2/2 - 2021</v>
      </c>
    </row>
    <row r="21" spans="1:18" x14ac:dyDescent="0.2">
      <c r="A21" s="7" t="s">
        <v>62</v>
      </c>
      <c r="B21" s="7" t="s">
        <v>64</v>
      </c>
      <c r="C21" s="7" t="s">
        <v>68</v>
      </c>
      <c r="D21" s="7"/>
      <c r="E21" s="7"/>
      <c r="F21" s="7"/>
      <c r="G21" s="7">
        <v>35.5</v>
      </c>
      <c r="H21" s="7"/>
      <c r="I21" s="7" t="s">
        <v>225</v>
      </c>
      <c r="J21" s="7" t="str">
        <f>IF(I21="No", "Yes", "No")</f>
        <v>Yes</v>
      </c>
      <c r="K21" s="7" t="str">
        <f>"JDG_Methane_YMF"&amp;CHAR(10)&amp;A21&amp;"_"&amp;B21&amp;"_"&amp;C21&amp;CHAR(10)&amp;"Organic Soil - July 2021"</f>
        <v>JDG_Methane_YMF
Lab_BELE_BBX4
Organic Soil - July 2021</v>
      </c>
      <c r="L21" s="7" t="str">
        <f>"JDG_Methane_YMF"&amp;CHAR(10)&amp;A21&amp;"_"&amp;B21&amp;"_"&amp;C21&amp;CHAR(10)&amp;"Mineral Soil - July 2021"</f>
        <v>JDG_Methane_YMF
Lab_BELE_BBX4
Mineral Soil - July 2021</v>
      </c>
      <c r="M21" s="7" t="str">
        <f>"JDG_Methane_YMF"&amp;CHAR(10)&amp;A21&amp;"_"&amp;B21&amp;"_"&amp;C21&amp;CHAR(10)&amp;"Tree Core - MethaneTraits - 2021"</f>
        <v>JDG_Methane_YMF
Lab_BELE_BBX4
Tree Core - MethaneTraits - 2021</v>
      </c>
      <c r="N21" s="7" t="str">
        <f>"JDG_Methane_YMF"&amp;CHAR(10)&amp;A21&amp;"_"&amp;B21&amp;"_"&amp;C21&amp;CHAR(10)&amp;"Tree Core - Molecular - 2021"</f>
        <v>JDG_Methane_YMF
Lab_BELE_BBX4
Tree Core - Molecular - 2021</v>
      </c>
      <c r="O21" s="7" t="str">
        <f>"JDG_Methane_YMF"&amp;CHAR(10)&amp;A21&amp;"_"&amp;B21&amp;"_"&amp;C21&amp;CHAR(10)&amp;"Organic Soil - Molecular - 2021"</f>
        <v>JDG_Methane_YMF
Lab_BELE_BBX4
Organic Soil - Molecular - 2021</v>
      </c>
      <c r="P21" s="7" t="str">
        <f>"JDG_Methane_YMF"&amp;CHAR(10)&amp;A21&amp;"_"&amp;B21&amp;"_"&amp;C21&amp;CHAR(10)&amp;"Mineral Soil - Molecular - 2021"</f>
        <v>JDG_Methane_YMF
Lab_BELE_BBX4
Mineral Soil - Molecular - 2021</v>
      </c>
      <c r="Q21" t="str">
        <f t="shared" si="0"/>
        <v>JDG_Methane_YMF
Lab_BELE_BBX4
Internal Gas - #1/2 - 2021</v>
      </c>
      <c r="R21" t="str">
        <f t="shared" si="1"/>
        <v>JDG_Methane_YMF
Lab_BELE_BBX4
Internal Gas - #2/2 - 2021</v>
      </c>
    </row>
    <row r="22" spans="1:18" x14ac:dyDescent="0.2">
      <c r="A22" s="7" t="s">
        <v>62</v>
      </c>
      <c r="B22" s="7" t="s">
        <v>64</v>
      </c>
      <c r="C22" s="7" t="s">
        <v>69</v>
      </c>
      <c r="D22" s="7"/>
      <c r="E22" s="7"/>
      <c r="F22" s="7"/>
      <c r="G22" s="7">
        <v>20.5</v>
      </c>
      <c r="H22" s="7"/>
      <c r="I22" s="7" t="s">
        <v>225</v>
      </c>
      <c r="J22" s="7" t="str">
        <f>IF(I22="No", "Yes", "No")</f>
        <v>Yes</v>
      </c>
      <c r="K22" s="7" t="str">
        <f>"JDG_Methane_YMF"&amp;CHAR(10)&amp;A22&amp;"_"&amp;B22&amp;"_"&amp;C22&amp;CHAR(10)&amp;"Organic Soil - July 2021"</f>
        <v>JDG_Methane_YMF
Lab_BELE_BBX6
Organic Soil - July 2021</v>
      </c>
      <c r="L22" s="7" t="str">
        <f>"JDG_Methane_YMF"&amp;CHAR(10)&amp;A22&amp;"_"&amp;B22&amp;"_"&amp;C22&amp;CHAR(10)&amp;"Mineral Soil - July 2021"</f>
        <v>JDG_Methane_YMF
Lab_BELE_BBX6
Mineral Soil - July 2021</v>
      </c>
      <c r="M22" s="7" t="str">
        <f>"JDG_Methane_YMF"&amp;CHAR(10)&amp;A22&amp;"_"&amp;B22&amp;"_"&amp;C22&amp;CHAR(10)&amp;"Tree Core - MethaneTraits - 2021"</f>
        <v>JDG_Methane_YMF
Lab_BELE_BBX6
Tree Core - MethaneTraits - 2021</v>
      </c>
      <c r="N22" s="7" t="str">
        <f>"JDG_Methane_YMF"&amp;CHAR(10)&amp;A22&amp;"_"&amp;B22&amp;"_"&amp;C22&amp;CHAR(10)&amp;"Tree Core - Molecular - 2021"</f>
        <v>JDG_Methane_YMF
Lab_BELE_BBX6
Tree Core - Molecular - 2021</v>
      </c>
      <c r="O22" s="7" t="str">
        <f>"JDG_Methane_YMF"&amp;CHAR(10)&amp;A22&amp;"_"&amp;B22&amp;"_"&amp;C22&amp;CHAR(10)&amp;"Organic Soil - Molecular - 2021"</f>
        <v>JDG_Methane_YMF
Lab_BELE_BBX6
Organic Soil - Molecular - 2021</v>
      </c>
      <c r="P22" s="7" t="str">
        <f>"JDG_Methane_YMF"&amp;CHAR(10)&amp;A22&amp;"_"&amp;B22&amp;"_"&amp;C22&amp;CHAR(10)&amp;"Mineral Soil - Molecular - 2021"</f>
        <v>JDG_Methane_YMF
Lab_BELE_BBX6
Mineral Soil - Molecular - 2021</v>
      </c>
      <c r="Q22" t="str">
        <f t="shared" si="0"/>
        <v>JDG_Methane_YMF
Lab_BELE_BBX6
Internal Gas - #1/2 - 2021</v>
      </c>
      <c r="R22" t="str">
        <f t="shared" si="1"/>
        <v>JDG_Methane_YMF
Lab_BELE_BBX6
Internal Gas - #2/2 - 2021</v>
      </c>
    </row>
    <row r="23" spans="1:18" x14ac:dyDescent="0.2">
      <c r="A23" s="7" t="s">
        <v>62</v>
      </c>
      <c r="B23" s="7" t="s">
        <v>64</v>
      </c>
      <c r="C23" s="7" t="s">
        <v>70</v>
      </c>
      <c r="D23" s="7"/>
      <c r="E23" s="7"/>
      <c r="F23" s="7"/>
      <c r="G23" s="7">
        <v>21.5</v>
      </c>
      <c r="H23" s="7"/>
      <c r="I23" s="7" t="s">
        <v>224</v>
      </c>
      <c r="J23" s="7" t="str">
        <f>IF(I23="No", "Yes", "No")</f>
        <v>No</v>
      </c>
      <c r="K23" s="7" t="str">
        <f>"JDG_Methane_YMF"&amp;CHAR(10)&amp;A23&amp;"_"&amp;B23&amp;"_"&amp;C23&amp;CHAR(10)&amp;"Organic Soil - July 2021"</f>
        <v>JDG_Methane_YMF
Lab_BELE_BBX7
Organic Soil - July 2021</v>
      </c>
      <c r="L23" s="7" t="str">
        <f>"JDG_Methane_YMF"&amp;CHAR(10)&amp;A23&amp;"_"&amp;B23&amp;"_"&amp;C23&amp;CHAR(10)&amp;"Mineral Soil - July 2021"</f>
        <v>JDG_Methane_YMF
Lab_BELE_BBX7
Mineral Soil - July 2021</v>
      </c>
      <c r="M23" s="7" t="str">
        <f>"JDG_Methane_YMF"&amp;CHAR(10)&amp;A23&amp;"_"&amp;B23&amp;"_"&amp;C23&amp;CHAR(10)&amp;"Tree Core - MethaneTraits - 2021"</f>
        <v>JDG_Methane_YMF
Lab_BELE_BBX7
Tree Core - MethaneTraits - 2021</v>
      </c>
      <c r="N23" s="7" t="str">
        <f>"JDG_Methane_YMF"&amp;CHAR(10)&amp;A23&amp;"_"&amp;B23&amp;"_"&amp;C23&amp;CHAR(10)&amp;"Tree Core - Molecular - 2021"</f>
        <v>JDG_Methane_YMF
Lab_BELE_BBX7
Tree Core - Molecular - 2021</v>
      </c>
      <c r="O23" s="7" t="str">
        <f>"JDG_Methane_YMF"&amp;CHAR(10)&amp;A23&amp;"_"&amp;B23&amp;"_"&amp;C23&amp;CHAR(10)&amp;"Organic Soil - Molecular - 2021"</f>
        <v>JDG_Methane_YMF
Lab_BELE_BBX7
Organic Soil - Molecular - 2021</v>
      </c>
      <c r="P23" s="7" t="str">
        <f>"JDG_Methane_YMF"&amp;CHAR(10)&amp;A23&amp;"_"&amp;B23&amp;"_"&amp;C23&amp;CHAR(10)&amp;"Mineral Soil - Molecular - 2021"</f>
        <v>JDG_Methane_YMF
Lab_BELE_BBX7
Mineral Soil - Molecular - 2021</v>
      </c>
      <c r="Q23" t="str">
        <f t="shared" si="0"/>
        <v>JDG_Methane_YMF
Lab_BELE_BBX7
Internal Gas - #1/2 - 2021</v>
      </c>
      <c r="R23" t="str">
        <f t="shared" si="1"/>
        <v>JDG_Methane_YMF
Lab_BELE_BBX7
Internal Gas - #2/2 - 2021</v>
      </c>
    </row>
    <row r="24" spans="1:18" x14ac:dyDescent="0.2">
      <c r="A24" s="7" t="s">
        <v>62</v>
      </c>
      <c r="B24" s="7" t="s">
        <v>173</v>
      </c>
      <c r="C24" s="7" t="s">
        <v>174</v>
      </c>
      <c r="D24" s="7"/>
      <c r="E24" s="7"/>
      <c r="F24" s="7"/>
      <c r="G24" s="7">
        <v>37</v>
      </c>
      <c r="H24" s="7"/>
      <c r="I24" s="7"/>
      <c r="J24" s="7" t="str">
        <f>IF(I24="No", "Yes", "No")</f>
        <v>No</v>
      </c>
      <c r="K24" s="7" t="str">
        <f>"JDG_Methane_YMF"&amp;CHAR(10)&amp;A24&amp;"_"&amp;B24&amp;"_"&amp;C24&amp;CHAR(10)&amp;"Organic Soil - July 2021"</f>
        <v>JDG_Methane_YMF
Lab_FRAM_WA1
Organic Soil - July 2021</v>
      </c>
      <c r="L24" s="7" t="str">
        <f>"JDG_Methane_YMF"&amp;CHAR(10)&amp;A24&amp;"_"&amp;B24&amp;"_"&amp;C24&amp;CHAR(10)&amp;"Mineral Soil - July 2021"</f>
        <v>JDG_Methane_YMF
Lab_FRAM_WA1
Mineral Soil - July 2021</v>
      </c>
      <c r="M24" s="7" t="str">
        <f>"JDG_Methane_YMF"&amp;CHAR(10)&amp;A24&amp;"_"&amp;B24&amp;"_"&amp;C24&amp;CHAR(10)&amp;"Tree Core - MethaneTraits - 2021"</f>
        <v>JDG_Methane_YMF
Lab_FRAM_WA1
Tree Core - MethaneTraits - 2021</v>
      </c>
      <c r="N24" s="7" t="str">
        <f>"JDG_Methane_YMF"&amp;CHAR(10)&amp;A24&amp;"_"&amp;B24&amp;"_"&amp;C24&amp;CHAR(10)&amp;"Tree Core - Molecular - 2021"</f>
        <v>JDG_Methane_YMF
Lab_FRAM_WA1
Tree Core - Molecular - 2021</v>
      </c>
      <c r="O24" s="7" t="str">
        <f>"JDG_Methane_YMF"&amp;CHAR(10)&amp;A24&amp;"_"&amp;B24&amp;"_"&amp;C24&amp;CHAR(10)&amp;"Organic Soil - Molecular - 2021"</f>
        <v>JDG_Methane_YMF
Lab_FRAM_WA1
Organic Soil - Molecular - 2021</v>
      </c>
      <c r="P24" s="7" t="str">
        <f>"JDG_Methane_YMF"&amp;CHAR(10)&amp;A24&amp;"_"&amp;B24&amp;"_"&amp;C24&amp;CHAR(10)&amp;"Mineral Soil - Molecular - 2021"</f>
        <v>JDG_Methane_YMF
Lab_FRAM_WA1
Mineral Soil - Molecular - 2021</v>
      </c>
      <c r="Q24" t="str">
        <f t="shared" si="0"/>
        <v>JDG_Methane_YMF
Lab_FRAM_WA1
Internal Gas - #1/2 - 2021</v>
      </c>
      <c r="R24" t="str">
        <f t="shared" si="1"/>
        <v>JDG_Methane_YMF
Lab_FRAM_WA1
Internal Gas - #2/2 - 2021</v>
      </c>
    </row>
    <row r="25" spans="1:18" x14ac:dyDescent="0.2">
      <c r="A25" s="7" t="s">
        <v>62</v>
      </c>
      <c r="B25" s="7" t="s">
        <v>173</v>
      </c>
      <c r="C25" s="7" t="s">
        <v>183</v>
      </c>
      <c r="D25" s="7"/>
      <c r="E25" s="7"/>
      <c r="F25" s="7"/>
      <c r="G25" s="7">
        <v>33</v>
      </c>
      <c r="H25" s="7"/>
      <c r="I25" s="7"/>
      <c r="J25" s="7" t="str">
        <f>IF(I25="No", "Yes", "No")</f>
        <v>No</v>
      </c>
      <c r="K25" s="7" t="str">
        <f>"JDG_Methane_YMF"&amp;CHAR(10)&amp;A25&amp;"_"&amp;B25&amp;"_"&amp;C25&amp;CHAR(10)&amp;"Organic Soil - July 2021"</f>
        <v>JDG_Methane_YMF
Lab_FRAM_WA10
Organic Soil - July 2021</v>
      </c>
      <c r="L25" s="7" t="str">
        <f>"JDG_Methane_YMF"&amp;CHAR(10)&amp;A25&amp;"_"&amp;B25&amp;"_"&amp;C25&amp;CHAR(10)&amp;"Mineral Soil - July 2021"</f>
        <v>JDG_Methane_YMF
Lab_FRAM_WA10
Mineral Soil - July 2021</v>
      </c>
      <c r="M25" s="7" t="str">
        <f>"JDG_Methane_YMF"&amp;CHAR(10)&amp;A25&amp;"_"&amp;B25&amp;"_"&amp;C25&amp;CHAR(10)&amp;"Tree Core - MethaneTraits - 2021"</f>
        <v>JDG_Methane_YMF
Lab_FRAM_WA10
Tree Core - MethaneTraits - 2021</v>
      </c>
      <c r="N25" s="7" t="str">
        <f>"JDG_Methane_YMF"&amp;CHAR(10)&amp;A25&amp;"_"&amp;B25&amp;"_"&amp;C25&amp;CHAR(10)&amp;"Tree Core - Molecular - 2021"</f>
        <v>JDG_Methane_YMF
Lab_FRAM_WA10
Tree Core - Molecular - 2021</v>
      </c>
      <c r="O25" s="7" t="str">
        <f>"JDG_Methane_YMF"&amp;CHAR(10)&amp;A25&amp;"_"&amp;B25&amp;"_"&amp;C25&amp;CHAR(10)&amp;"Organic Soil - Molecular - 2021"</f>
        <v>JDG_Methane_YMF
Lab_FRAM_WA10
Organic Soil - Molecular - 2021</v>
      </c>
      <c r="P25" s="7" t="str">
        <f>"JDG_Methane_YMF"&amp;CHAR(10)&amp;A25&amp;"_"&amp;B25&amp;"_"&amp;C25&amp;CHAR(10)&amp;"Mineral Soil - Molecular - 2021"</f>
        <v>JDG_Methane_YMF
Lab_FRAM_WA10
Mineral Soil - Molecular - 2021</v>
      </c>
      <c r="Q25" t="str">
        <f t="shared" si="0"/>
        <v>JDG_Methane_YMF
Lab_FRAM_WA10
Internal Gas - #1/2 - 2021</v>
      </c>
      <c r="R25" t="str">
        <f t="shared" si="1"/>
        <v>JDG_Methane_YMF
Lab_FRAM_WA10
Internal Gas - #2/2 - 2021</v>
      </c>
    </row>
    <row r="26" spans="1:18" x14ac:dyDescent="0.2">
      <c r="A26" s="7" t="s">
        <v>62</v>
      </c>
      <c r="B26" s="7" t="s">
        <v>173</v>
      </c>
      <c r="C26" s="7" t="s">
        <v>184</v>
      </c>
      <c r="D26" s="7"/>
      <c r="E26" s="7"/>
      <c r="F26" s="7"/>
      <c r="G26" s="7">
        <v>27</v>
      </c>
      <c r="H26" s="7"/>
      <c r="I26" s="7"/>
      <c r="J26" s="7" t="str">
        <f>IF(I26="No", "Yes", "No")</f>
        <v>No</v>
      </c>
      <c r="K26" s="7" t="str">
        <f>"JDG_Methane_YMF"&amp;CHAR(10)&amp;A26&amp;"_"&amp;B26&amp;"_"&amp;C26&amp;CHAR(10)&amp;"Organic Soil - July 2021"</f>
        <v>JDG_Methane_YMF
Lab_FRAM_WA11
Organic Soil - July 2021</v>
      </c>
      <c r="L26" s="7" t="str">
        <f>"JDG_Methane_YMF"&amp;CHAR(10)&amp;A26&amp;"_"&amp;B26&amp;"_"&amp;C26&amp;CHAR(10)&amp;"Mineral Soil - July 2021"</f>
        <v>JDG_Methane_YMF
Lab_FRAM_WA11
Mineral Soil - July 2021</v>
      </c>
      <c r="M26" s="7" t="str">
        <f>"JDG_Methane_YMF"&amp;CHAR(10)&amp;A26&amp;"_"&amp;B26&amp;"_"&amp;C26&amp;CHAR(10)&amp;"Tree Core - MethaneTraits - 2021"</f>
        <v>JDG_Methane_YMF
Lab_FRAM_WA11
Tree Core - MethaneTraits - 2021</v>
      </c>
      <c r="N26" s="7" t="str">
        <f>"JDG_Methane_YMF"&amp;CHAR(10)&amp;A26&amp;"_"&amp;B26&amp;"_"&amp;C26&amp;CHAR(10)&amp;"Tree Core - Molecular - 2021"</f>
        <v>JDG_Methane_YMF
Lab_FRAM_WA11
Tree Core - Molecular - 2021</v>
      </c>
      <c r="O26" s="7" t="str">
        <f>"JDG_Methane_YMF"&amp;CHAR(10)&amp;A26&amp;"_"&amp;B26&amp;"_"&amp;C26&amp;CHAR(10)&amp;"Organic Soil - Molecular - 2021"</f>
        <v>JDG_Methane_YMF
Lab_FRAM_WA11
Organic Soil - Molecular - 2021</v>
      </c>
      <c r="P26" s="7" t="str">
        <f>"JDG_Methane_YMF"&amp;CHAR(10)&amp;A26&amp;"_"&amp;B26&amp;"_"&amp;C26&amp;CHAR(10)&amp;"Mineral Soil - Molecular - 2021"</f>
        <v>JDG_Methane_YMF
Lab_FRAM_WA11
Mineral Soil - Molecular - 2021</v>
      </c>
      <c r="Q26" t="str">
        <f t="shared" si="0"/>
        <v>JDG_Methane_YMF
Lab_FRAM_WA11
Internal Gas - #1/2 - 2021</v>
      </c>
      <c r="R26" t="str">
        <f t="shared" si="1"/>
        <v>JDG_Methane_YMF
Lab_FRAM_WA11
Internal Gas - #2/2 - 2021</v>
      </c>
    </row>
    <row r="27" spans="1:18" x14ac:dyDescent="0.2">
      <c r="A27" s="7" t="s">
        <v>62</v>
      </c>
      <c r="B27" s="7" t="s">
        <v>173</v>
      </c>
      <c r="C27" s="7" t="s">
        <v>185</v>
      </c>
      <c r="D27" s="7"/>
      <c r="E27" s="7"/>
      <c r="F27" s="7"/>
      <c r="G27" s="7">
        <v>58</v>
      </c>
      <c r="H27" s="7"/>
      <c r="I27" s="7"/>
      <c r="J27" s="7" t="str">
        <f>IF(I27="No", "Yes", "No")</f>
        <v>No</v>
      </c>
      <c r="K27" s="7" t="str">
        <f>"JDG_Methane_YMF"&amp;CHAR(10)&amp;A27&amp;"_"&amp;B27&amp;"_"&amp;C27&amp;CHAR(10)&amp;"Organic Soil - July 2021"</f>
        <v>JDG_Methane_YMF
Lab_FRAM_WA12
Organic Soil - July 2021</v>
      </c>
      <c r="L27" s="7" t="str">
        <f>"JDG_Methane_YMF"&amp;CHAR(10)&amp;A27&amp;"_"&amp;B27&amp;"_"&amp;C27&amp;CHAR(10)&amp;"Mineral Soil - July 2021"</f>
        <v>JDG_Methane_YMF
Lab_FRAM_WA12
Mineral Soil - July 2021</v>
      </c>
      <c r="M27" s="7" t="str">
        <f>"JDG_Methane_YMF"&amp;CHAR(10)&amp;A27&amp;"_"&amp;B27&amp;"_"&amp;C27&amp;CHAR(10)&amp;"Tree Core - MethaneTraits - 2021"</f>
        <v>JDG_Methane_YMF
Lab_FRAM_WA12
Tree Core - MethaneTraits - 2021</v>
      </c>
      <c r="N27" s="7" t="str">
        <f>"JDG_Methane_YMF"&amp;CHAR(10)&amp;A27&amp;"_"&amp;B27&amp;"_"&amp;C27&amp;CHAR(10)&amp;"Tree Core - Molecular - 2021"</f>
        <v>JDG_Methane_YMF
Lab_FRAM_WA12
Tree Core - Molecular - 2021</v>
      </c>
      <c r="O27" s="7" t="str">
        <f>"JDG_Methane_YMF"&amp;CHAR(10)&amp;A27&amp;"_"&amp;B27&amp;"_"&amp;C27&amp;CHAR(10)&amp;"Organic Soil - Molecular - 2021"</f>
        <v>JDG_Methane_YMF
Lab_FRAM_WA12
Organic Soil - Molecular - 2021</v>
      </c>
      <c r="P27" s="7" t="str">
        <f>"JDG_Methane_YMF"&amp;CHAR(10)&amp;A27&amp;"_"&amp;B27&amp;"_"&amp;C27&amp;CHAR(10)&amp;"Mineral Soil - Molecular - 2021"</f>
        <v>JDG_Methane_YMF
Lab_FRAM_WA12
Mineral Soil - Molecular - 2021</v>
      </c>
      <c r="Q27" t="str">
        <f t="shared" si="0"/>
        <v>JDG_Methane_YMF
Lab_FRAM_WA12
Internal Gas - #1/2 - 2021</v>
      </c>
      <c r="R27" t="str">
        <f t="shared" si="1"/>
        <v>JDG_Methane_YMF
Lab_FRAM_WA12
Internal Gas - #2/2 - 2021</v>
      </c>
    </row>
    <row r="28" spans="1:18" x14ac:dyDescent="0.2">
      <c r="A28" s="7" t="s">
        <v>62</v>
      </c>
      <c r="B28" s="7" t="s">
        <v>173</v>
      </c>
      <c r="C28" s="7" t="s">
        <v>186</v>
      </c>
      <c r="D28" s="7"/>
      <c r="E28" s="7"/>
      <c r="F28" s="7"/>
      <c r="G28" s="7">
        <v>23.5</v>
      </c>
      <c r="H28" s="7"/>
      <c r="I28" s="7"/>
      <c r="J28" s="7" t="str">
        <f>IF(I28="No", "Yes", "No")</f>
        <v>No</v>
      </c>
      <c r="K28" s="7" t="str">
        <f>"JDG_Methane_YMF"&amp;CHAR(10)&amp;A28&amp;"_"&amp;B28&amp;"_"&amp;C28&amp;CHAR(10)&amp;"Organic Soil - July 2021"</f>
        <v>JDG_Methane_YMF
Lab_FRAM_WA13
Organic Soil - July 2021</v>
      </c>
      <c r="L28" s="7" t="str">
        <f>"JDG_Methane_YMF"&amp;CHAR(10)&amp;A28&amp;"_"&amp;B28&amp;"_"&amp;C28&amp;CHAR(10)&amp;"Mineral Soil - July 2021"</f>
        <v>JDG_Methane_YMF
Lab_FRAM_WA13
Mineral Soil - July 2021</v>
      </c>
      <c r="M28" s="7" t="str">
        <f>"JDG_Methane_YMF"&amp;CHAR(10)&amp;A28&amp;"_"&amp;B28&amp;"_"&amp;C28&amp;CHAR(10)&amp;"Tree Core - MethaneTraits - 2021"</f>
        <v>JDG_Methane_YMF
Lab_FRAM_WA13
Tree Core - MethaneTraits - 2021</v>
      </c>
      <c r="N28" s="7" t="str">
        <f>"JDG_Methane_YMF"&amp;CHAR(10)&amp;A28&amp;"_"&amp;B28&amp;"_"&amp;C28&amp;CHAR(10)&amp;"Tree Core - Molecular - 2021"</f>
        <v>JDG_Methane_YMF
Lab_FRAM_WA13
Tree Core - Molecular - 2021</v>
      </c>
      <c r="O28" s="7" t="str">
        <f>"JDG_Methane_YMF"&amp;CHAR(10)&amp;A28&amp;"_"&amp;B28&amp;"_"&amp;C28&amp;CHAR(10)&amp;"Organic Soil - Molecular - 2021"</f>
        <v>JDG_Methane_YMF
Lab_FRAM_WA13
Organic Soil - Molecular - 2021</v>
      </c>
      <c r="P28" s="7" t="str">
        <f>"JDG_Methane_YMF"&amp;CHAR(10)&amp;A28&amp;"_"&amp;B28&amp;"_"&amp;C28&amp;CHAR(10)&amp;"Mineral Soil - Molecular - 2021"</f>
        <v>JDG_Methane_YMF
Lab_FRAM_WA13
Mineral Soil - Molecular - 2021</v>
      </c>
      <c r="Q28" t="str">
        <f t="shared" si="0"/>
        <v>JDG_Methane_YMF
Lab_FRAM_WA13
Internal Gas - #1/2 - 2021</v>
      </c>
      <c r="R28" t="str">
        <f t="shared" si="1"/>
        <v>JDG_Methane_YMF
Lab_FRAM_WA13
Internal Gas - #2/2 - 2021</v>
      </c>
    </row>
    <row r="29" spans="1:18" x14ac:dyDescent="0.2">
      <c r="A29" s="7" t="s">
        <v>62</v>
      </c>
      <c r="B29" s="7" t="s">
        <v>173</v>
      </c>
      <c r="C29" s="7" t="s">
        <v>187</v>
      </c>
      <c r="D29" s="7"/>
      <c r="E29" s="7"/>
      <c r="F29" s="7"/>
      <c r="G29" s="7">
        <v>47.5</v>
      </c>
      <c r="H29" s="7"/>
      <c r="I29" s="7"/>
      <c r="J29" s="7" t="str">
        <f>IF(I29="No", "Yes", "No")</f>
        <v>No</v>
      </c>
      <c r="K29" s="7" t="str">
        <f>"JDG_Methane_YMF"&amp;CHAR(10)&amp;A29&amp;"_"&amp;B29&amp;"_"&amp;C29&amp;CHAR(10)&amp;"Organic Soil - July 2021"</f>
        <v>JDG_Methane_YMF
Lab_FRAM_WA14
Organic Soil - July 2021</v>
      </c>
      <c r="L29" s="7" t="str">
        <f>"JDG_Methane_YMF"&amp;CHAR(10)&amp;A29&amp;"_"&amp;B29&amp;"_"&amp;C29&amp;CHAR(10)&amp;"Mineral Soil - July 2021"</f>
        <v>JDG_Methane_YMF
Lab_FRAM_WA14
Mineral Soil - July 2021</v>
      </c>
      <c r="M29" s="7" t="str">
        <f>"JDG_Methane_YMF"&amp;CHAR(10)&amp;A29&amp;"_"&amp;B29&amp;"_"&amp;C29&amp;CHAR(10)&amp;"Tree Core - MethaneTraits - 2021"</f>
        <v>JDG_Methane_YMF
Lab_FRAM_WA14
Tree Core - MethaneTraits - 2021</v>
      </c>
      <c r="N29" s="7" t="str">
        <f>"JDG_Methane_YMF"&amp;CHAR(10)&amp;A29&amp;"_"&amp;B29&amp;"_"&amp;C29&amp;CHAR(10)&amp;"Tree Core - Molecular - 2021"</f>
        <v>JDG_Methane_YMF
Lab_FRAM_WA14
Tree Core - Molecular - 2021</v>
      </c>
      <c r="O29" s="7" t="str">
        <f>"JDG_Methane_YMF"&amp;CHAR(10)&amp;A29&amp;"_"&amp;B29&amp;"_"&amp;C29&amp;CHAR(10)&amp;"Organic Soil - Molecular - 2021"</f>
        <v>JDG_Methane_YMF
Lab_FRAM_WA14
Organic Soil - Molecular - 2021</v>
      </c>
      <c r="P29" s="7" t="str">
        <f>"JDG_Methane_YMF"&amp;CHAR(10)&amp;A29&amp;"_"&amp;B29&amp;"_"&amp;C29&amp;CHAR(10)&amp;"Mineral Soil - Molecular - 2021"</f>
        <v>JDG_Methane_YMF
Lab_FRAM_WA14
Mineral Soil - Molecular - 2021</v>
      </c>
      <c r="Q29" t="str">
        <f t="shared" si="0"/>
        <v>JDG_Methane_YMF
Lab_FRAM_WA14
Internal Gas - #1/2 - 2021</v>
      </c>
      <c r="R29" t="str">
        <f t="shared" si="1"/>
        <v>JDG_Methane_YMF
Lab_FRAM_WA14
Internal Gas - #2/2 - 2021</v>
      </c>
    </row>
    <row r="30" spans="1:18" x14ac:dyDescent="0.2">
      <c r="A30" s="7" t="s">
        <v>62</v>
      </c>
      <c r="B30" s="7" t="s">
        <v>173</v>
      </c>
      <c r="C30" s="7" t="s">
        <v>188</v>
      </c>
      <c r="D30" s="7"/>
      <c r="E30" s="7"/>
      <c r="F30" s="7"/>
      <c r="G30" s="7">
        <v>22.5</v>
      </c>
      <c r="H30" s="7"/>
      <c r="I30" s="7"/>
      <c r="J30" s="7" t="str">
        <f>IF(I30="No", "Yes", "No")</f>
        <v>No</v>
      </c>
      <c r="K30" s="7" t="str">
        <f>"JDG_Methane_YMF"&amp;CHAR(10)&amp;A30&amp;"_"&amp;B30&amp;"_"&amp;C30&amp;CHAR(10)&amp;"Organic Soil - July 2021"</f>
        <v>JDG_Methane_YMF
Lab_FRAM_WA15
Organic Soil - July 2021</v>
      </c>
      <c r="L30" s="7" t="str">
        <f>"JDG_Methane_YMF"&amp;CHAR(10)&amp;A30&amp;"_"&amp;B30&amp;"_"&amp;C30&amp;CHAR(10)&amp;"Mineral Soil - July 2021"</f>
        <v>JDG_Methane_YMF
Lab_FRAM_WA15
Mineral Soil - July 2021</v>
      </c>
      <c r="M30" s="7" t="str">
        <f>"JDG_Methane_YMF"&amp;CHAR(10)&amp;A30&amp;"_"&amp;B30&amp;"_"&amp;C30&amp;CHAR(10)&amp;"Tree Core - MethaneTraits - 2021"</f>
        <v>JDG_Methane_YMF
Lab_FRAM_WA15
Tree Core - MethaneTraits - 2021</v>
      </c>
      <c r="N30" s="7" t="str">
        <f>"JDG_Methane_YMF"&amp;CHAR(10)&amp;A30&amp;"_"&amp;B30&amp;"_"&amp;C30&amp;CHAR(10)&amp;"Tree Core - Molecular - 2021"</f>
        <v>JDG_Methane_YMF
Lab_FRAM_WA15
Tree Core - Molecular - 2021</v>
      </c>
      <c r="O30" s="7" t="str">
        <f>"JDG_Methane_YMF"&amp;CHAR(10)&amp;A30&amp;"_"&amp;B30&amp;"_"&amp;C30&amp;CHAR(10)&amp;"Organic Soil - Molecular - 2021"</f>
        <v>JDG_Methane_YMF
Lab_FRAM_WA15
Organic Soil - Molecular - 2021</v>
      </c>
      <c r="P30" s="7" t="str">
        <f>"JDG_Methane_YMF"&amp;CHAR(10)&amp;A30&amp;"_"&amp;B30&amp;"_"&amp;C30&amp;CHAR(10)&amp;"Mineral Soil - Molecular - 2021"</f>
        <v>JDG_Methane_YMF
Lab_FRAM_WA15
Mineral Soil - Molecular - 2021</v>
      </c>
      <c r="Q30" t="str">
        <f t="shared" si="0"/>
        <v>JDG_Methane_YMF
Lab_FRAM_WA15
Internal Gas - #1/2 - 2021</v>
      </c>
      <c r="R30" t="str">
        <f t="shared" si="1"/>
        <v>JDG_Methane_YMF
Lab_FRAM_WA15
Internal Gas - #2/2 - 2021</v>
      </c>
    </row>
    <row r="31" spans="1:18" x14ac:dyDescent="0.2">
      <c r="A31" s="7" t="s">
        <v>62</v>
      </c>
      <c r="B31" s="7" t="s">
        <v>173</v>
      </c>
      <c r="C31" s="7" t="s">
        <v>175</v>
      </c>
      <c r="D31" s="7"/>
      <c r="E31" s="7"/>
      <c r="F31" s="7"/>
      <c r="G31" s="7">
        <v>34.5</v>
      </c>
      <c r="H31" s="7"/>
      <c r="I31" s="7"/>
      <c r="J31" s="7" t="str">
        <f>IF(I31="No", "Yes", "No")</f>
        <v>No</v>
      </c>
      <c r="K31" s="7" t="str">
        <f>"JDG_Methane_YMF"&amp;CHAR(10)&amp;A31&amp;"_"&amp;B31&amp;"_"&amp;C31&amp;CHAR(10)&amp;"Organic Soil - July 2021"</f>
        <v>JDG_Methane_YMF
Lab_FRAM_WA2
Organic Soil - July 2021</v>
      </c>
      <c r="L31" s="7" t="str">
        <f>"JDG_Methane_YMF"&amp;CHAR(10)&amp;A31&amp;"_"&amp;B31&amp;"_"&amp;C31&amp;CHAR(10)&amp;"Mineral Soil - July 2021"</f>
        <v>JDG_Methane_YMF
Lab_FRAM_WA2
Mineral Soil - July 2021</v>
      </c>
      <c r="M31" s="7" t="str">
        <f>"JDG_Methane_YMF"&amp;CHAR(10)&amp;A31&amp;"_"&amp;B31&amp;"_"&amp;C31&amp;CHAR(10)&amp;"Tree Core - MethaneTraits - 2021"</f>
        <v>JDG_Methane_YMF
Lab_FRAM_WA2
Tree Core - MethaneTraits - 2021</v>
      </c>
      <c r="N31" s="7" t="str">
        <f>"JDG_Methane_YMF"&amp;CHAR(10)&amp;A31&amp;"_"&amp;B31&amp;"_"&amp;C31&amp;CHAR(10)&amp;"Tree Core - Molecular - 2021"</f>
        <v>JDG_Methane_YMF
Lab_FRAM_WA2
Tree Core - Molecular - 2021</v>
      </c>
      <c r="O31" s="7" t="str">
        <f>"JDG_Methane_YMF"&amp;CHAR(10)&amp;A31&amp;"_"&amp;B31&amp;"_"&amp;C31&amp;CHAR(10)&amp;"Organic Soil - Molecular - 2021"</f>
        <v>JDG_Methane_YMF
Lab_FRAM_WA2
Organic Soil - Molecular - 2021</v>
      </c>
      <c r="P31" s="7" t="str">
        <f>"JDG_Methane_YMF"&amp;CHAR(10)&amp;A31&amp;"_"&amp;B31&amp;"_"&amp;C31&amp;CHAR(10)&amp;"Mineral Soil - Molecular - 2021"</f>
        <v>JDG_Methane_YMF
Lab_FRAM_WA2
Mineral Soil - Molecular - 2021</v>
      </c>
      <c r="Q31" t="str">
        <f t="shared" si="0"/>
        <v>JDG_Methane_YMF
Lab_FRAM_WA2
Internal Gas - #1/2 - 2021</v>
      </c>
      <c r="R31" t="str">
        <f t="shared" si="1"/>
        <v>JDG_Methane_YMF
Lab_FRAM_WA2
Internal Gas - #2/2 - 2021</v>
      </c>
    </row>
    <row r="32" spans="1:18" x14ac:dyDescent="0.2">
      <c r="A32" s="7" t="s">
        <v>62</v>
      </c>
      <c r="B32" s="7" t="s">
        <v>173</v>
      </c>
      <c r="C32" s="7" t="s">
        <v>176</v>
      </c>
      <c r="D32" s="7"/>
      <c r="E32" s="7"/>
      <c r="F32" s="7"/>
      <c r="G32" s="7">
        <v>22.5</v>
      </c>
      <c r="H32" s="7"/>
      <c r="I32" s="7"/>
      <c r="J32" s="7" t="str">
        <f>IF(I32="No", "Yes", "No")</f>
        <v>No</v>
      </c>
      <c r="K32" s="7" t="str">
        <f>"JDG_Methane_YMF"&amp;CHAR(10)&amp;A32&amp;"_"&amp;B32&amp;"_"&amp;C32&amp;CHAR(10)&amp;"Organic Soil - July 2021"</f>
        <v>JDG_Methane_YMF
Lab_FRAM_WA3
Organic Soil - July 2021</v>
      </c>
      <c r="L32" s="7" t="str">
        <f>"JDG_Methane_YMF"&amp;CHAR(10)&amp;A32&amp;"_"&amp;B32&amp;"_"&amp;C32&amp;CHAR(10)&amp;"Mineral Soil - July 2021"</f>
        <v>JDG_Methane_YMF
Lab_FRAM_WA3
Mineral Soil - July 2021</v>
      </c>
      <c r="M32" s="7" t="str">
        <f>"JDG_Methane_YMF"&amp;CHAR(10)&amp;A32&amp;"_"&amp;B32&amp;"_"&amp;C32&amp;CHAR(10)&amp;"Tree Core - MethaneTraits - 2021"</f>
        <v>JDG_Methane_YMF
Lab_FRAM_WA3
Tree Core - MethaneTraits - 2021</v>
      </c>
      <c r="N32" s="7" t="str">
        <f>"JDG_Methane_YMF"&amp;CHAR(10)&amp;A32&amp;"_"&amp;B32&amp;"_"&amp;C32&amp;CHAR(10)&amp;"Tree Core - Molecular - 2021"</f>
        <v>JDG_Methane_YMF
Lab_FRAM_WA3
Tree Core - Molecular - 2021</v>
      </c>
      <c r="O32" s="7" t="str">
        <f>"JDG_Methane_YMF"&amp;CHAR(10)&amp;A32&amp;"_"&amp;B32&amp;"_"&amp;C32&amp;CHAR(10)&amp;"Organic Soil - Molecular - 2021"</f>
        <v>JDG_Methane_YMF
Lab_FRAM_WA3
Organic Soil - Molecular - 2021</v>
      </c>
      <c r="P32" s="7" t="str">
        <f>"JDG_Methane_YMF"&amp;CHAR(10)&amp;A32&amp;"_"&amp;B32&amp;"_"&amp;C32&amp;CHAR(10)&amp;"Mineral Soil - Molecular - 2021"</f>
        <v>JDG_Methane_YMF
Lab_FRAM_WA3
Mineral Soil - Molecular - 2021</v>
      </c>
      <c r="Q32" t="str">
        <f t="shared" si="0"/>
        <v>JDG_Methane_YMF
Lab_FRAM_WA3
Internal Gas - #1/2 - 2021</v>
      </c>
      <c r="R32" t="str">
        <f t="shared" si="1"/>
        <v>JDG_Methane_YMF
Lab_FRAM_WA3
Internal Gas - #2/2 - 2021</v>
      </c>
    </row>
    <row r="33" spans="1:18" x14ac:dyDescent="0.2">
      <c r="A33" s="7" t="s">
        <v>62</v>
      </c>
      <c r="B33" s="7" t="s">
        <v>173</v>
      </c>
      <c r="C33" s="7" t="s">
        <v>177</v>
      </c>
      <c r="D33" s="7"/>
      <c r="E33" s="7"/>
      <c r="F33" s="7"/>
      <c r="G33" s="7">
        <v>34</v>
      </c>
      <c r="H33" s="7"/>
      <c r="I33" s="7"/>
      <c r="J33" s="7" t="str">
        <f>IF(I33="No", "Yes", "No")</f>
        <v>No</v>
      </c>
      <c r="K33" s="7" t="str">
        <f>"JDG_Methane_YMF"&amp;CHAR(10)&amp;A33&amp;"_"&amp;B33&amp;"_"&amp;C33&amp;CHAR(10)&amp;"Organic Soil - July 2021"</f>
        <v>JDG_Methane_YMF
Lab_FRAM_WA4
Organic Soil - July 2021</v>
      </c>
      <c r="L33" s="7" t="str">
        <f>"JDG_Methane_YMF"&amp;CHAR(10)&amp;A33&amp;"_"&amp;B33&amp;"_"&amp;C33&amp;CHAR(10)&amp;"Mineral Soil - July 2021"</f>
        <v>JDG_Methane_YMF
Lab_FRAM_WA4
Mineral Soil - July 2021</v>
      </c>
      <c r="M33" s="7" t="str">
        <f>"JDG_Methane_YMF"&amp;CHAR(10)&amp;A33&amp;"_"&amp;B33&amp;"_"&amp;C33&amp;CHAR(10)&amp;"Tree Core - MethaneTraits - 2021"</f>
        <v>JDG_Methane_YMF
Lab_FRAM_WA4
Tree Core - MethaneTraits - 2021</v>
      </c>
      <c r="N33" s="7" t="str">
        <f>"JDG_Methane_YMF"&amp;CHAR(10)&amp;A33&amp;"_"&amp;B33&amp;"_"&amp;C33&amp;CHAR(10)&amp;"Tree Core - Molecular - 2021"</f>
        <v>JDG_Methane_YMF
Lab_FRAM_WA4
Tree Core - Molecular - 2021</v>
      </c>
      <c r="O33" s="7" t="str">
        <f>"JDG_Methane_YMF"&amp;CHAR(10)&amp;A33&amp;"_"&amp;B33&amp;"_"&amp;C33&amp;CHAR(10)&amp;"Organic Soil - Molecular - 2021"</f>
        <v>JDG_Methane_YMF
Lab_FRAM_WA4
Organic Soil - Molecular - 2021</v>
      </c>
      <c r="P33" s="7" t="str">
        <f>"JDG_Methane_YMF"&amp;CHAR(10)&amp;A33&amp;"_"&amp;B33&amp;"_"&amp;C33&amp;CHAR(10)&amp;"Mineral Soil - Molecular - 2021"</f>
        <v>JDG_Methane_YMF
Lab_FRAM_WA4
Mineral Soil - Molecular - 2021</v>
      </c>
      <c r="Q33" t="str">
        <f t="shared" si="0"/>
        <v>JDG_Methane_YMF
Lab_FRAM_WA4
Internal Gas - #1/2 - 2021</v>
      </c>
      <c r="R33" t="str">
        <f t="shared" si="1"/>
        <v>JDG_Methane_YMF
Lab_FRAM_WA4
Internal Gas - #2/2 - 2021</v>
      </c>
    </row>
    <row r="34" spans="1:18" x14ac:dyDescent="0.2">
      <c r="A34" s="7" t="s">
        <v>62</v>
      </c>
      <c r="B34" s="7" t="s">
        <v>173</v>
      </c>
      <c r="C34" s="7" t="s">
        <v>178</v>
      </c>
      <c r="D34" s="7"/>
      <c r="E34" s="7"/>
      <c r="F34" s="7"/>
      <c r="G34" s="7">
        <v>37</v>
      </c>
      <c r="H34" s="7"/>
      <c r="I34" s="7"/>
      <c r="J34" s="7" t="str">
        <f>IF(I34="No", "Yes", "No")</f>
        <v>No</v>
      </c>
      <c r="K34" s="7" t="str">
        <f>"JDG_Methane_YMF"&amp;CHAR(10)&amp;A34&amp;"_"&amp;B34&amp;"_"&amp;C34&amp;CHAR(10)&amp;"Organic Soil - July 2021"</f>
        <v>JDG_Methane_YMF
Lab_FRAM_WA5
Organic Soil - July 2021</v>
      </c>
      <c r="L34" s="7" t="str">
        <f>"JDG_Methane_YMF"&amp;CHAR(10)&amp;A34&amp;"_"&amp;B34&amp;"_"&amp;C34&amp;CHAR(10)&amp;"Mineral Soil - July 2021"</f>
        <v>JDG_Methane_YMF
Lab_FRAM_WA5
Mineral Soil - July 2021</v>
      </c>
      <c r="M34" s="7" t="str">
        <f>"JDG_Methane_YMF"&amp;CHAR(10)&amp;A34&amp;"_"&amp;B34&amp;"_"&amp;C34&amp;CHAR(10)&amp;"Tree Core - MethaneTraits - 2021"</f>
        <v>JDG_Methane_YMF
Lab_FRAM_WA5
Tree Core - MethaneTraits - 2021</v>
      </c>
      <c r="N34" s="7" t="str">
        <f>"JDG_Methane_YMF"&amp;CHAR(10)&amp;A34&amp;"_"&amp;B34&amp;"_"&amp;C34&amp;CHAR(10)&amp;"Tree Core - Molecular - 2021"</f>
        <v>JDG_Methane_YMF
Lab_FRAM_WA5
Tree Core - Molecular - 2021</v>
      </c>
      <c r="O34" s="7" t="str">
        <f>"JDG_Methane_YMF"&amp;CHAR(10)&amp;A34&amp;"_"&amp;B34&amp;"_"&amp;C34&amp;CHAR(10)&amp;"Organic Soil - Molecular - 2021"</f>
        <v>JDG_Methane_YMF
Lab_FRAM_WA5
Organic Soil - Molecular - 2021</v>
      </c>
      <c r="P34" s="7" t="str">
        <f>"JDG_Methane_YMF"&amp;CHAR(10)&amp;A34&amp;"_"&amp;B34&amp;"_"&amp;C34&amp;CHAR(10)&amp;"Mineral Soil - Molecular - 2021"</f>
        <v>JDG_Methane_YMF
Lab_FRAM_WA5
Mineral Soil - Molecular - 2021</v>
      </c>
      <c r="Q34" t="str">
        <f t="shared" si="0"/>
        <v>JDG_Methane_YMF
Lab_FRAM_WA5
Internal Gas - #1/2 - 2021</v>
      </c>
      <c r="R34" t="str">
        <f t="shared" si="1"/>
        <v>JDG_Methane_YMF
Lab_FRAM_WA5
Internal Gas - #2/2 - 2021</v>
      </c>
    </row>
    <row r="35" spans="1:18" x14ac:dyDescent="0.2">
      <c r="A35" s="7" t="s">
        <v>62</v>
      </c>
      <c r="B35" s="7" t="s">
        <v>173</v>
      </c>
      <c r="C35" s="7" t="s">
        <v>179</v>
      </c>
      <c r="D35" s="7"/>
      <c r="E35" s="7"/>
      <c r="F35" s="7"/>
      <c r="G35" s="7">
        <v>21</v>
      </c>
      <c r="H35" s="7"/>
      <c r="I35" s="7"/>
      <c r="J35" s="7" t="str">
        <f>IF(I35="No", "Yes", "No")</f>
        <v>No</v>
      </c>
      <c r="K35" s="7" t="str">
        <f>"JDG_Methane_YMF"&amp;CHAR(10)&amp;A35&amp;"_"&amp;B35&amp;"_"&amp;C35&amp;CHAR(10)&amp;"Organic Soil - July 2021"</f>
        <v>JDG_Methane_YMF
Lab_FRAM_WA6
Organic Soil - July 2021</v>
      </c>
      <c r="L35" s="7" t="str">
        <f>"JDG_Methane_YMF"&amp;CHAR(10)&amp;A35&amp;"_"&amp;B35&amp;"_"&amp;C35&amp;CHAR(10)&amp;"Mineral Soil - July 2021"</f>
        <v>JDG_Methane_YMF
Lab_FRAM_WA6
Mineral Soil - July 2021</v>
      </c>
      <c r="M35" s="7" t="str">
        <f>"JDG_Methane_YMF"&amp;CHAR(10)&amp;A35&amp;"_"&amp;B35&amp;"_"&amp;C35&amp;CHAR(10)&amp;"Tree Core - MethaneTraits - 2021"</f>
        <v>JDG_Methane_YMF
Lab_FRAM_WA6
Tree Core - MethaneTraits - 2021</v>
      </c>
      <c r="N35" s="7" t="str">
        <f>"JDG_Methane_YMF"&amp;CHAR(10)&amp;A35&amp;"_"&amp;B35&amp;"_"&amp;C35&amp;CHAR(10)&amp;"Tree Core - Molecular - 2021"</f>
        <v>JDG_Methane_YMF
Lab_FRAM_WA6
Tree Core - Molecular - 2021</v>
      </c>
      <c r="O35" s="7" t="str">
        <f>"JDG_Methane_YMF"&amp;CHAR(10)&amp;A35&amp;"_"&amp;B35&amp;"_"&amp;C35&amp;CHAR(10)&amp;"Organic Soil - Molecular - 2021"</f>
        <v>JDG_Methane_YMF
Lab_FRAM_WA6
Organic Soil - Molecular - 2021</v>
      </c>
      <c r="P35" s="7" t="str">
        <f>"JDG_Methane_YMF"&amp;CHAR(10)&amp;A35&amp;"_"&amp;B35&amp;"_"&amp;C35&amp;CHAR(10)&amp;"Mineral Soil - Molecular - 2021"</f>
        <v>JDG_Methane_YMF
Lab_FRAM_WA6
Mineral Soil - Molecular - 2021</v>
      </c>
      <c r="Q35" t="str">
        <f t="shared" si="0"/>
        <v>JDG_Methane_YMF
Lab_FRAM_WA6
Internal Gas - #1/2 - 2021</v>
      </c>
      <c r="R35" t="str">
        <f t="shared" si="1"/>
        <v>JDG_Methane_YMF
Lab_FRAM_WA6
Internal Gas - #2/2 - 2021</v>
      </c>
    </row>
    <row r="36" spans="1:18" x14ac:dyDescent="0.2">
      <c r="A36" s="7" t="s">
        <v>62</v>
      </c>
      <c r="B36" s="7" t="s">
        <v>173</v>
      </c>
      <c r="C36" s="7" t="s">
        <v>180</v>
      </c>
      <c r="D36" s="7"/>
      <c r="E36" s="7"/>
      <c r="F36" s="7"/>
      <c r="G36" s="7">
        <v>40</v>
      </c>
      <c r="H36" s="7"/>
      <c r="I36" s="7"/>
      <c r="J36" s="7" t="str">
        <f>IF(I36="No", "Yes", "No")</f>
        <v>No</v>
      </c>
      <c r="K36" s="7" t="str">
        <f>"JDG_Methane_YMF"&amp;CHAR(10)&amp;A36&amp;"_"&amp;B36&amp;"_"&amp;C36&amp;CHAR(10)&amp;"Organic Soil - July 2021"</f>
        <v>JDG_Methane_YMF
Lab_FRAM_WA7
Organic Soil - July 2021</v>
      </c>
      <c r="L36" s="7" t="str">
        <f>"JDG_Methane_YMF"&amp;CHAR(10)&amp;A36&amp;"_"&amp;B36&amp;"_"&amp;C36&amp;CHAR(10)&amp;"Mineral Soil - July 2021"</f>
        <v>JDG_Methane_YMF
Lab_FRAM_WA7
Mineral Soil - July 2021</v>
      </c>
      <c r="M36" s="7" t="str">
        <f>"JDG_Methane_YMF"&amp;CHAR(10)&amp;A36&amp;"_"&amp;B36&amp;"_"&amp;C36&amp;CHAR(10)&amp;"Tree Core - MethaneTraits - 2021"</f>
        <v>JDG_Methane_YMF
Lab_FRAM_WA7
Tree Core - MethaneTraits - 2021</v>
      </c>
      <c r="N36" s="7" t="str">
        <f>"JDG_Methane_YMF"&amp;CHAR(10)&amp;A36&amp;"_"&amp;B36&amp;"_"&amp;C36&amp;CHAR(10)&amp;"Tree Core - Molecular - 2021"</f>
        <v>JDG_Methane_YMF
Lab_FRAM_WA7
Tree Core - Molecular - 2021</v>
      </c>
      <c r="O36" s="7" t="str">
        <f>"JDG_Methane_YMF"&amp;CHAR(10)&amp;A36&amp;"_"&amp;B36&amp;"_"&amp;C36&amp;CHAR(10)&amp;"Organic Soil - Molecular - 2021"</f>
        <v>JDG_Methane_YMF
Lab_FRAM_WA7
Organic Soil - Molecular - 2021</v>
      </c>
      <c r="P36" s="7" t="str">
        <f>"JDG_Methane_YMF"&amp;CHAR(10)&amp;A36&amp;"_"&amp;B36&amp;"_"&amp;C36&amp;CHAR(10)&amp;"Mineral Soil - Molecular - 2021"</f>
        <v>JDG_Methane_YMF
Lab_FRAM_WA7
Mineral Soil - Molecular - 2021</v>
      </c>
      <c r="Q36" t="str">
        <f t="shared" si="0"/>
        <v>JDG_Methane_YMF
Lab_FRAM_WA7
Internal Gas - #1/2 - 2021</v>
      </c>
      <c r="R36" t="str">
        <f t="shared" si="1"/>
        <v>JDG_Methane_YMF
Lab_FRAM_WA7
Internal Gas - #2/2 - 2021</v>
      </c>
    </row>
    <row r="37" spans="1:18" x14ac:dyDescent="0.2">
      <c r="A37" s="7" t="s">
        <v>62</v>
      </c>
      <c r="B37" s="7" t="s">
        <v>173</v>
      </c>
      <c r="C37" s="7" t="s">
        <v>181</v>
      </c>
      <c r="D37" s="7"/>
      <c r="E37" s="7"/>
      <c r="F37" s="7"/>
      <c r="G37" s="7">
        <v>32</v>
      </c>
      <c r="H37" s="7"/>
      <c r="I37" s="7"/>
      <c r="J37" s="7" t="str">
        <f>IF(I37="No", "Yes", "No")</f>
        <v>No</v>
      </c>
      <c r="K37" s="7" t="str">
        <f>"JDG_Methane_YMF"&amp;CHAR(10)&amp;A37&amp;"_"&amp;B37&amp;"_"&amp;C37&amp;CHAR(10)&amp;"Organic Soil - July 2021"</f>
        <v>JDG_Methane_YMF
Lab_FRAM_WA8
Organic Soil - July 2021</v>
      </c>
      <c r="L37" s="7" t="str">
        <f>"JDG_Methane_YMF"&amp;CHAR(10)&amp;A37&amp;"_"&amp;B37&amp;"_"&amp;C37&amp;CHAR(10)&amp;"Mineral Soil - July 2021"</f>
        <v>JDG_Methane_YMF
Lab_FRAM_WA8
Mineral Soil - July 2021</v>
      </c>
      <c r="M37" s="7" t="str">
        <f>"JDG_Methane_YMF"&amp;CHAR(10)&amp;A37&amp;"_"&amp;B37&amp;"_"&amp;C37&amp;CHAR(10)&amp;"Tree Core - MethaneTraits - 2021"</f>
        <v>JDG_Methane_YMF
Lab_FRAM_WA8
Tree Core - MethaneTraits - 2021</v>
      </c>
      <c r="N37" s="7" t="str">
        <f>"JDG_Methane_YMF"&amp;CHAR(10)&amp;A37&amp;"_"&amp;B37&amp;"_"&amp;C37&amp;CHAR(10)&amp;"Tree Core - Molecular - 2021"</f>
        <v>JDG_Methane_YMF
Lab_FRAM_WA8
Tree Core - Molecular - 2021</v>
      </c>
      <c r="O37" s="7" t="str">
        <f>"JDG_Methane_YMF"&amp;CHAR(10)&amp;A37&amp;"_"&amp;B37&amp;"_"&amp;C37&amp;CHAR(10)&amp;"Organic Soil - Molecular - 2021"</f>
        <v>JDG_Methane_YMF
Lab_FRAM_WA8
Organic Soil - Molecular - 2021</v>
      </c>
      <c r="P37" s="7" t="str">
        <f>"JDG_Methane_YMF"&amp;CHAR(10)&amp;A37&amp;"_"&amp;B37&amp;"_"&amp;C37&amp;CHAR(10)&amp;"Mineral Soil - Molecular - 2021"</f>
        <v>JDG_Methane_YMF
Lab_FRAM_WA8
Mineral Soil - Molecular - 2021</v>
      </c>
      <c r="Q37" t="str">
        <f t="shared" si="0"/>
        <v>JDG_Methane_YMF
Lab_FRAM_WA8
Internal Gas - #1/2 - 2021</v>
      </c>
      <c r="R37" t="str">
        <f t="shared" si="1"/>
        <v>JDG_Methane_YMF
Lab_FRAM_WA8
Internal Gas - #2/2 - 2021</v>
      </c>
    </row>
    <row r="38" spans="1:18" x14ac:dyDescent="0.2">
      <c r="A38" s="7" t="s">
        <v>62</v>
      </c>
      <c r="B38" s="7" t="s">
        <v>173</v>
      </c>
      <c r="C38" s="7" t="s">
        <v>182</v>
      </c>
      <c r="D38" s="7"/>
      <c r="E38" s="7"/>
      <c r="F38" s="7"/>
      <c r="G38" s="7">
        <v>30.5</v>
      </c>
      <c r="H38" s="7"/>
      <c r="I38" s="7"/>
      <c r="J38" s="7" t="str">
        <f>IF(I38="No", "Yes", "No")</f>
        <v>No</v>
      </c>
      <c r="K38" s="7" t="str">
        <f>"JDG_Methane_YMF"&amp;CHAR(10)&amp;A38&amp;"_"&amp;B38&amp;"_"&amp;C38&amp;CHAR(10)&amp;"Organic Soil - July 2021"</f>
        <v>JDG_Methane_YMF
Lab_FRAM_WA9
Organic Soil - July 2021</v>
      </c>
      <c r="L38" s="7" t="str">
        <f>"JDG_Methane_YMF"&amp;CHAR(10)&amp;A38&amp;"_"&amp;B38&amp;"_"&amp;C38&amp;CHAR(10)&amp;"Mineral Soil - July 2021"</f>
        <v>JDG_Methane_YMF
Lab_FRAM_WA9
Mineral Soil - July 2021</v>
      </c>
      <c r="M38" s="7" t="str">
        <f>"JDG_Methane_YMF"&amp;CHAR(10)&amp;A38&amp;"_"&amp;B38&amp;"_"&amp;C38&amp;CHAR(10)&amp;"Tree Core - MethaneTraits - 2021"</f>
        <v>JDG_Methane_YMF
Lab_FRAM_WA9
Tree Core - MethaneTraits - 2021</v>
      </c>
      <c r="N38" s="7" t="str">
        <f>"JDG_Methane_YMF"&amp;CHAR(10)&amp;A38&amp;"_"&amp;B38&amp;"_"&amp;C38&amp;CHAR(10)&amp;"Tree Core - Molecular - 2021"</f>
        <v>JDG_Methane_YMF
Lab_FRAM_WA9
Tree Core - Molecular - 2021</v>
      </c>
      <c r="O38" s="7" t="str">
        <f>"JDG_Methane_YMF"&amp;CHAR(10)&amp;A38&amp;"_"&amp;B38&amp;"_"&amp;C38&amp;CHAR(10)&amp;"Organic Soil - Molecular - 2021"</f>
        <v>JDG_Methane_YMF
Lab_FRAM_WA9
Organic Soil - Molecular - 2021</v>
      </c>
      <c r="P38" s="7" t="str">
        <f>"JDG_Methane_YMF"&amp;CHAR(10)&amp;A38&amp;"_"&amp;B38&amp;"_"&amp;C38&amp;CHAR(10)&amp;"Mineral Soil - Molecular - 2021"</f>
        <v>JDG_Methane_YMF
Lab_FRAM_WA9
Mineral Soil - Molecular - 2021</v>
      </c>
      <c r="Q38" t="str">
        <f t="shared" si="0"/>
        <v>JDG_Methane_YMF
Lab_FRAM_WA9
Internal Gas - #1/2 - 2021</v>
      </c>
      <c r="R38" t="str">
        <f t="shared" si="1"/>
        <v>JDG_Methane_YMF
Lab_FRAM_WA9
Internal Gas - #2/2 - 2021</v>
      </c>
    </row>
    <row r="39" spans="1:18" x14ac:dyDescent="0.2">
      <c r="A39" s="7" t="s">
        <v>62</v>
      </c>
      <c r="B39" s="7" t="s">
        <v>136</v>
      </c>
      <c r="C39" s="7" t="s">
        <v>129</v>
      </c>
      <c r="D39" s="7"/>
      <c r="E39" s="7"/>
      <c r="F39" s="7"/>
      <c r="G39" s="7">
        <v>47</v>
      </c>
      <c r="H39" s="7"/>
      <c r="I39" s="7"/>
      <c r="J39" s="7" t="str">
        <f>IF(I39="No", "Yes", "No")</f>
        <v>No</v>
      </c>
      <c r="K39" s="7" t="str">
        <f>"JDG_Methane_YMF"&amp;CHAR(10)&amp;A39&amp;"_"&amp;B39&amp;"_"&amp;C39&amp;CHAR(10)&amp;"Organic Soil - July 2021"</f>
        <v>JDG_Methane_YMF
Lab_PIST_WPX1
Organic Soil - July 2021</v>
      </c>
      <c r="L39" s="7" t="str">
        <f>"JDG_Methane_YMF"&amp;CHAR(10)&amp;A39&amp;"_"&amp;B39&amp;"_"&amp;C39&amp;CHAR(10)&amp;"Mineral Soil - July 2021"</f>
        <v>JDG_Methane_YMF
Lab_PIST_WPX1
Mineral Soil - July 2021</v>
      </c>
      <c r="M39" s="7" t="str">
        <f>"JDG_Methane_YMF"&amp;CHAR(10)&amp;A39&amp;"_"&amp;B39&amp;"_"&amp;C39&amp;CHAR(10)&amp;"Tree Core - MethaneTraits - 2021"</f>
        <v>JDG_Methane_YMF
Lab_PIST_WPX1
Tree Core - MethaneTraits - 2021</v>
      </c>
      <c r="N39" s="7" t="str">
        <f>"JDG_Methane_YMF"&amp;CHAR(10)&amp;A39&amp;"_"&amp;B39&amp;"_"&amp;C39&amp;CHAR(10)&amp;"Tree Core - Molecular - 2021"</f>
        <v>JDG_Methane_YMF
Lab_PIST_WPX1
Tree Core - Molecular - 2021</v>
      </c>
      <c r="O39" s="7" t="str">
        <f>"JDG_Methane_YMF"&amp;CHAR(10)&amp;A39&amp;"_"&amp;B39&amp;"_"&amp;C39&amp;CHAR(10)&amp;"Organic Soil - Molecular - 2021"</f>
        <v>JDG_Methane_YMF
Lab_PIST_WPX1
Organic Soil - Molecular - 2021</v>
      </c>
      <c r="P39" s="7" t="str">
        <f>"JDG_Methane_YMF"&amp;CHAR(10)&amp;A39&amp;"_"&amp;B39&amp;"_"&amp;C39&amp;CHAR(10)&amp;"Mineral Soil - Molecular - 2021"</f>
        <v>JDG_Methane_YMF
Lab_PIST_WPX1
Mineral Soil - Molecular - 2021</v>
      </c>
      <c r="Q39" t="str">
        <f t="shared" si="0"/>
        <v>JDG_Methane_YMF
Lab_PIST_WPX1
Internal Gas - #1/2 - 2021</v>
      </c>
      <c r="R39" t="str">
        <f t="shared" si="1"/>
        <v>JDG_Methane_YMF
Lab_PIST_WPX1
Internal Gas - #2/2 - 2021</v>
      </c>
    </row>
    <row r="40" spans="1:18" x14ac:dyDescent="0.2">
      <c r="A40" s="7" t="s">
        <v>62</v>
      </c>
      <c r="B40" s="7" t="s">
        <v>136</v>
      </c>
      <c r="C40" s="7" t="s">
        <v>135</v>
      </c>
      <c r="D40" s="7"/>
      <c r="E40" s="7"/>
      <c r="F40" s="7"/>
      <c r="G40" s="7">
        <v>27.5</v>
      </c>
      <c r="H40" s="7"/>
      <c r="I40" s="7"/>
      <c r="J40" s="7" t="str">
        <f>IF(I40="No", "Yes", "No")</f>
        <v>No</v>
      </c>
      <c r="K40" s="7" t="str">
        <f>"JDG_Methane_YMF"&amp;CHAR(10)&amp;A40&amp;"_"&amp;B40&amp;"_"&amp;C40&amp;CHAR(10)&amp;"Organic Soil - July 2021"</f>
        <v>JDG_Methane_YMF
Lab_PIST_WPX2
Organic Soil - July 2021</v>
      </c>
      <c r="L40" s="7" t="str">
        <f>"JDG_Methane_YMF"&amp;CHAR(10)&amp;A40&amp;"_"&amp;B40&amp;"_"&amp;C40&amp;CHAR(10)&amp;"Mineral Soil - July 2021"</f>
        <v>JDG_Methane_YMF
Lab_PIST_WPX2
Mineral Soil - July 2021</v>
      </c>
      <c r="M40" s="7" t="str">
        <f>"JDG_Methane_YMF"&amp;CHAR(10)&amp;A40&amp;"_"&amp;B40&amp;"_"&amp;C40&amp;CHAR(10)&amp;"Tree Core - MethaneTraits - 2021"</f>
        <v>JDG_Methane_YMF
Lab_PIST_WPX2
Tree Core - MethaneTraits - 2021</v>
      </c>
      <c r="N40" s="7" t="str">
        <f>"JDG_Methane_YMF"&amp;CHAR(10)&amp;A40&amp;"_"&amp;B40&amp;"_"&amp;C40&amp;CHAR(10)&amp;"Tree Core - Molecular - 2021"</f>
        <v>JDG_Methane_YMF
Lab_PIST_WPX2
Tree Core - Molecular - 2021</v>
      </c>
      <c r="O40" s="7" t="str">
        <f>"JDG_Methane_YMF"&amp;CHAR(10)&amp;A40&amp;"_"&amp;B40&amp;"_"&amp;C40&amp;CHAR(10)&amp;"Organic Soil - Molecular - 2021"</f>
        <v>JDG_Methane_YMF
Lab_PIST_WPX2
Organic Soil - Molecular - 2021</v>
      </c>
      <c r="P40" s="7" t="str">
        <f>"JDG_Methane_YMF"&amp;CHAR(10)&amp;A40&amp;"_"&amp;B40&amp;"_"&amp;C40&amp;CHAR(10)&amp;"Mineral Soil - Molecular - 2021"</f>
        <v>JDG_Methane_YMF
Lab_PIST_WPX2
Mineral Soil - Molecular - 2021</v>
      </c>
      <c r="Q40" t="str">
        <f t="shared" si="0"/>
        <v>JDG_Methane_YMF
Lab_PIST_WPX2
Internal Gas - #1/2 - 2021</v>
      </c>
      <c r="R40" t="str">
        <f t="shared" si="1"/>
        <v>JDG_Methane_YMF
Lab_PIST_WPX2
Internal Gas - #2/2 - 2021</v>
      </c>
    </row>
    <row r="41" spans="1:18" x14ac:dyDescent="0.2">
      <c r="A41" s="7" t="s">
        <v>62</v>
      </c>
      <c r="B41" s="7" t="s">
        <v>136</v>
      </c>
      <c r="C41" s="7" t="s">
        <v>130</v>
      </c>
      <c r="D41" s="7"/>
      <c r="E41" s="7"/>
      <c r="F41" s="7"/>
      <c r="G41" s="7">
        <v>38.5</v>
      </c>
      <c r="H41" s="7"/>
      <c r="I41" s="7"/>
      <c r="J41" s="7" t="str">
        <f>IF(I41="No", "Yes", "No")</f>
        <v>No</v>
      </c>
      <c r="K41" s="7" t="str">
        <f>"JDG_Methane_YMF"&amp;CHAR(10)&amp;A41&amp;"_"&amp;B41&amp;"_"&amp;C41&amp;CHAR(10)&amp;"Organic Soil - July 2021"</f>
        <v>JDG_Methane_YMF
Lab_PIST_WPX3
Organic Soil - July 2021</v>
      </c>
      <c r="L41" s="7" t="str">
        <f>"JDG_Methane_YMF"&amp;CHAR(10)&amp;A41&amp;"_"&amp;B41&amp;"_"&amp;C41&amp;CHAR(10)&amp;"Mineral Soil - July 2021"</f>
        <v>JDG_Methane_YMF
Lab_PIST_WPX3
Mineral Soil - July 2021</v>
      </c>
      <c r="M41" s="7" t="str">
        <f>"JDG_Methane_YMF"&amp;CHAR(10)&amp;A41&amp;"_"&amp;B41&amp;"_"&amp;C41&amp;CHAR(10)&amp;"Tree Core - MethaneTraits - 2021"</f>
        <v>JDG_Methane_YMF
Lab_PIST_WPX3
Tree Core - MethaneTraits - 2021</v>
      </c>
      <c r="N41" s="7" t="str">
        <f>"JDG_Methane_YMF"&amp;CHAR(10)&amp;A41&amp;"_"&amp;B41&amp;"_"&amp;C41&amp;CHAR(10)&amp;"Tree Core - Molecular - 2021"</f>
        <v>JDG_Methane_YMF
Lab_PIST_WPX3
Tree Core - Molecular - 2021</v>
      </c>
      <c r="O41" s="7" t="str">
        <f>"JDG_Methane_YMF"&amp;CHAR(10)&amp;A41&amp;"_"&amp;B41&amp;"_"&amp;C41&amp;CHAR(10)&amp;"Organic Soil - Molecular - 2021"</f>
        <v>JDG_Methane_YMF
Lab_PIST_WPX3
Organic Soil - Molecular - 2021</v>
      </c>
      <c r="P41" s="7" t="str">
        <f>"JDG_Methane_YMF"&amp;CHAR(10)&amp;A41&amp;"_"&amp;B41&amp;"_"&amp;C41&amp;CHAR(10)&amp;"Mineral Soil - Molecular - 2021"</f>
        <v>JDG_Methane_YMF
Lab_PIST_WPX3
Mineral Soil - Molecular - 2021</v>
      </c>
      <c r="Q41" t="str">
        <f t="shared" si="0"/>
        <v>JDG_Methane_YMF
Lab_PIST_WPX3
Internal Gas - #1/2 - 2021</v>
      </c>
      <c r="R41" t="str">
        <f t="shared" si="1"/>
        <v>JDG_Methane_YMF
Lab_PIST_WPX3
Internal Gas - #2/2 - 2021</v>
      </c>
    </row>
    <row r="42" spans="1:18" x14ac:dyDescent="0.2">
      <c r="A42" s="7" t="s">
        <v>62</v>
      </c>
      <c r="B42" s="7" t="s">
        <v>136</v>
      </c>
      <c r="C42" s="7" t="s">
        <v>131</v>
      </c>
      <c r="D42" s="7"/>
      <c r="E42" s="7"/>
      <c r="F42" s="7"/>
      <c r="G42" s="7">
        <v>40.5</v>
      </c>
      <c r="H42" s="7"/>
      <c r="I42" s="7"/>
      <c r="J42" s="7" t="str">
        <f>IF(I42="No", "Yes", "No")</f>
        <v>No</v>
      </c>
      <c r="K42" s="7" t="str">
        <f>"JDG_Methane_YMF"&amp;CHAR(10)&amp;A42&amp;"_"&amp;B42&amp;"_"&amp;C42&amp;CHAR(10)&amp;"Organic Soil - July 2021"</f>
        <v>JDG_Methane_YMF
Lab_PIST_WPX4
Organic Soil - July 2021</v>
      </c>
      <c r="L42" s="7" t="str">
        <f>"JDG_Methane_YMF"&amp;CHAR(10)&amp;A42&amp;"_"&amp;B42&amp;"_"&amp;C42&amp;CHAR(10)&amp;"Mineral Soil - July 2021"</f>
        <v>JDG_Methane_YMF
Lab_PIST_WPX4
Mineral Soil - July 2021</v>
      </c>
      <c r="M42" s="7" t="str">
        <f>"JDG_Methane_YMF"&amp;CHAR(10)&amp;A42&amp;"_"&amp;B42&amp;"_"&amp;C42&amp;CHAR(10)&amp;"Tree Core - MethaneTraits - 2021"</f>
        <v>JDG_Methane_YMF
Lab_PIST_WPX4
Tree Core - MethaneTraits - 2021</v>
      </c>
      <c r="N42" s="7" t="str">
        <f>"JDG_Methane_YMF"&amp;CHAR(10)&amp;A42&amp;"_"&amp;B42&amp;"_"&amp;C42&amp;CHAR(10)&amp;"Tree Core - Molecular - 2021"</f>
        <v>JDG_Methane_YMF
Lab_PIST_WPX4
Tree Core - Molecular - 2021</v>
      </c>
      <c r="O42" s="7" t="str">
        <f>"JDG_Methane_YMF"&amp;CHAR(10)&amp;A42&amp;"_"&amp;B42&amp;"_"&amp;C42&amp;CHAR(10)&amp;"Organic Soil - Molecular - 2021"</f>
        <v>JDG_Methane_YMF
Lab_PIST_WPX4
Organic Soil - Molecular - 2021</v>
      </c>
      <c r="P42" s="7" t="str">
        <f>"JDG_Methane_YMF"&amp;CHAR(10)&amp;A42&amp;"_"&amp;B42&amp;"_"&amp;C42&amp;CHAR(10)&amp;"Mineral Soil - Molecular - 2021"</f>
        <v>JDG_Methane_YMF
Lab_PIST_WPX4
Mineral Soil - Molecular - 2021</v>
      </c>
      <c r="Q42" t="str">
        <f t="shared" si="0"/>
        <v>JDG_Methane_YMF
Lab_PIST_WPX4
Internal Gas - #1/2 - 2021</v>
      </c>
      <c r="R42" t="str">
        <f t="shared" si="1"/>
        <v>JDG_Methane_YMF
Lab_PIST_WPX4
Internal Gas - #2/2 - 2021</v>
      </c>
    </row>
    <row r="43" spans="1:18" x14ac:dyDescent="0.2">
      <c r="A43" s="7" t="s">
        <v>62</v>
      </c>
      <c r="B43" s="7" t="s">
        <v>136</v>
      </c>
      <c r="C43" s="7" t="s">
        <v>132</v>
      </c>
      <c r="D43" s="7"/>
      <c r="E43" s="7"/>
      <c r="F43" s="7"/>
      <c r="G43" s="7">
        <v>66</v>
      </c>
      <c r="H43" s="7"/>
      <c r="I43" s="7"/>
      <c r="J43" s="7" t="str">
        <f>IF(I43="No", "Yes", "No")</f>
        <v>No</v>
      </c>
      <c r="K43" s="7" t="str">
        <f>"JDG_Methane_YMF"&amp;CHAR(10)&amp;A43&amp;"_"&amp;B43&amp;"_"&amp;C43&amp;CHAR(10)&amp;"Organic Soil - July 2021"</f>
        <v>JDG_Methane_YMF
Lab_PIST_WPX5
Organic Soil - July 2021</v>
      </c>
      <c r="L43" s="7" t="str">
        <f>"JDG_Methane_YMF"&amp;CHAR(10)&amp;A43&amp;"_"&amp;B43&amp;"_"&amp;C43&amp;CHAR(10)&amp;"Mineral Soil - July 2021"</f>
        <v>JDG_Methane_YMF
Lab_PIST_WPX5
Mineral Soil - July 2021</v>
      </c>
      <c r="M43" s="7" t="str">
        <f>"JDG_Methane_YMF"&amp;CHAR(10)&amp;A43&amp;"_"&amp;B43&amp;"_"&amp;C43&amp;CHAR(10)&amp;"Tree Core - MethaneTraits - 2021"</f>
        <v>JDG_Methane_YMF
Lab_PIST_WPX5
Tree Core - MethaneTraits - 2021</v>
      </c>
      <c r="N43" s="7" t="str">
        <f>"JDG_Methane_YMF"&amp;CHAR(10)&amp;A43&amp;"_"&amp;B43&amp;"_"&amp;C43&amp;CHAR(10)&amp;"Tree Core - Molecular - 2021"</f>
        <v>JDG_Methane_YMF
Lab_PIST_WPX5
Tree Core - Molecular - 2021</v>
      </c>
      <c r="O43" s="7" t="str">
        <f>"JDG_Methane_YMF"&amp;CHAR(10)&amp;A43&amp;"_"&amp;B43&amp;"_"&amp;C43&amp;CHAR(10)&amp;"Organic Soil - Molecular - 2021"</f>
        <v>JDG_Methane_YMF
Lab_PIST_WPX5
Organic Soil - Molecular - 2021</v>
      </c>
      <c r="P43" s="7" t="str">
        <f>"JDG_Methane_YMF"&amp;CHAR(10)&amp;A43&amp;"_"&amp;B43&amp;"_"&amp;C43&amp;CHAR(10)&amp;"Mineral Soil - Molecular - 2021"</f>
        <v>JDG_Methane_YMF
Lab_PIST_WPX5
Mineral Soil - Molecular - 2021</v>
      </c>
      <c r="Q43" t="str">
        <f t="shared" si="0"/>
        <v>JDG_Methane_YMF
Lab_PIST_WPX5
Internal Gas - #1/2 - 2021</v>
      </c>
      <c r="R43" t="str">
        <f t="shared" si="1"/>
        <v>JDG_Methane_YMF
Lab_PIST_WPX5
Internal Gas - #2/2 - 2021</v>
      </c>
    </row>
    <row r="44" spans="1:18" x14ac:dyDescent="0.2">
      <c r="A44" s="7" t="s">
        <v>62</v>
      </c>
      <c r="B44" s="7" t="s">
        <v>136</v>
      </c>
      <c r="C44" s="7" t="s">
        <v>133</v>
      </c>
      <c r="D44" s="7"/>
      <c r="E44" s="7"/>
      <c r="F44" s="7"/>
      <c r="G44" s="7">
        <v>96</v>
      </c>
      <c r="H44" s="7"/>
      <c r="I44" s="7"/>
      <c r="J44" s="7" t="str">
        <f>IF(I44="No", "Yes", "No")</f>
        <v>No</v>
      </c>
      <c r="K44" s="7" t="str">
        <f>"JDG_Methane_YMF"&amp;CHAR(10)&amp;A44&amp;"_"&amp;B44&amp;"_"&amp;C44&amp;CHAR(10)&amp;"Organic Soil - July 2021"</f>
        <v>JDG_Methane_YMF
Lab_PIST_WPX6
Organic Soil - July 2021</v>
      </c>
      <c r="L44" s="7" t="str">
        <f>"JDG_Methane_YMF"&amp;CHAR(10)&amp;A44&amp;"_"&amp;B44&amp;"_"&amp;C44&amp;CHAR(10)&amp;"Mineral Soil - July 2021"</f>
        <v>JDG_Methane_YMF
Lab_PIST_WPX6
Mineral Soil - July 2021</v>
      </c>
      <c r="M44" s="7" t="str">
        <f>"JDG_Methane_YMF"&amp;CHAR(10)&amp;A44&amp;"_"&amp;B44&amp;"_"&amp;C44&amp;CHAR(10)&amp;"Tree Core - MethaneTraits - 2021"</f>
        <v>JDG_Methane_YMF
Lab_PIST_WPX6
Tree Core - MethaneTraits - 2021</v>
      </c>
      <c r="N44" s="7" t="str">
        <f>"JDG_Methane_YMF"&amp;CHAR(10)&amp;A44&amp;"_"&amp;B44&amp;"_"&amp;C44&amp;CHAR(10)&amp;"Tree Core - Molecular - 2021"</f>
        <v>JDG_Methane_YMF
Lab_PIST_WPX6
Tree Core - Molecular - 2021</v>
      </c>
      <c r="O44" s="7" t="str">
        <f>"JDG_Methane_YMF"&amp;CHAR(10)&amp;A44&amp;"_"&amp;B44&amp;"_"&amp;C44&amp;CHAR(10)&amp;"Organic Soil - Molecular - 2021"</f>
        <v>JDG_Methane_YMF
Lab_PIST_WPX6
Organic Soil - Molecular - 2021</v>
      </c>
      <c r="P44" s="7" t="str">
        <f>"JDG_Methane_YMF"&amp;CHAR(10)&amp;A44&amp;"_"&amp;B44&amp;"_"&amp;C44&amp;CHAR(10)&amp;"Mineral Soil - Molecular - 2021"</f>
        <v>JDG_Methane_YMF
Lab_PIST_WPX6
Mineral Soil - Molecular - 2021</v>
      </c>
      <c r="Q44" t="str">
        <f t="shared" si="0"/>
        <v>JDG_Methane_YMF
Lab_PIST_WPX6
Internal Gas - #1/2 - 2021</v>
      </c>
      <c r="R44" t="str">
        <f t="shared" si="1"/>
        <v>JDG_Methane_YMF
Lab_PIST_WPX6
Internal Gas - #2/2 - 2021</v>
      </c>
    </row>
    <row r="45" spans="1:18" x14ac:dyDescent="0.2">
      <c r="A45" s="7" t="s">
        <v>62</v>
      </c>
      <c r="B45" s="7" t="s">
        <v>151</v>
      </c>
      <c r="C45" s="7" t="s">
        <v>152</v>
      </c>
      <c r="D45" s="7"/>
      <c r="E45" s="7"/>
      <c r="F45" s="7"/>
      <c r="G45" s="7">
        <v>33</v>
      </c>
      <c r="H45" s="7"/>
      <c r="I45" s="7"/>
      <c r="J45" s="7" t="str">
        <f>IF(I45="No", "Yes", "No")</f>
        <v>No</v>
      </c>
      <c r="K45" s="7" t="str">
        <f>"JDG_Methane_YMF"&amp;CHAR(10)&amp;A45&amp;"_"&amp;B45&amp;"_"&amp;C45&amp;CHAR(10)&amp;"Organic Soil - July 2021"</f>
        <v>JDG_Methane_YMF
Lab_TSCA_HX1
Organic Soil - July 2021</v>
      </c>
      <c r="L45" s="7" t="str">
        <f>"JDG_Methane_YMF"&amp;CHAR(10)&amp;A45&amp;"_"&amp;B45&amp;"_"&amp;C45&amp;CHAR(10)&amp;"Mineral Soil - July 2021"</f>
        <v>JDG_Methane_YMF
Lab_TSCA_HX1
Mineral Soil - July 2021</v>
      </c>
      <c r="M45" s="7" t="str">
        <f>"JDG_Methane_YMF"&amp;CHAR(10)&amp;A45&amp;"_"&amp;B45&amp;"_"&amp;C45&amp;CHAR(10)&amp;"Tree Core - MethaneTraits - 2021"</f>
        <v>JDG_Methane_YMF
Lab_TSCA_HX1
Tree Core - MethaneTraits - 2021</v>
      </c>
      <c r="N45" s="7" t="str">
        <f>"JDG_Methane_YMF"&amp;CHAR(10)&amp;A45&amp;"_"&amp;B45&amp;"_"&amp;C45&amp;CHAR(10)&amp;"Tree Core - Molecular - 2021"</f>
        <v>JDG_Methane_YMF
Lab_TSCA_HX1
Tree Core - Molecular - 2021</v>
      </c>
      <c r="O45" s="7" t="str">
        <f>"JDG_Methane_YMF"&amp;CHAR(10)&amp;A45&amp;"_"&amp;B45&amp;"_"&amp;C45&amp;CHAR(10)&amp;"Organic Soil - Molecular - 2021"</f>
        <v>JDG_Methane_YMF
Lab_TSCA_HX1
Organic Soil - Molecular - 2021</v>
      </c>
      <c r="P45" s="7" t="str">
        <f>"JDG_Methane_YMF"&amp;CHAR(10)&amp;A45&amp;"_"&amp;B45&amp;"_"&amp;C45&amp;CHAR(10)&amp;"Mineral Soil - Molecular - 2021"</f>
        <v>JDG_Methane_YMF
Lab_TSCA_HX1
Mineral Soil - Molecular - 2021</v>
      </c>
      <c r="Q45" t="str">
        <f t="shared" si="0"/>
        <v>JDG_Methane_YMF
Lab_TSCA_HX1
Internal Gas - #1/2 - 2021</v>
      </c>
      <c r="R45" t="str">
        <f t="shared" si="1"/>
        <v>JDG_Methane_YMF
Lab_TSCA_HX1
Internal Gas - #2/2 - 2021</v>
      </c>
    </row>
    <row r="46" spans="1:18" x14ac:dyDescent="0.2">
      <c r="A46" s="7" t="s">
        <v>62</v>
      </c>
      <c r="B46" s="7" t="s">
        <v>151</v>
      </c>
      <c r="C46" s="7" t="s">
        <v>153</v>
      </c>
      <c r="D46" s="7"/>
      <c r="E46" s="7"/>
      <c r="F46" s="7"/>
      <c r="G46" s="7">
        <v>47.5</v>
      </c>
      <c r="H46" s="7"/>
      <c r="I46" s="7"/>
      <c r="J46" s="7" t="str">
        <f>IF(I46="No", "Yes", "No")</f>
        <v>No</v>
      </c>
      <c r="K46" s="7" t="str">
        <f>"JDG_Methane_YMF"&amp;CHAR(10)&amp;A46&amp;"_"&amp;B46&amp;"_"&amp;C46&amp;CHAR(10)&amp;"Organic Soil - July 2021"</f>
        <v>JDG_Methane_YMF
Lab_TSCA_HX2
Organic Soil - July 2021</v>
      </c>
      <c r="L46" s="7" t="str">
        <f>"JDG_Methane_YMF"&amp;CHAR(10)&amp;A46&amp;"_"&amp;B46&amp;"_"&amp;C46&amp;CHAR(10)&amp;"Mineral Soil - July 2021"</f>
        <v>JDG_Methane_YMF
Lab_TSCA_HX2
Mineral Soil - July 2021</v>
      </c>
      <c r="M46" s="7" t="str">
        <f>"JDG_Methane_YMF"&amp;CHAR(10)&amp;A46&amp;"_"&amp;B46&amp;"_"&amp;C46&amp;CHAR(10)&amp;"Tree Core - MethaneTraits - 2021"</f>
        <v>JDG_Methane_YMF
Lab_TSCA_HX2
Tree Core - MethaneTraits - 2021</v>
      </c>
      <c r="N46" s="7" t="str">
        <f>"JDG_Methane_YMF"&amp;CHAR(10)&amp;A46&amp;"_"&amp;B46&amp;"_"&amp;C46&amp;CHAR(10)&amp;"Tree Core - Molecular - 2021"</f>
        <v>JDG_Methane_YMF
Lab_TSCA_HX2
Tree Core - Molecular - 2021</v>
      </c>
      <c r="O46" s="7" t="str">
        <f>"JDG_Methane_YMF"&amp;CHAR(10)&amp;A46&amp;"_"&amp;B46&amp;"_"&amp;C46&amp;CHAR(10)&amp;"Organic Soil - Molecular - 2021"</f>
        <v>JDG_Methane_YMF
Lab_TSCA_HX2
Organic Soil - Molecular - 2021</v>
      </c>
      <c r="P46" s="7" t="str">
        <f>"JDG_Methane_YMF"&amp;CHAR(10)&amp;A46&amp;"_"&amp;B46&amp;"_"&amp;C46&amp;CHAR(10)&amp;"Mineral Soil - Molecular - 2021"</f>
        <v>JDG_Methane_YMF
Lab_TSCA_HX2
Mineral Soil - Molecular - 2021</v>
      </c>
      <c r="Q46" t="str">
        <f t="shared" si="0"/>
        <v>JDG_Methane_YMF
Lab_TSCA_HX2
Internal Gas - #1/2 - 2021</v>
      </c>
      <c r="R46" t="str">
        <f t="shared" si="1"/>
        <v>JDG_Methane_YMF
Lab_TSCA_HX2
Internal Gas - #2/2 - 2021</v>
      </c>
    </row>
    <row r="47" spans="1:18" x14ac:dyDescent="0.2">
      <c r="A47" s="7" t="s">
        <v>62</v>
      </c>
      <c r="B47" s="7" t="s">
        <v>151</v>
      </c>
      <c r="C47" s="7" t="s">
        <v>154</v>
      </c>
      <c r="D47" s="7"/>
      <c r="E47" s="7"/>
      <c r="F47" s="7"/>
      <c r="G47" s="7">
        <v>40.5</v>
      </c>
      <c r="H47" s="7"/>
      <c r="I47" s="7"/>
      <c r="J47" s="7" t="str">
        <f>IF(I47="No", "Yes", "No")</f>
        <v>No</v>
      </c>
      <c r="K47" s="7" t="str">
        <f>"JDG_Methane_YMF"&amp;CHAR(10)&amp;A47&amp;"_"&amp;B47&amp;"_"&amp;C47&amp;CHAR(10)&amp;"Organic Soil - July 2021"</f>
        <v>JDG_Methane_YMF
Lab_TSCA_HX3
Organic Soil - July 2021</v>
      </c>
      <c r="L47" s="7" t="str">
        <f>"JDG_Methane_YMF"&amp;CHAR(10)&amp;A47&amp;"_"&amp;B47&amp;"_"&amp;C47&amp;CHAR(10)&amp;"Mineral Soil - July 2021"</f>
        <v>JDG_Methane_YMF
Lab_TSCA_HX3
Mineral Soil - July 2021</v>
      </c>
      <c r="M47" s="7" t="str">
        <f>"JDG_Methane_YMF"&amp;CHAR(10)&amp;A47&amp;"_"&amp;B47&amp;"_"&amp;C47&amp;CHAR(10)&amp;"Tree Core - MethaneTraits - 2021"</f>
        <v>JDG_Methane_YMF
Lab_TSCA_HX3
Tree Core - MethaneTraits - 2021</v>
      </c>
      <c r="N47" s="7" t="str">
        <f>"JDG_Methane_YMF"&amp;CHAR(10)&amp;A47&amp;"_"&amp;B47&amp;"_"&amp;C47&amp;CHAR(10)&amp;"Tree Core - Molecular - 2021"</f>
        <v>JDG_Methane_YMF
Lab_TSCA_HX3
Tree Core - Molecular - 2021</v>
      </c>
      <c r="O47" s="7" t="str">
        <f>"JDG_Methane_YMF"&amp;CHAR(10)&amp;A47&amp;"_"&amp;B47&amp;"_"&amp;C47&amp;CHAR(10)&amp;"Organic Soil - Molecular - 2021"</f>
        <v>JDG_Methane_YMF
Lab_TSCA_HX3
Organic Soil - Molecular - 2021</v>
      </c>
      <c r="P47" s="7" t="str">
        <f>"JDG_Methane_YMF"&amp;CHAR(10)&amp;A47&amp;"_"&amp;B47&amp;"_"&amp;C47&amp;CHAR(10)&amp;"Mineral Soil - Molecular - 2021"</f>
        <v>JDG_Methane_YMF
Lab_TSCA_HX3
Mineral Soil - Molecular - 2021</v>
      </c>
      <c r="Q47" t="str">
        <f t="shared" si="0"/>
        <v>JDG_Methane_YMF
Lab_TSCA_HX3
Internal Gas - #1/2 - 2021</v>
      </c>
      <c r="R47" t="str">
        <f t="shared" si="1"/>
        <v>JDG_Methane_YMF
Lab_TSCA_HX3
Internal Gas - #2/2 - 2021</v>
      </c>
    </row>
    <row r="48" spans="1:18" x14ac:dyDescent="0.2">
      <c r="A48" s="7" t="s">
        <v>62</v>
      </c>
      <c r="B48" s="7" t="s">
        <v>151</v>
      </c>
      <c r="C48" s="7" t="s">
        <v>155</v>
      </c>
      <c r="D48" s="7"/>
      <c r="E48" s="7"/>
      <c r="F48" s="7"/>
      <c r="G48" s="7">
        <v>23</v>
      </c>
      <c r="H48" s="7"/>
      <c r="I48" s="7"/>
      <c r="J48" s="7" t="str">
        <f>IF(I48="No", "Yes", "No")</f>
        <v>No</v>
      </c>
      <c r="K48" s="7" t="str">
        <f>"JDG_Methane_YMF"&amp;CHAR(10)&amp;A48&amp;"_"&amp;B48&amp;"_"&amp;C48&amp;CHAR(10)&amp;"Organic Soil - July 2021"</f>
        <v>JDG_Methane_YMF
Lab_TSCA_HX4
Organic Soil - July 2021</v>
      </c>
      <c r="L48" s="7" t="str">
        <f>"JDG_Methane_YMF"&amp;CHAR(10)&amp;A48&amp;"_"&amp;B48&amp;"_"&amp;C48&amp;CHAR(10)&amp;"Mineral Soil - July 2021"</f>
        <v>JDG_Methane_YMF
Lab_TSCA_HX4
Mineral Soil - July 2021</v>
      </c>
      <c r="M48" s="7" t="str">
        <f>"JDG_Methane_YMF"&amp;CHAR(10)&amp;A48&amp;"_"&amp;B48&amp;"_"&amp;C48&amp;CHAR(10)&amp;"Tree Core - MethaneTraits - 2021"</f>
        <v>JDG_Methane_YMF
Lab_TSCA_HX4
Tree Core - MethaneTraits - 2021</v>
      </c>
      <c r="N48" s="7" t="str">
        <f>"JDG_Methane_YMF"&amp;CHAR(10)&amp;A48&amp;"_"&amp;B48&amp;"_"&amp;C48&amp;CHAR(10)&amp;"Tree Core - Molecular - 2021"</f>
        <v>JDG_Methane_YMF
Lab_TSCA_HX4
Tree Core - Molecular - 2021</v>
      </c>
      <c r="O48" s="7" t="str">
        <f>"JDG_Methane_YMF"&amp;CHAR(10)&amp;A48&amp;"_"&amp;B48&amp;"_"&amp;C48&amp;CHAR(10)&amp;"Organic Soil - Molecular - 2021"</f>
        <v>JDG_Methane_YMF
Lab_TSCA_HX4
Organic Soil - Molecular - 2021</v>
      </c>
      <c r="P48" s="7" t="str">
        <f>"JDG_Methane_YMF"&amp;CHAR(10)&amp;A48&amp;"_"&amp;B48&amp;"_"&amp;C48&amp;CHAR(10)&amp;"Mineral Soil - Molecular - 2021"</f>
        <v>JDG_Methane_YMF
Lab_TSCA_HX4
Mineral Soil - Molecular - 2021</v>
      </c>
      <c r="Q48" t="str">
        <f t="shared" si="0"/>
        <v>JDG_Methane_YMF
Lab_TSCA_HX4
Internal Gas - #1/2 - 2021</v>
      </c>
      <c r="R48" t="str">
        <f t="shared" si="1"/>
        <v>JDG_Methane_YMF
Lab_TSCA_HX4
Internal Gas - #2/2 - 2021</v>
      </c>
    </row>
    <row r="49" spans="1:18" x14ac:dyDescent="0.2">
      <c r="A49" s="7" t="s">
        <v>62</v>
      </c>
      <c r="B49" s="7" t="s">
        <v>151</v>
      </c>
      <c r="C49" s="7" t="s">
        <v>156</v>
      </c>
      <c r="D49" s="7"/>
      <c r="E49" s="7"/>
      <c r="F49" s="7"/>
      <c r="G49" s="7">
        <v>34.5</v>
      </c>
      <c r="H49" s="7"/>
      <c r="I49" s="7"/>
      <c r="J49" s="7" t="str">
        <f>IF(I49="No", "Yes", "No")</f>
        <v>No</v>
      </c>
      <c r="K49" s="7" t="str">
        <f>"JDG_Methane_YMF"&amp;CHAR(10)&amp;A49&amp;"_"&amp;B49&amp;"_"&amp;C49&amp;CHAR(10)&amp;"Organic Soil - July 2021"</f>
        <v>JDG_Methane_YMF
Lab_TSCA_HX5
Organic Soil - July 2021</v>
      </c>
      <c r="L49" s="7" t="str">
        <f>"JDG_Methane_YMF"&amp;CHAR(10)&amp;A49&amp;"_"&amp;B49&amp;"_"&amp;C49&amp;CHAR(10)&amp;"Mineral Soil - July 2021"</f>
        <v>JDG_Methane_YMF
Lab_TSCA_HX5
Mineral Soil - July 2021</v>
      </c>
      <c r="M49" s="7" t="str">
        <f>"JDG_Methane_YMF"&amp;CHAR(10)&amp;A49&amp;"_"&amp;B49&amp;"_"&amp;C49&amp;CHAR(10)&amp;"Tree Core - MethaneTraits - 2021"</f>
        <v>JDG_Methane_YMF
Lab_TSCA_HX5
Tree Core - MethaneTraits - 2021</v>
      </c>
      <c r="N49" s="7" t="str">
        <f>"JDG_Methane_YMF"&amp;CHAR(10)&amp;A49&amp;"_"&amp;B49&amp;"_"&amp;C49&amp;CHAR(10)&amp;"Tree Core - Molecular - 2021"</f>
        <v>JDG_Methane_YMF
Lab_TSCA_HX5
Tree Core - Molecular - 2021</v>
      </c>
      <c r="O49" s="7" t="str">
        <f>"JDG_Methane_YMF"&amp;CHAR(10)&amp;A49&amp;"_"&amp;B49&amp;"_"&amp;C49&amp;CHAR(10)&amp;"Organic Soil - Molecular - 2021"</f>
        <v>JDG_Methane_YMF
Lab_TSCA_HX5
Organic Soil - Molecular - 2021</v>
      </c>
      <c r="P49" s="7" t="str">
        <f>"JDG_Methane_YMF"&amp;CHAR(10)&amp;A49&amp;"_"&amp;B49&amp;"_"&amp;C49&amp;CHAR(10)&amp;"Mineral Soil - Molecular - 2021"</f>
        <v>JDG_Methane_YMF
Lab_TSCA_HX5
Mineral Soil - Molecular - 2021</v>
      </c>
      <c r="Q49" t="str">
        <f t="shared" si="0"/>
        <v>JDG_Methane_YMF
Lab_TSCA_HX5
Internal Gas - #1/2 - 2021</v>
      </c>
      <c r="R49" t="str">
        <f t="shared" si="1"/>
        <v>JDG_Methane_YMF
Lab_TSCA_HX5
Internal Gas - #2/2 - 2021</v>
      </c>
    </row>
    <row r="50" spans="1:18" x14ac:dyDescent="0.2">
      <c r="A50" s="7" t="s">
        <v>62</v>
      </c>
      <c r="B50" s="7" t="s">
        <v>151</v>
      </c>
      <c r="C50" s="7" t="s">
        <v>157</v>
      </c>
      <c r="D50" s="7"/>
      <c r="E50" s="7"/>
      <c r="F50" s="7"/>
      <c r="G50" s="7">
        <v>43</v>
      </c>
      <c r="H50" s="7"/>
      <c r="I50" s="7"/>
      <c r="J50" s="7" t="str">
        <f>IF(I50="No", "Yes", "No")</f>
        <v>No</v>
      </c>
      <c r="K50" s="7" t="str">
        <f>"JDG_Methane_YMF"&amp;CHAR(10)&amp;A50&amp;"_"&amp;B50&amp;"_"&amp;C50&amp;CHAR(10)&amp;"Organic Soil - July 2021"</f>
        <v>JDG_Methane_YMF
Lab_TSCA_HX6
Organic Soil - July 2021</v>
      </c>
      <c r="L50" s="7" t="str">
        <f>"JDG_Methane_YMF"&amp;CHAR(10)&amp;A50&amp;"_"&amp;B50&amp;"_"&amp;C50&amp;CHAR(10)&amp;"Mineral Soil - July 2021"</f>
        <v>JDG_Methane_YMF
Lab_TSCA_HX6
Mineral Soil - July 2021</v>
      </c>
      <c r="M50" s="7" t="str">
        <f>"JDG_Methane_YMF"&amp;CHAR(10)&amp;A50&amp;"_"&amp;B50&amp;"_"&amp;C50&amp;CHAR(10)&amp;"Tree Core - MethaneTraits - 2021"</f>
        <v>JDG_Methane_YMF
Lab_TSCA_HX6
Tree Core - MethaneTraits - 2021</v>
      </c>
      <c r="N50" s="7" t="str">
        <f>"JDG_Methane_YMF"&amp;CHAR(10)&amp;A50&amp;"_"&amp;B50&amp;"_"&amp;C50&amp;CHAR(10)&amp;"Tree Core - Molecular - 2021"</f>
        <v>JDG_Methane_YMF
Lab_TSCA_HX6
Tree Core - Molecular - 2021</v>
      </c>
      <c r="O50" s="7" t="str">
        <f>"JDG_Methane_YMF"&amp;CHAR(10)&amp;A50&amp;"_"&amp;B50&amp;"_"&amp;C50&amp;CHAR(10)&amp;"Organic Soil - Molecular - 2021"</f>
        <v>JDG_Methane_YMF
Lab_TSCA_HX6
Organic Soil - Molecular - 2021</v>
      </c>
      <c r="P50" s="7" t="str">
        <f>"JDG_Methane_YMF"&amp;CHAR(10)&amp;A50&amp;"_"&amp;B50&amp;"_"&amp;C50&amp;CHAR(10)&amp;"Mineral Soil - Molecular - 2021"</f>
        <v>JDG_Methane_YMF
Lab_TSCA_HX6
Mineral Soil - Molecular - 2021</v>
      </c>
      <c r="Q50" t="str">
        <f t="shared" si="0"/>
        <v>JDG_Methane_YMF
Lab_TSCA_HX6
Internal Gas - #1/2 - 2021</v>
      </c>
      <c r="R50" t="str">
        <f t="shared" si="1"/>
        <v>JDG_Methane_YMF
Lab_TSCA_HX6
Internal Gas - #2/2 - 2021</v>
      </c>
    </row>
    <row r="51" spans="1:18" x14ac:dyDescent="0.2">
      <c r="A51" s="7" t="s">
        <v>59</v>
      </c>
      <c r="B51" s="7" t="s">
        <v>5</v>
      </c>
      <c r="C51" s="7" t="s">
        <v>6</v>
      </c>
      <c r="D51" s="7"/>
      <c r="E51" s="7"/>
      <c r="F51" s="7"/>
      <c r="G51" s="7">
        <v>38</v>
      </c>
      <c r="H51" s="7"/>
      <c r="I51" s="7" t="s">
        <v>225</v>
      </c>
      <c r="J51" s="7" t="str">
        <f>IF(I51="No", "Yes", "No")</f>
        <v>Yes</v>
      </c>
      <c r="K51" s="7" t="str">
        <f>"JDG_Methane_YMF"&amp;CHAR(10)&amp;A51&amp;"_"&amp;B51&amp;"_"&amp;C51&amp;CHAR(10)&amp;"Organic Soil - July 2021"</f>
        <v>JDG_Methane_YMF
Lowland_ACRU_RM1
Organic Soil - July 2021</v>
      </c>
      <c r="L51" s="7" t="str">
        <f>"JDG_Methane_YMF"&amp;CHAR(10)&amp;A51&amp;"_"&amp;B51&amp;"_"&amp;C51&amp;CHAR(10)&amp;"Mineral Soil - July 2021"</f>
        <v>JDG_Methane_YMF
Lowland_ACRU_RM1
Mineral Soil - July 2021</v>
      </c>
      <c r="M51" s="7" t="str">
        <f>"JDG_Methane_YMF"&amp;CHAR(10)&amp;A51&amp;"_"&amp;B51&amp;"_"&amp;C51&amp;CHAR(10)&amp;"Tree Core - MethaneTraits - 2021"</f>
        <v>JDG_Methane_YMF
Lowland_ACRU_RM1
Tree Core - MethaneTraits - 2021</v>
      </c>
      <c r="N51" s="7" t="str">
        <f>"JDG_Methane_YMF"&amp;CHAR(10)&amp;A51&amp;"_"&amp;B51&amp;"_"&amp;C51&amp;CHAR(10)&amp;"Tree Core - Molecular - 2021"</f>
        <v>JDG_Methane_YMF
Lowland_ACRU_RM1
Tree Core - Molecular - 2021</v>
      </c>
      <c r="O51" s="7" t="str">
        <f>"JDG_Methane_YMF"&amp;CHAR(10)&amp;A51&amp;"_"&amp;B51&amp;"_"&amp;C51&amp;CHAR(10)&amp;"Organic Soil - Molecular - 2021"</f>
        <v>JDG_Methane_YMF
Lowland_ACRU_RM1
Organic Soil - Molecular - 2021</v>
      </c>
      <c r="P51" s="7" t="str">
        <f>"JDG_Methane_YMF"&amp;CHAR(10)&amp;A51&amp;"_"&amp;B51&amp;"_"&amp;C51&amp;CHAR(10)&amp;"Mineral Soil - Molecular - 2021"</f>
        <v>JDG_Methane_YMF
Lowland_ACRU_RM1
Mineral Soil - Molecular - 2021</v>
      </c>
      <c r="Q51" t="str">
        <f t="shared" si="0"/>
        <v>JDG_Methane_YMF
Lowland_ACRU_RM1
Internal Gas - #1/2 - 2021</v>
      </c>
      <c r="R51" t="str">
        <f t="shared" si="1"/>
        <v>JDG_Methane_YMF
Lowland_ACRU_RM1
Internal Gas - #2/2 - 2021</v>
      </c>
    </row>
    <row r="52" spans="1:18" x14ac:dyDescent="0.2">
      <c r="A52" s="7" t="s">
        <v>59</v>
      </c>
      <c r="B52" s="7" t="s">
        <v>5</v>
      </c>
      <c r="C52" s="7" t="s">
        <v>15</v>
      </c>
      <c r="D52" s="7"/>
      <c r="E52" s="7"/>
      <c r="F52" s="7"/>
      <c r="G52" s="7">
        <v>29.5</v>
      </c>
      <c r="H52" s="7"/>
      <c r="I52" s="7" t="s">
        <v>225</v>
      </c>
      <c r="J52" s="7" t="str">
        <f>IF(I52="No", "Yes", "No")</f>
        <v>Yes</v>
      </c>
      <c r="K52" s="7" t="str">
        <f>"JDG_Methane_YMF"&amp;CHAR(10)&amp;A52&amp;"_"&amp;B52&amp;"_"&amp;C52&amp;CHAR(10)&amp;"Organic Soil - July 2021"</f>
        <v>JDG_Methane_YMF
Lowland_ACRU_RM10
Organic Soil - July 2021</v>
      </c>
      <c r="L52" s="7" t="str">
        <f>"JDG_Methane_YMF"&amp;CHAR(10)&amp;A52&amp;"_"&amp;B52&amp;"_"&amp;C52&amp;CHAR(10)&amp;"Mineral Soil - July 2021"</f>
        <v>JDG_Methane_YMF
Lowland_ACRU_RM10
Mineral Soil - July 2021</v>
      </c>
      <c r="M52" s="7" t="str">
        <f>"JDG_Methane_YMF"&amp;CHAR(10)&amp;A52&amp;"_"&amp;B52&amp;"_"&amp;C52&amp;CHAR(10)&amp;"Tree Core - MethaneTraits - 2021"</f>
        <v>JDG_Methane_YMF
Lowland_ACRU_RM10
Tree Core - MethaneTraits - 2021</v>
      </c>
      <c r="N52" s="7" t="str">
        <f>"JDG_Methane_YMF"&amp;CHAR(10)&amp;A52&amp;"_"&amp;B52&amp;"_"&amp;C52&amp;CHAR(10)&amp;"Tree Core - Molecular - 2021"</f>
        <v>JDG_Methane_YMF
Lowland_ACRU_RM10
Tree Core - Molecular - 2021</v>
      </c>
      <c r="O52" s="7" t="str">
        <f>"JDG_Methane_YMF"&amp;CHAR(10)&amp;A52&amp;"_"&amp;B52&amp;"_"&amp;C52&amp;CHAR(10)&amp;"Organic Soil - Molecular - 2021"</f>
        <v>JDG_Methane_YMF
Lowland_ACRU_RM10
Organic Soil - Molecular - 2021</v>
      </c>
      <c r="P52" s="7" t="str">
        <f>"JDG_Methane_YMF"&amp;CHAR(10)&amp;A52&amp;"_"&amp;B52&amp;"_"&amp;C52&amp;CHAR(10)&amp;"Mineral Soil - Molecular - 2021"</f>
        <v>JDG_Methane_YMF
Lowland_ACRU_RM10
Mineral Soil - Molecular - 2021</v>
      </c>
      <c r="Q52" t="str">
        <f t="shared" si="0"/>
        <v>JDG_Methane_YMF
Lowland_ACRU_RM10
Internal Gas - #1/2 - 2021</v>
      </c>
      <c r="R52" t="str">
        <f t="shared" si="1"/>
        <v>JDG_Methane_YMF
Lowland_ACRU_RM10
Internal Gas - #2/2 - 2021</v>
      </c>
    </row>
    <row r="53" spans="1:18" x14ac:dyDescent="0.2">
      <c r="A53" s="7" t="s">
        <v>59</v>
      </c>
      <c r="B53" s="7" t="s">
        <v>5</v>
      </c>
      <c r="C53" s="7" t="s">
        <v>16</v>
      </c>
      <c r="D53" s="7"/>
      <c r="E53" s="7"/>
      <c r="F53" s="7"/>
      <c r="G53" s="7">
        <v>40.5</v>
      </c>
      <c r="H53" s="7"/>
      <c r="I53" s="7" t="s">
        <v>224</v>
      </c>
      <c r="J53" s="7" t="str">
        <f>IF(I53="No", "Yes", "No")</f>
        <v>No</v>
      </c>
      <c r="K53" s="7" t="str">
        <f>"JDG_Methane_YMF"&amp;CHAR(10)&amp;A53&amp;"_"&amp;B53&amp;"_"&amp;C53&amp;CHAR(10)&amp;"Organic Soil - July 2021"</f>
        <v>JDG_Methane_YMF
Lowland_ACRU_RM11
Organic Soil - July 2021</v>
      </c>
      <c r="L53" s="7" t="str">
        <f>"JDG_Methane_YMF"&amp;CHAR(10)&amp;A53&amp;"_"&amp;B53&amp;"_"&amp;C53&amp;CHAR(10)&amp;"Mineral Soil - July 2021"</f>
        <v>JDG_Methane_YMF
Lowland_ACRU_RM11
Mineral Soil - July 2021</v>
      </c>
      <c r="M53" s="7" t="str">
        <f>"JDG_Methane_YMF"&amp;CHAR(10)&amp;A53&amp;"_"&amp;B53&amp;"_"&amp;C53&amp;CHAR(10)&amp;"Tree Core - MethaneTraits - 2021"</f>
        <v>JDG_Methane_YMF
Lowland_ACRU_RM11
Tree Core - MethaneTraits - 2021</v>
      </c>
      <c r="N53" s="7" t="str">
        <f>"JDG_Methane_YMF"&amp;CHAR(10)&amp;A53&amp;"_"&amp;B53&amp;"_"&amp;C53&amp;CHAR(10)&amp;"Tree Core - Molecular - 2021"</f>
        <v>JDG_Methane_YMF
Lowland_ACRU_RM11
Tree Core - Molecular - 2021</v>
      </c>
      <c r="O53" s="7" t="str">
        <f>"JDG_Methane_YMF"&amp;CHAR(10)&amp;A53&amp;"_"&amp;B53&amp;"_"&amp;C53&amp;CHAR(10)&amp;"Organic Soil - Molecular - 2021"</f>
        <v>JDG_Methane_YMF
Lowland_ACRU_RM11
Organic Soil - Molecular - 2021</v>
      </c>
      <c r="P53" s="7" t="str">
        <f>"JDG_Methane_YMF"&amp;CHAR(10)&amp;A53&amp;"_"&amp;B53&amp;"_"&amp;C53&amp;CHAR(10)&amp;"Mineral Soil - Molecular - 2021"</f>
        <v>JDG_Methane_YMF
Lowland_ACRU_RM11
Mineral Soil - Molecular - 2021</v>
      </c>
      <c r="Q53" t="str">
        <f t="shared" si="0"/>
        <v>JDG_Methane_YMF
Lowland_ACRU_RM11
Internal Gas - #1/2 - 2021</v>
      </c>
      <c r="R53" t="str">
        <f t="shared" si="1"/>
        <v>JDG_Methane_YMF
Lowland_ACRU_RM11
Internal Gas - #2/2 - 2021</v>
      </c>
    </row>
    <row r="54" spans="1:18" x14ac:dyDescent="0.2">
      <c r="A54" s="7" t="s">
        <v>59</v>
      </c>
      <c r="B54" s="7" t="s">
        <v>5</v>
      </c>
      <c r="C54" s="7" t="s">
        <v>17</v>
      </c>
      <c r="D54" s="7"/>
      <c r="E54" s="7"/>
      <c r="F54" s="7"/>
      <c r="G54" s="7">
        <v>27</v>
      </c>
      <c r="H54" s="7"/>
      <c r="I54" s="7" t="s">
        <v>225</v>
      </c>
      <c r="J54" s="7" t="str">
        <f>IF(I54="No", "Yes", "No")</f>
        <v>Yes</v>
      </c>
      <c r="K54" s="7" t="str">
        <f>"JDG_Methane_YMF"&amp;CHAR(10)&amp;A54&amp;"_"&amp;B54&amp;"_"&amp;C54&amp;CHAR(10)&amp;"Organic Soil - July 2021"</f>
        <v>JDG_Methane_YMF
Lowland_ACRU_RM12
Organic Soil - July 2021</v>
      </c>
      <c r="L54" s="7" t="str">
        <f>"JDG_Methane_YMF"&amp;CHAR(10)&amp;A54&amp;"_"&amp;B54&amp;"_"&amp;C54&amp;CHAR(10)&amp;"Mineral Soil - July 2021"</f>
        <v>JDG_Methane_YMF
Lowland_ACRU_RM12
Mineral Soil - July 2021</v>
      </c>
      <c r="M54" s="7" t="str">
        <f>"JDG_Methane_YMF"&amp;CHAR(10)&amp;A54&amp;"_"&amp;B54&amp;"_"&amp;C54&amp;CHAR(10)&amp;"Tree Core - MethaneTraits - 2021"</f>
        <v>JDG_Methane_YMF
Lowland_ACRU_RM12
Tree Core - MethaneTraits - 2021</v>
      </c>
      <c r="N54" s="7" t="str">
        <f>"JDG_Methane_YMF"&amp;CHAR(10)&amp;A54&amp;"_"&amp;B54&amp;"_"&amp;C54&amp;CHAR(10)&amp;"Tree Core - Molecular - 2021"</f>
        <v>JDG_Methane_YMF
Lowland_ACRU_RM12
Tree Core - Molecular - 2021</v>
      </c>
      <c r="O54" s="7" t="str">
        <f>"JDG_Methane_YMF"&amp;CHAR(10)&amp;A54&amp;"_"&amp;B54&amp;"_"&amp;C54&amp;CHAR(10)&amp;"Organic Soil - Molecular - 2021"</f>
        <v>JDG_Methane_YMF
Lowland_ACRU_RM12
Organic Soil - Molecular - 2021</v>
      </c>
      <c r="P54" s="7" t="str">
        <f>"JDG_Methane_YMF"&amp;CHAR(10)&amp;A54&amp;"_"&amp;B54&amp;"_"&amp;C54&amp;CHAR(10)&amp;"Mineral Soil - Molecular - 2021"</f>
        <v>JDG_Methane_YMF
Lowland_ACRU_RM12
Mineral Soil - Molecular - 2021</v>
      </c>
      <c r="Q54" t="str">
        <f t="shared" si="0"/>
        <v>JDG_Methane_YMF
Lowland_ACRU_RM12
Internal Gas - #1/2 - 2021</v>
      </c>
      <c r="R54" t="str">
        <f t="shared" si="1"/>
        <v>JDG_Methane_YMF
Lowland_ACRU_RM12
Internal Gas - #2/2 - 2021</v>
      </c>
    </row>
    <row r="55" spans="1:18" x14ac:dyDescent="0.2">
      <c r="A55" s="7" t="s">
        <v>59</v>
      </c>
      <c r="B55" s="7" t="s">
        <v>5</v>
      </c>
      <c r="C55" s="7" t="s">
        <v>18</v>
      </c>
      <c r="D55" s="7"/>
      <c r="E55" s="7"/>
      <c r="F55" s="7"/>
      <c r="G55" s="7">
        <v>26.5</v>
      </c>
      <c r="H55" s="7"/>
      <c r="I55" s="7" t="s">
        <v>225</v>
      </c>
      <c r="J55" s="7" t="str">
        <f>IF(I55="No", "Yes", "No")</f>
        <v>Yes</v>
      </c>
      <c r="K55" s="7" t="str">
        <f>"JDG_Methane_YMF"&amp;CHAR(10)&amp;A55&amp;"_"&amp;B55&amp;"_"&amp;C55&amp;CHAR(10)&amp;"Organic Soil - July 2021"</f>
        <v>JDG_Methane_YMF
Lowland_ACRU_RM13
Organic Soil - July 2021</v>
      </c>
      <c r="L55" s="7" t="str">
        <f>"JDG_Methane_YMF"&amp;CHAR(10)&amp;A55&amp;"_"&amp;B55&amp;"_"&amp;C55&amp;CHAR(10)&amp;"Mineral Soil - July 2021"</f>
        <v>JDG_Methane_YMF
Lowland_ACRU_RM13
Mineral Soil - July 2021</v>
      </c>
      <c r="M55" s="7" t="str">
        <f>"JDG_Methane_YMF"&amp;CHAR(10)&amp;A55&amp;"_"&amp;B55&amp;"_"&amp;C55&amp;CHAR(10)&amp;"Tree Core - MethaneTraits - 2021"</f>
        <v>JDG_Methane_YMF
Lowland_ACRU_RM13
Tree Core - MethaneTraits - 2021</v>
      </c>
      <c r="N55" s="7" t="str">
        <f>"JDG_Methane_YMF"&amp;CHAR(10)&amp;A55&amp;"_"&amp;B55&amp;"_"&amp;C55&amp;CHAR(10)&amp;"Tree Core - Molecular - 2021"</f>
        <v>JDG_Methane_YMF
Lowland_ACRU_RM13
Tree Core - Molecular - 2021</v>
      </c>
      <c r="O55" s="7" t="str">
        <f>"JDG_Methane_YMF"&amp;CHAR(10)&amp;A55&amp;"_"&amp;B55&amp;"_"&amp;C55&amp;CHAR(10)&amp;"Organic Soil - Molecular - 2021"</f>
        <v>JDG_Methane_YMF
Lowland_ACRU_RM13
Organic Soil - Molecular - 2021</v>
      </c>
      <c r="P55" s="7" t="str">
        <f>"JDG_Methane_YMF"&amp;CHAR(10)&amp;A55&amp;"_"&amp;B55&amp;"_"&amp;C55&amp;CHAR(10)&amp;"Mineral Soil - Molecular - 2021"</f>
        <v>JDG_Methane_YMF
Lowland_ACRU_RM13
Mineral Soil - Molecular - 2021</v>
      </c>
      <c r="Q55" t="str">
        <f t="shared" si="0"/>
        <v>JDG_Methane_YMF
Lowland_ACRU_RM13
Internal Gas - #1/2 - 2021</v>
      </c>
      <c r="R55" t="str">
        <f t="shared" si="1"/>
        <v>JDG_Methane_YMF
Lowland_ACRU_RM13
Internal Gas - #2/2 - 2021</v>
      </c>
    </row>
    <row r="56" spans="1:18" x14ac:dyDescent="0.2">
      <c r="A56" s="7" t="s">
        <v>59</v>
      </c>
      <c r="B56" s="7" t="s">
        <v>5</v>
      </c>
      <c r="C56" s="7" t="s">
        <v>19</v>
      </c>
      <c r="D56" s="7"/>
      <c r="E56" s="7"/>
      <c r="F56" s="7"/>
      <c r="G56" s="7">
        <v>27</v>
      </c>
      <c r="H56" s="7"/>
      <c r="I56" s="7" t="s">
        <v>224</v>
      </c>
      <c r="J56" s="7" t="str">
        <f>IF(I56="No", "Yes", "No")</f>
        <v>No</v>
      </c>
      <c r="K56" s="7" t="str">
        <f>"JDG_Methane_YMF"&amp;CHAR(10)&amp;A56&amp;"_"&amp;B56&amp;"_"&amp;C56&amp;CHAR(10)&amp;"Organic Soil - July 2021"</f>
        <v>JDG_Methane_YMF
Lowland_ACRU_RM14
Organic Soil - July 2021</v>
      </c>
      <c r="L56" s="7" t="str">
        <f>"JDG_Methane_YMF"&amp;CHAR(10)&amp;A56&amp;"_"&amp;B56&amp;"_"&amp;C56&amp;CHAR(10)&amp;"Mineral Soil - July 2021"</f>
        <v>JDG_Methane_YMF
Lowland_ACRU_RM14
Mineral Soil - July 2021</v>
      </c>
      <c r="M56" s="7" t="str">
        <f>"JDG_Methane_YMF"&amp;CHAR(10)&amp;A56&amp;"_"&amp;B56&amp;"_"&amp;C56&amp;CHAR(10)&amp;"Tree Core - MethaneTraits - 2021"</f>
        <v>JDG_Methane_YMF
Lowland_ACRU_RM14
Tree Core - MethaneTraits - 2021</v>
      </c>
      <c r="N56" s="7" t="str">
        <f>"JDG_Methane_YMF"&amp;CHAR(10)&amp;A56&amp;"_"&amp;B56&amp;"_"&amp;C56&amp;CHAR(10)&amp;"Tree Core - Molecular - 2021"</f>
        <v>JDG_Methane_YMF
Lowland_ACRU_RM14
Tree Core - Molecular - 2021</v>
      </c>
      <c r="O56" s="7" t="str">
        <f>"JDG_Methane_YMF"&amp;CHAR(10)&amp;A56&amp;"_"&amp;B56&amp;"_"&amp;C56&amp;CHAR(10)&amp;"Organic Soil - Molecular - 2021"</f>
        <v>JDG_Methane_YMF
Lowland_ACRU_RM14
Organic Soil - Molecular - 2021</v>
      </c>
      <c r="P56" s="7" t="str">
        <f>"JDG_Methane_YMF"&amp;CHAR(10)&amp;A56&amp;"_"&amp;B56&amp;"_"&amp;C56&amp;CHAR(10)&amp;"Mineral Soil - Molecular - 2021"</f>
        <v>JDG_Methane_YMF
Lowland_ACRU_RM14
Mineral Soil - Molecular - 2021</v>
      </c>
      <c r="Q56" t="str">
        <f t="shared" si="0"/>
        <v>JDG_Methane_YMF
Lowland_ACRU_RM14
Internal Gas - #1/2 - 2021</v>
      </c>
      <c r="R56" t="str">
        <f t="shared" si="1"/>
        <v>JDG_Methane_YMF
Lowland_ACRU_RM14
Internal Gas - #2/2 - 2021</v>
      </c>
    </row>
    <row r="57" spans="1:18" x14ac:dyDescent="0.2">
      <c r="A57" s="7" t="s">
        <v>59</v>
      </c>
      <c r="B57" s="7" t="s">
        <v>5</v>
      </c>
      <c r="C57" s="7" t="s">
        <v>20</v>
      </c>
      <c r="D57" s="7"/>
      <c r="E57" s="7"/>
      <c r="F57" s="7"/>
      <c r="G57" s="7">
        <v>33.5</v>
      </c>
      <c r="H57" s="7"/>
      <c r="I57" s="7" t="s">
        <v>224</v>
      </c>
      <c r="J57" s="7" t="str">
        <f>IF(I57="No", "Yes", "No")</f>
        <v>No</v>
      </c>
      <c r="K57" s="7" t="str">
        <f>"JDG_Methane_YMF"&amp;CHAR(10)&amp;A57&amp;"_"&amp;B57&amp;"_"&amp;C57&amp;CHAR(10)&amp;"Organic Soil - July 2021"</f>
        <v>JDG_Methane_YMF
Lowland_ACRU_RM16
Organic Soil - July 2021</v>
      </c>
      <c r="L57" s="7" t="str">
        <f>"JDG_Methane_YMF"&amp;CHAR(10)&amp;A57&amp;"_"&amp;B57&amp;"_"&amp;C57&amp;CHAR(10)&amp;"Mineral Soil - July 2021"</f>
        <v>JDG_Methane_YMF
Lowland_ACRU_RM16
Mineral Soil - July 2021</v>
      </c>
      <c r="M57" s="7" t="str">
        <f>"JDG_Methane_YMF"&amp;CHAR(10)&amp;A57&amp;"_"&amp;B57&amp;"_"&amp;C57&amp;CHAR(10)&amp;"Tree Core - MethaneTraits - 2021"</f>
        <v>JDG_Methane_YMF
Lowland_ACRU_RM16
Tree Core - MethaneTraits - 2021</v>
      </c>
      <c r="N57" s="7" t="str">
        <f>"JDG_Methane_YMF"&amp;CHAR(10)&amp;A57&amp;"_"&amp;B57&amp;"_"&amp;C57&amp;CHAR(10)&amp;"Tree Core - Molecular - 2021"</f>
        <v>JDG_Methane_YMF
Lowland_ACRU_RM16
Tree Core - Molecular - 2021</v>
      </c>
      <c r="O57" s="7" t="str">
        <f>"JDG_Methane_YMF"&amp;CHAR(10)&amp;A57&amp;"_"&amp;B57&amp;"_"&amp;C57&amp;CHAR(10)&amp;"Organic Soil - Molecular - 2021"</f>
        <v>JDG_Methane_YMF
Lowland_ACRU_RM16
Organic Soil - Molecular - 2021</v>
      </c>
      <c r="P57" s="7" t="str">
        <f>"JDG_Methane_YMF"&amp;CHAR(10)&amp;A57&amp;"_"&amp;B57&amp;"_"&amp;C57&amp;CHAR(10)&amp;"Mineral Soil - Molecular - 2021"</f>
        <v>JDG_Methane_YMF
Lowland_ACRU_RM16
Mineral Soil - Molecular - 2021</v>
      </c>
      <c r="Q57" t="str">
        <f t="shared" si="0"/>
        <v>JDG_Methane_YMF
Lowland_ACRU_RM16
Internal Gas - #1/2 - 2021</v>
      </c>
      <c r="R57" t="str">
        <f t="shared" si="1"/>
        <v>JDG_Methane_YMF
Lowland_ACRU_RM16
Internal Gas - #2/2 - 2021</v>
      </c>
    </row>
    <row r="58" spans="1:18" x14ac:dyDescent="0.2">
      <c r="A58" s="7" t="s">
        <v>59</v>
      </c>
      <c r="B58" s="7" t="s">
        <v>5</v>
      </c>
      <c r="C58" s="7" t="s">
        <v>7</v>
      </c>
      <c r="D58" s="7"/>
      <c r="E58" s="7"/>
      <c r="F58" s="7"/>
      <c r="G58" s="7">
        <v>38</v>
      </c>
      <c r="H58" s="7"/>
      <c r="I58" s="7" t="s">
        <v>224</v>
      </c>
      <c r="J58" s="7" t="str">
        <f>IF(I58="No", "Yes", "No")</f>
        <v>No</v>
      </c>
      <c r="K58" s="7" t="str">
        <f>"JDG_Methane_YMF"&amp;CHAR(10)&amp;A58&amp;"_"&amp;B58&amp;"_"&amp;C58&amp;CHAR(10)&amp;"Organic Soil - July 2021"</f>
        <v>JDG_Methane_YMF
Lowland_ACRU_RM2
Organic Soil - July 2021</v>
      </c>
      <c r="L58" s="7" t="str">
        <f>"JDG_Methane_YMF"&amp;CHAR(10)&amp;A58&amp;"_"&amp;B58&amp;"_"&amp;C58&amp;CHAR(10)&amp;"Mineral Soil - July 2021"</f>
        <v>JDG_Methane_YMF
Lowland_ACRU_RM2
Mineral Soil - July 2021</v>
      </c>
      <c r="M58" s="7" t="str">
        <f>"JDG_Methane_YMF"&amp;CHAR(10)&amp;A58&amp;"_"&amp;B58&amp;"_"&amp;C58&amp;CHAR(10)&amp;"Tree Core - MethaneTraits - 2021"</f>
        <v>JDG_Methane_YMF
Lowland_ACRU_RM2
Tree Core - MethaneTraits - 2021</v>
      </c>
      <c r="N58" s="7" t="str">
        <f>"JDG_Methane_YMF"&amp;CHAR(10)&amp;A58&amp;"_"&amp;B58&amp;"_"&amp;C58&amp;CHAR(10)&amp;"Tree Core - Molecular - 2021"</f>
        <v>JDG_Methane_YMF
Lowland_ACRU_RM2
Tree Core - Molecular - 2021</v>
      </c>
      <c r="O58" s="7" t="str">
        <f>"JDG_Methane_YMF"&amp;CHAR(10)&amp;A58&amp;"_"&amp;B58&amp;"_"&amp;C58&amp;CHAR(10)&amp;"Organic Soil - Molecular - 2021"</f>
        <v>JDG_Methane_YMF
Lowland_ACRU_RM2
Organic Soil - Molecular - 2021</v>
      </c>
      <c r="P58" s="7" t="str">
        <f>"JDG_Methane_YMF"&amp;CHAR(10)&amp;A58&amp;"_"&amp;B58&amp;"_"&amp;C58&amp;CHAR(10)&amp;"Mineral Soil - Molecular - 2021"</f>
        <v>JDG_Methane_YMF
Lowland_ACRU_RM2
Mineral Soil - Molecular - 2021</v>
      </c>
      <c r="Q58" t="str">
        <f t="shared" si="0"/>
        <v>JDG_Methane_YMF
Lowland_ACRU_RM2
Internal Gas - #1/2 - 2021</v>
      </c>
      <c r="R58" t="str">
        <f t="shared" si="1"/>
        <v>JDG_Methane_YMF
Lowland_ACRU_RM2
Internal Gas - #2/2 - 2021</v>
      </c>
    </row>
    <row r="59" spans="1:18" x14ac:dyDescent="0.2">
      <c r="A59" s="7" t="s">
        <v>59</v>
      </c>
      <c r="B59" s="7" t="s">
        <v>5</v>
      </c>
      <c r="C59" s="7" t="s">
        <v>8</v>
      </c>
      <c r="D59" s="7"/>
      <c r="E59" s="7"/>
      <c r="F59" s="7"/>
      <c r="G59" s="7">
        <v>37.5</v>
      </c>
      <c r="H59" s="7"/>
      <c r="I59" s="7" t="s">
        <v>225</v>
      </c>
      <c r="J59" s="7" t="str">
        <f>IF(I59="No", "Yes", "No")</f>
        <v>Yes</v>
      </c>
      <c r="K59" s="7" t="str">
        <f>"JDG_Methane_YMF"&amp;CHAR(10)&amp;A59&amp;"_"&amp;B59&amp;"_"&amp;C59&amp;CHAR(10)&amp;"Organic Soil - July 2021"</f>
        <v>JDG_Methane_YMF
Lowland_ACRU_RM3
Organic Soil - July 2021</v>
      </c>
      <c r="L59" s="7" t="str">
        <f>"JDG_Methane_YMF"&amp;CHAR(10)&amp;A59&amp;"_"&amp;B59&amp;"_"&amp;C59&amp;CHAR(10)&amp;"Mineral Soil - July 2021"</f>
        <v>JDG_Methane_YMF
Lowland_ACRU_RM3
Mineral Soil - July 2021</v>
      </c>
      <c r="M59" s="7" t="str">
        <f>"JDG_Methane_YMF"&amp;CHAR(10)&amp;A59&amp;"_"&amp;B59&amp;"_"&amp;C59&amp;CHAR(10)&amp;"Tree Core - MethaneTraits - 2021"</f>
        <v>JDG_Methane_YMF
Lowland_ACRU_RM3
Tree Core - MethaneTraits - 2021</v>
      </c>
      <c r="N59" s="7" t="str">
        <f>"JDG_Methane_YMF"&amp;CHAR(10)&amp;A59&amp;"_"&amp;B59&amp;"_"&amp;C59&amp;CHAR(10)&amp;"Tree Core - Molecular - 2021"</f>
        <v>JDG_Methane_YMF
Lowland_ACRU_RM3
Tree Core - Molecular - 2021</v>
      </c>
      <c r="O59" s="7" t="str">
        <f>"JDG_Methane_YMF"&amp;CHAR(10)&amp;A59&amp;"_"&amp;B59&amp;"_"&amp;C59&amp;CHAR(10)&amp;"Organic Soil - Molecular - 2021"</f>
        <v>JDG_Methane_YMF
Lowland_ACRU_RM3
Organic Soil - Molecular - 2021</v>
      </c>
      <c r="P59" s="7" t="str">
        <f>"JDG_Methane_YMF"&amp;CHAR(10)&amp;A59&amp;"_"&amp;B59&amp;"_"&amp;C59&amp;CHAR(10)&amp;"Mineral Soil - Molecular - 2021"</f>
        <v>JDG_Methane_YMF
Lowland_ACRU_RM3
Mineral Soil - Molecular - 2021</v>
      </c>
      <c r="Q59" t="str">
        <f t="shared" si="0"/>
        <v>JDG_Methane_YMF
Lowland_ACRU_RM3
Internal Gas - #1/2 - 2021</v>
      </c>
      <c r="R59" t="str">
        <f t="shared" si="1"/>
        <v>JDG_Methane_YMF
Lowland_ACRU_RM3
Internal Gas - #2/2 - 2021</v>
      </c>
    </row>
    <row r="60" spans="1:18" x14ac:dyDescent="0.2">
      <c r="A60" s="7" t="s">
        <v>59</v>
      </c>
      <c r="B60" s="7" t="s">
        <v>5</v>
      </c>
      <c r="C60" s="7" t="s">
        <v>9</v>
      </c>
      <c r="D60" s="7"/>
      <c r="E60" s="7"/>
      <c r="F60" s="7"/>
      <c r="G60" s="7">
        <v>39</v>
      </c>
      <c r="H60" s="7"/>
      <c r="I60" s="7" t="s">
        <v>225</v>
      </c>
      <c r="J60" s="7" t="str">
        <f>IF(I60="No", "Yes", "No")</f>
        <v>Yes</v>
      </c>
      <c r="K60" s="7" t="str">
        <f>"JDG_Methane_YMF"&amp;CHAR(10)&amp;A60&amp;"_"&amp;B60&amp;"_"&amp;C60&amp;CHAR(10)&amp;"Organic Soil - July 2021"</f>
        <v>JDG_Methane_YMF
Lowland_ACRU_RM4
Organic Soil - July 2021</v>
      </c>
      <c r="L60" s="7" t="str">
        <f>"JDG_Methane_YMF"&amp;CHAR(10)&amp;A60&amp;"_"&amp;B60&amp;"_"&amp;C60&amp;CHAR(10)&amp;"Mineral Soil - July 2021"</f>
        <v>JDG_Methane_YMF
Lowland_ACRU_RM4
Mineral Soil - July 2021</v>
      </c>
      <c r="M60" s="7" t="str">
        <f>"JDG_Methane_YMF"&amp;CHAR(10)&amp;A60&amp;"_"&amp;B60&amp;"_"&amp;C60&amp;CHAR(10)&amp;"Tree Core - MethaneTraits - 2021"</f>
        <v>JDG_Methane_YMF
Lowland_ACRU_RM4
Tree Core - MethaneTraits - 2021</v>
      </c>
      <c r="N60" s="7" t="str">
        <f>"JDG_Methane_YMF"&amp;CHAR(10)&amp;A60&amp;"_"&amp;B60&amp;"_"&amp;C60&amp;CHAR(10)&amp;"Tree Core - Molecular - 2021"</f>
        <v>JDG_Methane_YMF
Lowland_ACRU_RM4
Tree Core - Molecular - 2021</v>
      </c>
      <c r="O60" s="7" t="str">
        <f>"JDG_Methane_YMF"&amp;CHAR(10)&amp;A60&amp;"_"&amp;B60&amp;"_"&amp;C60&amp;CHAR(10)&amp;"Organic Soil - Molecular - 2021"</f>
        <v>JDG_Methane_YMF
Lowland_ACRU_RM4
Organic Soil - Molecular - 2021</v>
      </c>
      <c r="P60" s="7" t="str">
        <f>"JDG_Methane_YMF"&amp;CHAR(10)&amp;A60&amp;"_"&amp;B60&amp;"_"&amp;C60&amp;CHAR(10)&amp;"Mineral Soil - Molecular - 2021"</f>
        <v>JDG_Methane_YMF
Lowland_ACRU_RM4
Mineral Soil - Molecular - 2021</v>
      </c>
      <c r="Q60" t="str">
        <f t="shared" si="0"/>
        <v>JDG_Methane_YMF
Lowland_ACRU_RM4
Internal Gas - #1/2 - 2021</v>
      </c>
      <c r="R60" t="str">
        <f t="shared" si="1"/>
        <v>JDG_Methane_YMF
Lowland_ACRU_RM4
Internal Gas - #2/2 - 2021</v>
      </c>
    </row>
    <row r="61" spans="1:18" x14ac:dyDescent="0.2">
      <c r="A61" s="7" t="s">
        <v>59</v>
      </c>
      <c r="B61" s="7" t="s">
        <v>5</v>
      </c>
      <c r="C61" s="7" t="s">
        <v>10</v>
      </c>
      <c r="D61" s="7"/>
      <c r="E61" s="7"/>
      <c r="F61" s="7"/>
      <c r="G61" s="7">
        <v>33</v>
      </c>
      <c r="H61" s="7"/>
      <c r="I61" s="7" t="s">
        <v>225</v>
      </c>
      <c r="J61" s="7" t="str">
        <f>IF(I61="No", "Yes", "No")</f>
        <v>Yes</v>
      </c>
      <c r="K61" s="7" t="str">
        <f>"JDG_Methane_YMF"&amp;CHAR(10)&amp;A61&amp;"_"&amp;B61&amp;"_"&amp;C61&amp;CHAR(10)&amp;"Organic Soil - July 2021"</f>
        <v>JDG_Methane_YMF
Lowland_ACRU_RM5
Organic Soil - July 2021</v>
      </c>
      <c r="L61" s="7" t="str">
        <f>"JDG_Methane_YMF"&amp;CHAR(10)&amp;A61&amp;"_"&amp;B61&amp;"_"&amp;C61&amp;CHAR(10)&amp;"Mineral Soil - July 2021"</f>
        <v>JDG_Methane_YMF
Lowland_ACRU_RM5
Mineral Soil - July 2021</v>
      </c>
      <c r="M61" s="7" t="str">
        <f>"JDG_Methane_YMF"&amp;CHAR(10)&amp;A61&amp;"_"&amp;B61&amp;"_"&amp;C61&amp;CHAR(10)&amp;"Tree Core - MethaneTraits - 2021"</f>
        <v>JDG_Methane_YMF
Lowland_ACRU_RM5
Tree Core - MethaneTraits - 2021</v>
      </c>
      <c r="N61" s="7" t="str">
        <f>"JDG_Methane_YMF"&amp;CHAR(10)&amp;A61&amp;"_"&amp;B61&amp;"_"&amp;C61&amp;CHAR(10)&amp;"Tree Core - Molecular - 2021"</f>
        <v>JDG_Methane_YMF
Lowland_ACRU_RM5
Tree Core - Molecular - 2021</v>
      </c>
      <c r="O61" s="7" t="str">
        <f>"JDG_Methane_YMF"&amp;CHAR(10)&amp;A61&amp;"_"&amp;B61&amp;"_"&amp;C61&amp;CHAR(10)&amp;"Organic Soil - Molecular - 2021"</f>
        <v>JDG_Methane_YMF
Lowland_ACRU_RM5
Organic Soil - Molecular - 2021</v>
      </c>
      <c r="P61" s="7" t="str">
        <f>"JDG_Methane_YMF"&amp;CHAR(10)&amp;A61&amp;"_"&amp;B61&amp;"_"&amp;C61&amp;CHAR(10)&amp;"Mineral Soil - Molecular - 2021"</f>
        <v>JDG_Methane_YMF
Lowland_ACRU_RM5
Mineral Soil - Molecular - 2021</v>
      </c>
      <c r="Q61" t="str">
        <f t="shared" si="0"/>
        <v>JDG_Methane_YMF
Lowland_ACRU_RM5
Internal Gas - #1/2 - 2021</v>
      </c>
      <c r="R61" t="str">
        <f t="shared" si="1"/>
        <v>JDG_Methane_YMF
Lowland_ACRU_RM5
Internal Gas - #2/2 - 2021</v>
      </c>
    </row>
    <row r="62" spans="1:18" x14ac:dyDescent="0.2">
      <c r="A62" s="7" t="s">
        <v>59</v>
      </c>
      <c r="B62" s="7" t="s">
        <v>5</v>
      </c>
      <c r="C62" s="7" t="s">
        <v>11</v>
      </c>
      <c r="D62" s="7"/>
      <c r="E62" s="7"/>
      <c r="F62" s="7"/>
      <c r="G62" s="7">
        <v>41</v>
      </c>
      <c r="H62" s="7"/>
      <c r="I62" s="7" t="s">
        <v>225</v>
      </c>
      <c r="J62" s="7" t="str">
        <f>IF(I62="No", "Yes", "No")</f>
        <v>Yes</v>
      </c>
      <c r="K62" s="7" t="str">
        <f>"JDG_Methane_YMF"&amp;CHAR(10)&amp;A62&amp;"_"&amp;B62&amp;"_"&amp;C62&amp;CHAR(10)&amp;"Organic Soil - July 2021"</f>
        <v>JDG_Methane_YMF
Lowland_ACRU_RM6
Organic Soil - July 2021</v>
      </c>
      <c r="L62" s="7" t="str">
        <f>"JDG_Methane_YMF"&amp;CHAR(10)&amp;A62&amp;"_"&amp;B62&amp;"_"&amp;C62&amp;CHAR(10)&amp;"Mineral Soil - July 2021"</f>
        <v>JDG_Methane_YMF
Lowland_ACRU_RM6
Mineral Soil - July 2021</v>
      </c>
      <c r="M62" s="7" t="str">
        <f>"JDG_Methane_YMF"&amp;CHAR(10)&amp;A62&amp;"_"&amp;B62&amp;"_"&amp;C62&amp;CHAR(10)&amp;"Tree Core - MethaneTraits - 2021"</f>
        <v>JDG_Methane_YMF
Lowland_ACRU_RM6
Tree Core - MethaneTraits - 2021</v>
      </c>
      <c r="N62" s="7" t="str">
        <f>"JDG_Methane_YMF"&amp;CHAR(10)&amp;A62&amp;"_"&amp;B62&amp;"_"&amp;C62&amp;CHAR(10)&amp;"Tree Core - Molecular - 2021"</f>
        <v>JDG_Methane_YMF
Lowland_ACRU_RM6
Tree Core - Molecular - 2021</v>
      </c>
      <c r="O62" s="7" t="str">
        <f>"JDG_Methane_YMF"&amp;CHAR(10)&amp;A62&amp;"_"&amp;B62&amp;"_"&amp;C62&amp;CHAR(10)&amp;"Organic Soil - Molecular - 2021"</f>
        <v>JDG_Methane_YMF
Lowland_ACRU_RM6
Organic Soil - Molecular - 2021</v>
      </c>
      <c r="P62" s="7" t="str">
        <f>"JDG_Methane_YMF"&amp;CHAR(10)&amp;A62&amp;"_"&amp;B62&amp;"_"&amp;C62&amp;CHAR(10)&amp;"Mineral Soil - Molecular - 2021"</f>
        <v>JDG_Methane_YMF
Lowland_ACRU_RM6
Mineral Soil - Molecular - 2021</v>
      </c>
      <c r="Q62" t="str">
        <f t="shared" si="0"/>
        <v>JDG_Methane_YMF
Lowland_ACRU_RM6
Internal Gas - #1/2 - 2021</v>
      </c>
      <c r="R62" t="str">
        <f t="shared" si="1"/>
        <v>JDG_Methane_YMF
Lowland_ACRU_RM6
Internal Gas - #2/2 - 2021</v>
      </c>
    </row>
    <row r="63" spans="1:18" x14ac:dyDescent="0.2">
      <c r="A63" s="7" t="s">
        <v>59</v>
      </c>
      <c r="B63" s="7" t="s">
        <v>5</v>
      </c>
      <c r="C63" s="7" t="s">
        <v>12</v>
      </c>
      <c r="D63" s="7"/>
      <c r="E63" s="7"/>
      <c r="F63" s="7"/>
      <c r="G63" s="7">
        <v>28</v>
      </c>
      <c r="H63" s="7"/>
      <c r="I63" s="7" t="s">
        <v>224</v>
      </c>
      <c r="J63" s="7" t="str">
        <f>IF(I63="No", "Yes", "No")</f>
        <v>No</v>
      </c>
      <c r="K63" s="7" t="str">
        <f>"JDG_Methane_YMF"&amp;CHAR(10)&amp;A63&amp;"_"&amp;B63&amp;"_"&amp;C63&amp;CHAR(10)&amp;"Organic Soil - July 2021"</f>
        <v>JDG_Methane_YMF
Lowland_ACRU_RM7
Organic Soil - July 2021</v>
      </c>
      <c r="L63" s="7" t="str">
        <f>"JDG_Methane_YMF"&amp;CHAR(10)&amp;A63&amp;"_"&amp;B63&amp;"_"&amp;C63&amp;CHAR(10)&amp;"Mineral Soil - July 2021"</f>
        <v>JDG_Methane_YMF
Lowland_ACRU_RM7
Mineral Soil - July 2021</v>
      </c>
      <c r="M63" s="7" t="str">
        <f>"JDG_Methane_YMF"&amp;CHAR(10)&amp;A63&amp;"_"&amp;B63&amp;"_"&amp;C63&amp;CHAR(10)&amp;"Tree Core - MethaneTraits - 2021"</f>
        <v>JDG_Methane_YMF
Lowland_ACRU_RM7
Tree Core - MethaneTraits - 2021</v>
      </c>
      <c r="N63" s="7" t="str">
        <f>"JDG_Methane_YMF"&amp;CHAR(10)&amp;A63&amp;"_"&amp;B63&amp;"_"&amp;C63&amp;CHAR(10)&amp;"Tree Core - Molecular - 2021"</f>
        <v>JDG_Methane_YMF
Lowland_ACRU_RM7
Tree Core - Molecular - 2021</v>
      </c>
      <c r="O63" s="7" t="str">
        <f>"JDG_Methane_YMF"&amp;CHAR(10)&amp;A63&amp;"_"&amp;B63&amp;"_"&amp;C63&amp;CHAR(10)&amp;"Organic Soil - Molecular - 2021"</f>
        <v>JDG_Methane_YMF
Lowland_ACRU_RM7
Organic Soil - Molecular - 2021</v>
      </c>
      <c r="P63" s="7" t="str">
        <f>"JDG_Methane_YMF"&amp;CHAR(10)&amp;A63&amp;"_"&amp;B63&amp;"_"&amp;C63&amp;CHAR(10)&amp;"Mineral Soil - Molecular - 2021"</f>
        <v>JDG_Methane_YMF
Lowland_ACRU_RM7
Mineral Soil - Molecular - 2021</v>
      </c>
      <c r="Q63" t="str">
        <f t="shared" si="0"/>
        <v>JDG_Methane_YMF
Lowland_ACRU_RM7
Internal Gas - #1/2 - 2021</v>
      </c>
      <c r="R63" t="str">
        <f t="shared" si="1"/>
        <v>JDG_Methane_YMF
Lowland_ACRU_RM7
Internal Gas - #2/2 - 2021</v>
      </c>
    </row>
    <row r="64" spans="1:18" x14ac:dyDescent="0.2">
      <c r="A64" s="7" t="s">
        <v>59</v>
      </c>
      <c r="B64" s="7" t="s">
        <v>5</v>
      </c>
      <c r="C64" s="7" t="s">
        <v>13</v>
      </c>
      <c r="D64" s="7"/>
      <c r="E64" s="7"/>
      <c r="F64" s="7"/>
      <c r="G64" s="7">
        <v>30.5</v>
      </c>
      <c r="H64" s="7"/>
      <c r="I64" s="7" t="s">
        <v>225</v>
      </c>
      <c r="J64" s="7" t="str">
        <f>IF(I64="No", "Yes", "No")</f>
        <v>Yes</v>
      </c>
      <c r="K64" s="7" t="str">
        <f>"JDG_Methane_YMF"&amp;CHAR(10)&amp;A64&amp;"_"&amp;B64&amp;"_"&amp;C64&amp;CHAR(10)&amp;"Organic Soil - July 2021"</f>
        <v>JDG_Methane_YMF
Lowland_ACRU_RM8
Organic Soil - July 2021</v>
      </c>
      <c r="L64" s="7" t="str">
        <f>"JDG_Methane_YMF"&amp;CHAR(10)&amp;A64&amp;"_"&amp;B64&amp;"_"&amp;C64&amp;CHAR(10)&amp;"Mineral Soil - July 2021"</f>
        <v>JDG_Methane_YMF
Lowland_ACRU_RM8
Mineral Soil - July 2021</v>
      </c>
      <c r="M64" s="7" t="str">
        <f>"JDG_Methane_YMF"&amp;CHAR(10)&amp;A64&amp;"_"&amp;B64&amp;"_"&amp;C64&amp;CHAR(10)&amp;"Tree Core - MethaneTraits - 2021"</f>
        <v>JDG_Methane_YMF
Lowland_ACRU_RM8
Tree Core - MethaneTraits - 2021</v>
      </c>
      <c r="N64" s="7" t="str">
        <f>"JDG_Methane_YMF"&amp;CHAR(10)&amp;A64&amp;"_"&amp;B64&amp;"_"&amp;C64&amp;CHAR(10)&amp;"Tree Core - Molecular - 2021"</f>
        <v>JDG_Methane_YMF
Lowland_ACRU_RM8
Tree Core - Molecular - 2021</v>
      </c>
      <c r="O64" s="7" t="str">
        <f>"JDG_Methane_YMF"&amp;CHAR(10)&amp;A64&amp;"_"&amp;B64&amp;"_"&amp;C64&amp;CHAR(10)&amp;"Organic Soil - Molecular - 2021"</f>
        <v>JDG_Methane_YMF
Lowland_ACRU_RM8
Organic Soil - Molecular - 2021</v>
      </c>
      <c r="P64" s="7" t="str">
        <f>"JDG_Methane_YMF"&amp;CHAR(10)&amp;A64&amp;"_"&amp;B64&amp;"_"&amp;C64&amp;CHAR(10)&amp;"Mineral Soil - Molecular - 2021"</f>
        <v>JDG_Methane_YMF
Lowland_ACRU_RM8
Mineral Soil - Molecular - 2021</v>
      </c>
      <c r="Q64" t="str">
        <f t="shared" si="0"/>
        <v>JDG_Methane_YMF
Lowland_ACRU_RM8
Internal Gas - #1/2 - 2021</v>
      </c>
      <c r="R64" t="str">
        <f t="shared" si="1"/>
        <v>JDG_Methane_YMF
Lowland_ACRU_RM8
Internal Gas - #2/2 - 2021</v>
      </c>
    </row>
    <row r="65" spans="1:18" x14ac:dyDescent="0.2">
      <c r="A65" s="7" t="s">
        <v>59</v>
      </c>
      <c r="B65" s="7" t="s">
        <v>5</v>
      </c>
      <c r="C65" s="7" t="s">
        <v>14</v>
      </c>
      <c r="D65" s="7"/>
      <c r="E65" s="7"/>
      <c r="F65" s="7"/>
      <c r="G65" s="7">
        <v>24</v>
      </c>
      <c r="H65" s="7"/>
      <c r="I65" s="7" t="s">
        <v>225</v>
      </c>
      <c r="J65" s="7" t="str">
        <f>IF(I65="No", "Yes", "No")</f>
        <v>Yes</v>
      </c>
      <c r="K65" s="7" t="str">
        <f>"JDG_Methane_YMF"&amp;CHAR(10)&amp;A65&amp;"_"&amp;B65&amp;"_"&amp;C65&amp;CHAR(10)&amp;"Organic Soil - July 2021"</f>
        <v>JDG_Methane_YMF
Lowland_ACRU_RM9
Organic Soil - July 2021</v>
      </c>
      <c r="L65" s="7" t="str">
        <f>"JDG_Methane_YMF"&amp;CHAR(10)&amp;A65&amp;"_"&amp;B65&amp;"_"&amp;C65&amp;CHAR(10)&amp;"Mineral Soil - July 2021"</f>
        <v>JDG_Methane_YMF
Lowland_ACRU_RM9
Mineral Soil - July 2021</v>
      </c>
      <c r="M65" s="7" t="str">
        <f>"JDG_Methane_YMF"&amp;CHAR(10)&amp;A65&amp;"_"&amp;B65&amp;"_"&amp;C65&amp;CHAR(10)&amp;"Tree Core - MethaneTraits - 2021"</f>
        <v>JDG_Methane_YMF
Lowland_ACRU_RM9
Tree Core - MethaneTraits - 2021</v>
      </c>
      <c r="N65" s="7" t="str">
        <f>"JDG_Methane_YMF"&amp;CHAR(10)&amp;A65&amp;"_"&amp;B65&amp;"_"&amp;C65&amp;CHAR(10)&amp;"Tree Core - Molecular - 2021"</f>
        <v>JDG_Methane_YMF
Lowland_ACRU_RM9
Tree Core - Molecular - 2021</v>
      </c>
      <c r="O65" s="7" t="str">
        <f>"JDG_Methane_YMF"&amp;CHAR(10)&amp;A65&amp;"_"&amp;B65&amp;"_"&amp;C65&amp;CHAR(10)&amp;"Organic Soil - Molecular - 2021"</f>
        <v>JDG_Methane_YMF
Lowland_ACRU_RM9
Organic Soil - Molecular - 2021</v>
      </c>
      <c r="P65" s="7" t="str">
        <f>"JDG_Methane_YMF"&amp;CHAR(10)&amp;A65&amp;"_"&amp;B65&amp;"_"&amp;C65&amp;CHAR(10)&amp;"Mineral Soil - Molecular - 2021"</f>
        <v>JDG_Methane_YMF
Lowland_ACRU_RM9
Mineral Soil - Molecular - 2021</v>
      </c>
      <c r="Q65" t="str">
        <f t="shared" si="0"/>
        <v>JDG_Methane_YMF
Lowland_ACRU_RM9
Internal Gas - #1/2 - 2021</v>
      </c>
      <c r="R65" t="str">
        <f t="shared" si="1"/>
        <v>JDG_Methane_YMF
Lowland_ACRU_RM9
Internal Gas - #2/2 - 2021</v>
      </c>
    </row>
    <row r="66" spans="1:18" x14ac:dyDescent="0.2">
      <c r="A66" s="7" t="s">
        <v>59</v>
      </c>
      <c r="B66" s="7" t="s">
        <v>5</v>
      </c>
      <c r="C66" s="7" t="s">
        <v>57</v>
      </c>
      <c r="D66" s="7"/>
      <c r="E66" s="7"/>
      <c r="F66" s="7"/>
      <c r="G66" s="7">
        <v>22</v>
      </c>
      <c r="H66" s="7" t="s">
        <v>58</v>
      </c>
      <c r="I66" s="7" t="s">
        <v>225</v>
      </c>
      <c r="J66" s="7" t="str">
        <f>IF(I66="No", "Yes", "No")</f>
        <v>Yes</v>
      </c>
      <c r="K66" s="7" t="str">
        <f>"JDG_Methane_YMF"&amp;CHAR(10)&amp;A66&amp;"_"&amp;B66&amp;"_"&amp;C66&amp;CHAR(10)&amp;"Organic Soil - July 2021"</f>
        <v>JDG_Methane_YMF
Lowland_ACRU_Untagged
Organic Soil - July 2021</v>
      </c>
      <c r="L66" s="7" t="str">
        <f>"JDG_Methane_YMF"&amp;CHAR(10)&amp;A66&amp;"_"&amp;B66&amp;"_"&amp;C66&amp;CHAR(10)&amp;"Mineral Soil - July 2021"</f>
        <v>JDG_Methane_YMF
Lowland_ACRU_Untagged
Mineral Soil - July 2021</v>
      </c>
      <c r="M66" s="7" t="str">
        <f>"JDG_Methane_YMF"&amp;CHAR(10)&amp;A66&amp;"_"&amp;B66&amp;"_"&amp;C66&amp;CHAR(10)&amp;"Tree Core - MethaneTraits - 2021"</f>
        <v>JDG_Methane_YMF
Lowland_ACRU_Untagged
Tree Core - MethaneTraits - 2021</v>
      </c>
      <c r="N66" s="7" t="str">
        <f>"JDG_Methane_YMF"&amp;CHAR(10)&amp;A66&amp;"_"&amp;B66&amp;"_"&amp;C66&amp;CHAR(10)&amp;"Tree Core - Molecular - 2021"</f>
        <v>JDG_Methane_YMF
Lowland_ACRU_Untagged
Tree Core - Molecular - 2021</v>
      </c>
      <c r="O66" s="7" t="str">
        <f>"JDG_Methane_YMF"&amp;CHAR(10)&amp;A66&amp;"_"&amp;B66&amp;"_"&amp;C66&amp;CHAR(10)&amp;"Organic Soil - Molecular - 2021"</f>
        <v>JDG_Methane_YMF
Lowland_ACRU_Untagged
Organic Soil - Molecular - 2021</v>
      </c>
      <c r="P66" s="7" t="str">
        <f>"JDG_Methane_YMF"&amp;CHAR(10)&amp;A66&amp;"_"&amp;B66&amp;"_"&amp;C66&amp;CHAR(10)&amp;"Mineral Soil - Molecular - 2021"</f>
        <v>JDG_Methane_YMF
Lowland_ACRU_Untagged
Mineral Soil - Molecular - 2021</v>
      </c>
      <c r="Q66" t="str">
        <f t="shared" si="0"/>
        <v>JDG_Methane_YMF
Lowland_ACRU_Untagged
Internal Gas - #1/2 - 2021</v>
      </c>
      <c r="R66" t="str">
        <f t="shared" si="1"/>
        <v>JDG_Methane_YMF
Lowland_ACRU_Untagged
Internal Gas - #2/2 - 2021</v>
      </c>
    </row>
    <row r="67" spans="1:18" x14ac:dyDescent="0.2">
      <c r="A67" s="7" t="s">
        <v>59</v>
      </c>
      <c r="B67" s="7" t="s">
        <v>87</v>
      </c>
      <c r="C67" s="7" t="s">
        <v>100</v>
      </c>
      <c r="D67" s="7"/>
      <c r="E67" s="7"/>
      <c r="F67" s="7"/>
      <c r="G67" s="7">
        <v>21</v>
      </c>
      <c r="H67" s="7"/>
      <c r="I67" s="7" t="s">
        <v>225</v>
      </c>
      <c r="J67" s="7" t="str">
        <f>IF(I67="No", "Yes", "No")</f>
        <v>Yes</v>
      </c>
      <c r="K67" s="7" t="str">
        <f>"JDG_Methane_YMF"&amp;CHAR(10)&amp;A67&amp;"_"&amp;B67&amp;"_"&amp;C67&amp;CHAR(10)&amp;"Organic Soil - July 2021"</f>
        <v>JDG_Methane_YMF
Lowland_BEAL_YB1
Organic Soil - July 2021</v>
      </c>
      <c r="L67" s="7" t="str">
        <f>"JDG_Methane_YMF"&amp;CHAR(10)&amp;A67&amp;"_"&amp;B67&amp;"_"&amp;C67&amp;CHAR(10)&amp;"Mineral Soil - July 2021"</f>
        <v>JDG_Methane_YMF
Lowland_BEAL_YB1
Mineral Soil - July 2021</v>
      </c>
      <c r="M67" s="7" t="str">
        <f>"JDG_Methane_YMF"&amp;CHAR(10)&amp;A67&amp;"_"&amp;B67&amp;"_"&amp;C67&amp;CHAR(10)&amp;"Tree Core - MethaneTraits - 2021"</f>
        <v>JDG_Methane_YMF
Lowland_BEAL_YB1
Tree Core - MethaneTraits - 2021</v>
      </c>
      <c r="N67" s="7" t="str">
        <f>"JDG_Methane_YMF"&amp;CHAR(10)&amp;A67&amp;"_"&amp;B67&amp;"_"&amp;C67&amp;CHAR(10)&amp;"Tree Core - Molecular - 2021"</f>
        <v>JDG_Methane_YMF
Lowland_BEAL_YB1
Tree Core - Molecular - 2021</v>
      </c>
      <c r="O67" s="7" t="str">
        <f>"JDG_Methane_YMF"&amp;CHAR(10)&amp;A67&amp;"_"&amp;B67&amp;"_"&amp;C67&amp;CHAR(10)&amp;"Organic Soil - Molecular - 2021"</f>
        <v>JDG_Methane_YMF
Lowland_BEAL_YB1
Organic Soil - Molecular - 2021</v>
      </c>
      <c r="P67" s="7" t="str">
        <f>"JDG_Methane_YMF"&amp;CHAR(10)&amp;A67&amp;"_"&amp;B67&amp;"_"&amp;C67&amp;CHAR(10)&amp;"Mineral Soil - Molecular - 2021"</f>
        <v>JDG_Methane_YMF
Lowland_BEAL_YB1
Mineral Soil - Molecular - 2021</v>
      </c>
      <c r="Q67" t="str">
        <f t="shared" ref="Q67:Q130" si="2">"JDG_Methane_YMF"&amp;CHAR(10)&amp;A67&amp;"_"&amp;B67&amp;"_"&amp;C67&amp;CHAR(10)&amp;"Internal Gas - #1/2 - 2021"</f>
        <v>JDG_Methane_YMF
Lowland_BEAL_YB1
Internal Gas - #1/2 - 2021</v>
      </c>
      <c r="R67" t="str">
        <f t="shared" ref="R67:R130" si="3">"JDG_Methane_YMF"&amp;CHAR(10)&amp;A67&amp;"_"&amp;B67&amp;"_"&amp;C67&amp;CHAR(10)&amp;"Internal Gas - #2/2 - 2021"</f>
        <v>JDG_Methane_YMF
Lowland_BEAL_YB1
Internal Gas - #2/2 - 2021</v>
      </c>
    </row>
    <row r="68" spans="1:18" x14ac:dyDescent="0.2">
      <c r="A68" s="7" t="s">
        <v>59</v>
      </c>
      <c r="B68" s="7" t="s">
        <v>87</v>
      </c>
      <c r="C68" s="7" t="s">
        <v>98</v>
      </c>
      <c r="D68" s="7"/>
      <c r="E68" s="7"/>
      <c r="F68" s="7"/>
      <c r="G68" s="7">
        <v>21.5</v>
      </c>
      <c r="H68" s="7"/>
      <c r="I68" s="7" t="s">
        <v>225</v>
      </c>
      <c r="J68" s="7" t="str">
        <f>IF(I68="No", "Yes", "No")</f>
        <v>Yes</v>
      </c>
      <c r="K68" s="7" t="str">
        <f>"JDG_Methane_YMF"&amp;CHAR(10)&amp;A68&amp;"_"&amp;B68&amp;"_"&amp;C68&amp;CHAR(10)&amp;"Organic Soil - July 2021"</f>
        <v>JDG_Methane_YMF
Lowland_BEAL_YB10
Organic Soil - July 2021</v>
      </c>
      <c r="L68" s="7" t="str">
        <f>"JDG_Methane_YMF"&amp;CHAR(10)&amp;A68&amp;"_"&amp;B68&amp;"_"&amp;C68&amp;CHAR(10)&amp;"Mineral Soil - July 2021"</f>
        <v>JDG_Methane_YMF
Lowland_BEAL_YB10
Mineral Soil - July 2021</v>
      </c>
      <c r="M68" s="7" t="str">
        <f>"JDG_Methane_YMF"&amp;CHAR(10)&amp;A68&amp;"_"&amp;B68&amp;"_"&amp;C68&amp;CHAR(10)&amp;"Tree Core - MethaneTraits - 2021"</f>
        <v>JDG_Methane_YMF
Lowland_BEAL_YB10
Tree Core - MethaneTraits - 2021</v>
      </c>
      <c r="N68" s="7" t="str">
        <f>"JDG_Methane_YMF"&amp;CHAR(10)&amp;A68&amp;"_"&amp;B68&amp;"_"&amp;C68&amp;CHAR(10)&amp;"Tree Core - Molecular - 2021"</f>
        <v>JDG_Methane_YMF
Lowland_BEAL_YB10
Tree Core - Molecular - 2021</v>
      </c>
      <c r="O68" s="7" t="str">
        <f>"JDG_Methane_YMF"&amp;CHAR(10)&amp;A68&amp;"_"&amp;B68&amp;"_"&amp;C68&amp;CHAR(10)&amp;"Organic Soil - Molecular - 2021"</f>
        <v>JDG_Methane_YMF
Lowland_BEAL_YB10
Organic Soil - Molecular - 2021</v>
      </c>
      <c r="P68" s="7" t="str">
        <f>"JDG_Methane_YMF"&amp;CHAR(10)&amp;A68&amp;"_"&amp;B68&amp;"_"&amp;C68&amp;CHAR(10)&amp;"Mineral Soil - Molecular - 2021"</f>
        <v>JDG_Methane_YMF
Lowland_BEAL_YB10
Mineral Soil - Molecular - 2021</v>
      </c>
      <c r="Q68" t="str">
        <f t="shared" si="2"/>
        <v>JDG_Methane_YMF
Lowland_BEAL_YB10
Internal Gas - #1/2 - 2021</v>
      </c>
      <c r="R68" t="str">
        <f t="shared" si="3"/>
        <v>JDG_Methane_YMF
Lowland_BEAL_YB10
Internal Gas - #2/2 - 2021</v>
      </c>
    </row>
    <row r="69" spans="1:18" x14ac:dyDescent="0.2">
      <c r="A69" s="7" t="s">
        <v>59</v>
      </c>
      <c r="B69" s="7" t="s">
        <v>87</v>
      </c>
      <c r="C69" s="7" t="s">
        <v>102</v>
      </c>
      <c r="D69" s="7"/>
      <c r="E69" s="7"/>
      <c r="F69" s="7"/>
      <c r="G69" s="7">
        <v>21.5</v>
      </c>
      <c r="H69" s="7"/>
      <c r="I69" s="7" t="s">
        <v>225</v>
      </c>
      <c r="J69" s="7" t="str">
        <f>IF(I69="No", "Yes", "No")</f>
        <v>Yes</v>
      </c>
      <c r="K69" s="7" t="str">
        <f>"JDG_Methane_YMF"&amp;CHAR(10)&amp;A69&amp;"_"&amp;B69&amp;"_"&amp;C69&amp;CHAR(10)&amp;"Organic Soil - July 2021"</f>
        <v>JDG_Methane_YMF
Lowland_BEAL_YB11
Organic Soil - July 2021</v>
      </c>
      <c r="L69" s="7" t="str">
        <f>"JDG_Methane_YMF"&amp;CHAR(10)&amp;A69&amp;"_"&amp;B69&amp;"_"&amp;C69&amp;CHAR(10)&amp;"Mineral Soil - July 2021"</f>
        <v>JDG_Methane_YMF
Lowland_BEAL_YB11
Mineral Soil - July 2021</v>
      </c>
      <c r="M69" s="7" t="str">
        <f>"JDG_Methane_YMF"&amp;CHAR(10)&amp;A69&amp;"_"&amp;B69&amp;"_"&amp;C69&amp;CHAR(10)&amp;"Tree Core - MethaneTraits - 2021"</f>
        <v>JDG_Methane_YMF
Lowland_BEAL_YB11
Tree Core - MethaneTraits - 2021</v>
      </c>
      <c r="N69" s="7" t="str">
        <f>"JDG_Methane_YMF"&amp;CHAR(10)&amp;A69&amp;"_"&amp;B69&amp;"_"&amp;C69&amp;CHAR(10)&amp;"Tree Core - Molecular - 2021"</f>
        <v>JDG_Methane_YMF
Lowland_BEAL_YB11
Tree Core - Molecular - 2021</v>
      </c>
      <c r="O69" s="7" t="str">
        <f>"JDG_Methane_YMF"&amp;CHAR(10)&amp;A69&amp;"_"&amp;B69&amp;"_"&amp;C69&amp;CHAR(10)&amp;"Organic Soil - Molecular - 2021"</f>
        <v>JDG_Methane_YMF
Lowland_BEAL_YB11
Organic Soil - Molecular - 2021</v>
      </c>
      <c r="P69" s="7" t="str">
        <f>"JDG_Methane_YMF"&amp;CHAR(10)&amp;A69&amp;"_"&amp;B69&amp;"_"&amp;C69&amp;CHAR(10)&amp;"Mineral Soil - Molecular - 2021"</f>
        <v>JDG_Methane_YMF
Lowland_BEAL_YB11
Mineral Soil - Molecular - 2021</v>
      </c>
      <c r="Q69" t="str">
        <f t="shared" si="2"/>
        <v>JDG_Methane_YMF
Lowland_BEAL_YB11
Internal Gas - #1/2 - 2021</v>
      </c>
      <c r="R69" t="str">
        <f t="shared" si="3"/>
        <v>JDG_Methane_YMF
Lowland_BEAL_YB11
Internal Gas - #2/2 - 2021</v>
      </c>
    </row>
    <row r="70" spans="1:18" x14ac:dyDescent="0.2">
      <c r="A70" s="7" t="s">
        <v>59</v>
      </c>
      <c r="B70" s="7" t="s">
        <v>87</v>
      </c>
      <c r="C70" s="7" t="s">
        <v>99</v>
      </c>
      <c r="D70" s="7"/>
      <c r="E70" s="7"/>
      <c r="F70" s="7"/>
      <c r="G70" s="7">
        <v>21</v>
      </c>
      <c r="H70" s="7"/>
      <c r="I70" s="7" t="s">
        <v>225</v>
      </c>
      <c r="J70" s="7" t="str">
        <f>IF(I70="No", "Yes", "No")</f>
        <v>Yes</v>
      </c>
      <c r="K70" s="7" t="str">
        <f>"JDG_Methane_YMF"&amp;CHAR(10)&amp;A70&amp;"_"&amp;B70&amp;"_"&amp;C70&amp;CHAR(10)&amp;"Organic Soil - July 2021"</f>
        <v>JDG_Methane_YMF
Lowland_BEAL_YB13
Organic Soil - July 2021</v>
      </c>
      <c r="L70" s="7" t="str">
        <f>"JDG_Methane_YMF"&amp;CHAR(10)&amp;A70&amp;"_"&amp;B70&amp;"_"&amp;C70&amp;CHAR(10)&amp;"Mineral Soil - July 2021"</f>
        <v>JDG_Methane_YMF
Lowland_BEAL_YB13
Mineral Soil - July 2021</v>
      </c>
      <c r="M70" s="7" t="str">
        <f>"JDG_Methane_YMF"&amp;CHAR(10)&amp;A70&amp;"_"&amp;B70&amp;"_"&amp;C70&amp;CHAR(10)&amp;"Tree Core - MethaneTraits - 2021"</f>
        <v>JDG_Methane_YMF
Lowland_BEAL_YB13
Tree Core - MethaneTraits - 2021</v>
      </c>
      <c r="N70" s="7" t="str">
        <f>"JDG_Methane_YMF"&amp;CHAR(10)&amp;A70&amp;"_"&amp;B70&amp;"_"&amp;C70&amp;CHAR(10)&amp;"Tree Core - Molecular - 2021"</f>
        <v>JDG_Methane_YMF
Lowland_BEAL_YB13
Tree Core - Molecular - 2021</v>
      </c>
      <c r="O70" s="7" t="str">
        <f>"JDG_Methane_YMF"&amp;CHAR(10)&amp;A70&amp;"_"&amp;B70&amp;"_"&amp;C70&amp;CHAR(10)&amp;"Organic Soil - Molecular - 2021"</f>
        <v>JDG_Methane_YMF
Lowland_BEAL_YB13
Organic Soil - Molecular - 2021</v>
      </c>
      <c r="P70" s="7" t="str">
        <f>"JDG_Methane_YMF"&amp;CHAR(10)&amp;A70&amp;"_"&amp;B70&amp;"_"&amp;C70&amp;CHAR(10)&amp;"Mineral Soil - Molecular - 2021"</f>
        <v>JDG_Methane_YMF
Lowland_BEAL_YB13
Mineral Soil - Molecular - 2021</v>
      </c>
      <c r="Q70" t="str">
        <f t="shared" si="2"/>
        <v>JDG_Methane_YMF
Lowland_BEAL_YB13
Internal Gas - #1/2 - 2021</v>
      </c>
      <c r="R70" t="str">
        <f t="shared" si="3"/>
        <v>JDG_Methane_YMF
Lowland_BEAL_YB13
Internal Gas - #2/2 - 2021</v>
      </c>
    </row>
    <row r="71" spans="1:18" x14ac:dyDescent="0.2">
      <c r="A71" s="7" t="s">
        <v>59</v>
      </c>
      <c r="B71" s="7" t="s">
        <v>87</v>
      </c>
      <c r="C71" s="7" t="s">
        <v>101</v>
      </c>
      <c r="D71" s="7"/>
      <c r="E71" s="7"/>
      <c r="F71" s="7"/>
      <c r="G71" s="7">
        <v>21</v>
      </c>
      <c r="H71" s="7"/>
      <c r="I71" s="7" t="s">
        <v>224</v>
      </c>
      <c r="J71" s="7" t="str">
        <f>IF(I71="No", "Yes", "No")</f>
        <v>No</v>
      </c>
      <c r="K71" s="7" t="str">
        <f>"JDG_Methane_YMF"&amp;CHAR(10)&amp;A71&amp;"_"&amp;B71&amp;"_"&amp;C71&amp;CHAR(10)&amp;"Organic Soil - July 2021"</f>
        <v>JDG_Methane_YMF
Lowland_BEAL_YB14
Organic Soil - July 2021</v>
      </c>
      <c r="L71" s="7" t="str">
        <f>"JDG_Methane_YMF"&amp;CHAR(10)&amp;A71&amp;"_"&amp;B71&amp;"_"&amp;C71&amp;CHAR(10)&amp;"Mineral Soil - July 2021"</f>
        <v>JDG_Methane_YMF
Lowland_BEAL_YB14
Mineral Soil - July 2021</v>
      </c>
      <c r="M71" s="7" t="str">
        <f>"JDG_Methane_YMF"&amp;CHAR(10)&amp;A71&amp;"_"&amp;B71&amp;"_"&amp;C71&amp;CHAR(10)&amp;"Tree Core - MethaneTraits - 2021"</f>
        <v>JDG_Methane_YMF
Lowland_BEAL_YB14
Tree Core - MethaneTraits - 2021</v>
      </c>
      <c r="N71" s="7" t="str">
        <f>"JDG_Methane_YMF"&amp;CHAR(10)&amp;A71&amp;"_"&amp;B71&amp;"_"&amp;C71&amp;CHAR(10)&amp;"Tree Core - Molecular - 2021"</f>
        <v>JDG_Methane_YMF
Lowland_BEAL_YB14
Tree Core - Molecular - 2021</v>
      </c>
      <c r="O71" s="7" t="str">
        <f>"JDG_Methane_YMF"&amp;CHAR(10)&amp;A71&amp;"_"&amp;B71&amp;"_"&amp;C71&amp;CHAR(10)&amp;"Organic Soil - Molecular - 2021"</f>
        <v>JDG_Methane_YMF
Lowland_BEAL_YB14
Organic Soil - Molecular - 2021</v>
      </c>
      <c r="P71" s="7" t="str">
        <f>"JDG_Methane_YMF"&amp;CHAR(10)&amp;A71&amp;"_"&amp;B71&amp;"_"&amp;C71&amp;CHAR(10)&amp;"Mineral Soil - Molecular - 2021"</f>
        <v>JDG_Methane_YMF
Lowland_BEAL_YB14
Mineral Soil - Molecular - 2021</v>
      </c>
      <c r="Q71" t="str">
        <f t="shared" si="2"/>
        <v>JDG_Methane_YMF
Lowland_BEAL_YB14
Internal Gas - #1/2 - 2021</v>
      </c>
      <c r="R71" t="str">
        <f t="shared" si="3"/>
        <v>JDG_Methane_YMF
Lowland_BEAL_YB14
Internal Gas - #2/2 - 2021</v>
      </c>
    </row>
    <row r="72" spans="1:18" x14ac:dyDescent="0.2">
      <c r="A72" s="7" t="s">
        <v>59</v>
      </c>
      <c r="B72" s="7" t="s">
        <v>87</v>
      </c>
      <c r="C72" s="7" t="s">
        <v>104</v>
      </c>
      <c r="D72" s="7"/>
      <c r="E72" s="7"/>
      <c r="F72" s="7"/>
      <c r="G72" s="7">
        <v>24</v>
      </c>
      <c r="H72" s="7"/>
      <c r="I72" s="7" t="s">
        <v>225</v>
      </c>
      <c r="J72" s="7" t="str">
        <f>IF(I72="No", "Yes", "No")</f>
        <v>Yes</v>
      </c>
      <c r="K72" s="7" t="str">
        <f>"JDG_Methane_YMF"&amp;CHAR(10)&amp;A72&amp;"_"&amp;B72&amp;"_"&amp;C72&amp;CHAR(10)&amp;"Organic Soil - July 2021"</f>
        <v>JDG_Methane_YMF
Lowland_BEAL_YB15
Organic Soil - July 2021</v>
      </c>
      <c r="L72" s="7" t="str">
        <f>"JDG_Methane_YMF"&amp;CHAR(10)&amp;A72&amp;"_"&amp;B72&amp;"_"&amp;C72&amp;CHAR(10)&amp;"Mineral Soil - July 2021"</f>
        <v>JDG_Methane_YMF
Lowland_BEAL_YB15
Mineral Soil - July 2021</v>
      </c>
      <c r="M72" s="7" t="str">
        <f>"JDG_Methane_YMF"&amp;CHAR(10)&amp;A72&amp;"_"&amp;B72&amp;"_"&amp;C72&amp;CHAR(10)&amp;"Tree Core - MethaneTraits - 2021"</f>
        <v>JDG_Methane_YMF
Lowland_BEAL_YB15
Tree Core - MethaneTraits - 2021</v>
      </c>
      <c r="N72" s="7" t="str">
        <f>"JDG_Methane_YMF"&amp;CHAR(10)&amp;A72&amp;"_"&amp;B72&amp;"_"&amp;C72&amp;CHAR(10)&amp;"Tree Core - Molecular - 2021"</f>
        <v>JDG_Methane_YMF
Lowland_BEAL_YB15
Tree Core - Molecular - 2021</v>
      </c>
      <c r="O72" s="7" t="str">
        <f>"JDG_Methane_YMF"&amp;CHAR(10)&amp;A72&amp;"_"&amp;B72&amp;"_"&amp;C72&amp;CHAR(10)&amp;"Organic Soil - Molecular - 2021"</f>
        <v>JDG_Methane_YMF
Lowland_BEAL_YB15
Organic Soil - Molecular - 2021</v>
      </c>
      <c r="P72" s="7" t="str">
        <f>"JDG_Methane_YMF"&amp;CHAR(10)&amp;A72&amp;"_"&amp;B72&amp;"_"&amp;C72&amp;CHAR(10)&amp;"Mineral Soil - Molecular - 2021"</f>
        <v>JDG_Methane_YMF
Lowland_BEAL_YB15
Mineral Soil - Molecular - 2021</v>
      </c>
      <c r="Q72" t="str">
        <f t="shared" si="2"/>
        <v>JDG_Methane_YMF
Lowland_BEAL_YB15
Internal Gas - #1/2 - 2021</v>
      </c>
      <c r="R72" t="str">
        <f t="shared" si="3"/>
        <v>JDG_Methane_YMF
Lowland_BEAL_YB15
Internal Gas - #2/2 - 2021</v>
      </c>
    </row>
    <row r="73" spans="1:18" x14ac:dyDescent="0.2">
      <c r="A73" s="7" t="s">
        <v>59</v>
      </c>
      <c r="B73" s="7" t="s">
        <v>87</v>
      </c>
      <c r="C73" s="7" t="s">
        <v>89</v>
      </c>
      <c r="D73" s="7"/>
      <c r="E73" s="7"/>
      <c r="F73" s="7"/>
      <c r="G73" s="7">
        <v>22</v>
      </c>
      <c r="H73" s="7"/>
      <c r="I73" s="7" t="s">
        <v>225</v>
      </c>
      <c r="J73" s="7" t="str">
        <f>IF(I73="No", "Yes", "No")</f>
        <v>Yes</v>
      </c>
      <c r="K73" s="7" t="str">
        <f>"JDG_Methane_YMF"&amp;CHAR(10)&amp;A73&amp;"_"&amp;B73&amp;"_"&amp;C73&amp;CHAR(10)&amp;"Organic Soil - July 2021"</f>
        <v>JDG_Methane_YMF
Lowland_BEAL_YB16
Organic Soil - July 2021</v>
      </c>
      <c r="L73" s="7" t="str">
        <f>"JDG_Methane_YMF"&amp;CHAR(10)&amp;A73&amp;"_"&amp;B73&amp;"_"&amp;C73&amp;CHAR(10)&amp;"Mineral Soil - July 2021"</f>
        <v>JDG_Methane_YMF
Lowland_BEAL_YB16
Mineral Soil - July 2021</v>
      </c>
      <c r="M73" s="7" t="str">
        <f>"JDG_Methane_YMF"&amp;CHAR(10)&amp;A73&amp;"_"&amp;B73&amp;"_"&amp;C73&amp;CHAR(10)&amp;"Tree Core - MethaneTraits - 2021"</f>
        <v>JDG_Methane_YMF
Lowland_BEAL_YB16
Tree Core - MethaneTraits - 2021</v>
      </c>
      <c r="N73" s="7" t="str">
        <f>"JDG_Methane_YMF"&amp;CHAR(10)&amp;A73&amp;"_"&amp;B73&amp;"_"&amp;C73&amp;CHAR(10)&amp;"Tree Core - Molecular - 2021"</f>
        <v>JDG_Methane_YMF
Lowland_BEAL_YB16
Tree Core - Molecular - 2021</v>
      </c>
      <c r="O73" s="7" t="str">
        <f>"JDG_Methane_YMF"&amp;CHAR(10)&amp;A73&amp;"_"&amp;B73&amp;"_"&amp;C73&amp;CHAR(10)&amp;"Organic Soil - Molecular - 2021"</f>
        <v>JDG_Methane_YMF
Lowland_BEAL_YB16
Organic Soil - Molecular - 2021</v>
      </c>
      <c r="P73" s="7" t="str">
        <f>"JDG_Methane_YMF"&amp;CHAR(10)&amp;A73&amp;"_"&amp;B73&amp;"_"&amp;C73&amp;CHAR(10)&amp;"Mineral Soil - Molecular - 2021"</f>
        <v>JDG_Methane_YMF
Lowland_BEAL_YB16
Mineral Soil - Molecular - 2021</v>
      </c>
      <c r="Q73" t="str">
        <f t="shared" si="2"/>
        <v>JDG_Methane_YMF
Lowland_BEAL_YB16
Internal Gas - #1/2 - 2021</v>
      </c>
      <c r="R73" t="str">
        <f t="shared" si="3"/>
        <v>JDG_Methane_YMF
Lowland_BEAL_YB16
Internal Gas - #2/2 - 2021</v>
      </c>
    </row>
    <row r="74" spans="1:18" x14ac:dyDescent="0.2">
      <c r="A74" s="7" t="s">
        <v>59</v>
      </c>
      <c r="B74" s="7" t="s">
        <v>87</v>
      </c>
      <c r="C74" s="7" t="s">
        <v>89</v>
      </c>
      <c r="D74" s="7"/>
      <c r="E74" s="7"/>
      <c r="F74" s="7"/>
      <c r="G74" s="7">
        <v>22</v>
      </c>
      <c r="H74" s="7"/>
      <c r="I74" s="7" t="s">
        <v>225</v>
      </c>
      <c r="J74" s="7" t="str">
        <f>IF(I74="No", "Yes", "No")</f>
        <v>Yes</v>
      </c>
      <c r="K74" s="7" t="str">
        <f>"JDG_Methane_YMF"&amp;CHAR(10)&amp;A74&amp;"_"&amp;B74&amp;"_"&amp;C74&amp;CHAR(10)&amp;"Organic Soil - July 2021"</f>
        <v>JDG_Methane_YMF
Lowland_BEAL_YB16
Organic Soil - July 2021</v>
      </c>
      <c r="L74" s="7" t="str">
        <f>"JDG_Methane_YMF"&amp;CHAR(10)&amp;A74&amp;"_"&amp;B74&amp;"_"&amp;C74&amp;CHAR(10)&amp;"Mineral Soil - July 2021"</f>
        <v>JDG_Methane_YMF
Lowland_BEAL_YB16
Mineral Soil - July 2021</v>
      </c>
      <c r="M74" s="7" t="str">
        <f>"JDG_Methane_YMF"&amp;CHAR(10)&amp;A74&amp;"_"&amp;B74&amp;"_"&amp;C74&amp;CHAR(10)&amp;"Tree Core - MethaneTraits - 2021"</f>
        <v>JDG_Methane_YMF
Lowland_BEAL_YB16
Tree Core - MethaneTraits - 2021</v>
      </c>
      <c r="N74" s="7" t="str">
        <f>"JDG_Methane_YMF"&amp;CHAR(10)&amp;A74&amp;"_"&amp;B74&amp;"_"&amp;C74&amp;CHAR(10)&amp;"Tree Core - Molecular - 2021"</f>
        <v>JDG_Methane_YMF
Lowland_BEAL_YB16
Tree Core - Molecular - 2021</v>
      </c>
      <c r="O74" s="7" t="str">
        <f>"JDG_Methane_YMF"&amp;CHAR(10)&amp;A74&amp;"_"&amp;B74&amp;"_"&amp;C74&amp;CHAR(10)&amp;"Organic Soil - Molecular - 2021"</f>
        <v>JDG_Methane_YMF
Lowland_BEAL_YB16
Organic Soil - Molecular - 2021</v>
      </c>
      <c r="P74" s="7" t="str">
        <f>"JDG_Methane_YMF"&amp;CHAR(10)&amp;A74&amp;"_"&amp;B74&amp;"_"&amp;C74&amp;CHAR(10)&amp;"Mineral Soil - Molecular - 2021"</f>
        <v>JDG_Methane_YMF
Lowland_BEAL_YB16
Mineral Soil - Molecular - 2021</v>
      </c>
      <c r="Q74" t="str">
        <f t="shared" si="2"/>
        <v>JDG_Methane_YMF
Lowland_BEAL_YB16
Internal Gas - #1/2 - 2021</v>
      </c>
      <c r="R74" t="str">
        <f t="shared" si="3"/>
        <v>JDG_Methane_YMF
Lowland_BEAL_YB16
Internal Gas - #2/2 - 2021</v>
      </c>
    </row>
    <row r="75" spans="1:18" x14ac:dyDescent="0.2">
      <c r="A75" s="7" t="s">
        <v>59</v>
      </c>
      <c r="B75" s="7" t="s">
        <v>87</v>
      </c>
      <c r="C75" s="7" t="s">
        <v>90</v>
      </c>
      <c r="D75" s="7"/>
      <c r="E75" s="7"/>
      <c r="F75" s="7"/>
      <c r="G75" s="7">
        <v>26.5</v>
      </c>
      <c r="H75" s="7" t="s">
        <v>60</v>
      </c>
      <c r="I75" s="7" t="s">
        <v>225</v>
      </c>
      <c r="J75" s="7" t="str">
        <f>IF(I75="No", "Yes", "No")</f>
        <v>Yes</v>
      </c>
      <c r="K75" s="7" t="str">
        <f>"JDG_Methane_YMF"&amp;CHAR(10)&amp;A75&amp;"_"&amp;B75&amp;"_"&amp;C75&amp;CHAR(10)&amp;"Organic Soil - July 2021"</f>
        <v>JDG_Methane_YMF
Lowland_BEAL_YB2
Organic Soil - July 2021</v>
      </c>
      <c r="L75" s="7" t="str">
        <f>"JDG_Methane_YMF"&amp;CHAR(10)&amp;A75&amp;"_"&amp;B75&amp;"_"&amp;C75&amp;CHAR(10)&amp;"Mineral Soil - July 2021"</f>
        <v>JDG_Methane_YMF
Lowland_BEAL_YB2
Mineral Soil - July 2021</v>
      </c>
      <c r="M75" s="7" t="str">
        <f>"JDG_Methane_YMF"&amp;CHAR(10)&amp;A75&amp;"_"&amp;B75&amp;"_"&amp;C75&amp;CHAR(10)&amp;"Tree Core - MethaneTraits - 2021"</f>
        <v>JDG_Methane_YMF
Lowland_BEAL_YB2
Tree Core - MethaneTraits - 2021</v>
      </c>
      <c r="N75" s="7" t="str">
        <f>"JDG_Methane_YMF"&amp;CHAR(10)&amp;A75&amp;"_"&amp;B75&amp;"_"&amp;C75&amp;CHAR(10)&amp;"Tree Core - Molecular - 2021"</f>
        <v>JDG_Methane_YMF
Lowland_BEAL_YB2
Tree Core - Molecular - 2021</v>
      </c>
      <c r="O75" s="7" t="str">
        <f>"JDG_Methane_YMF"&amp;CHAR(10)&amp;A75&amp;"_"&amp;B75&amp;"_"&amp;C75&amp;CHAR(10)&amp;"Organic Soil - Molecular - 2021"</f>
        <v>JDG_Methane_YMF
Lowland_BEAL_YB2
Organic Soil - Molecular - 2021</v>
      </c>
      <c r="P75" s="7" t="str">
        <f>"JDG_Methane_YMF"&amp;CHAR(10)&amp;A75&amp;"_"&amp;B75&amp;"_"&amp;C75&amp;CHAR(10)&amp;"Mineral Soil - Molecular - 2021"</f>
        <v>JDG_Methane_YMF
Lowland_BEAL_YB2
Mineral Soil - Molecular - 2021</v>
      </c>
      <c r="Q75" t="str">
        <f t="shared" si="2"/>
        <v>JDG_Methane_YMF
Lowland_BEAL_YB2
Internal Gas - #1/2 - 2021</v>
      </c>
      <c r="R75" t="str">
        <f t="shared" si="3"/>
        <v>JDG_Methane_YMF
Lowland_BEAL_YB2
Internal Gas - #2/2 - 2021</v>
      </c>
    </row>
    <row r="76" spans="1:18" x14ac:dyDescent="0.2">
      <c r="A76" s="7" t="s">
        <v>59</v>
      </c>
      <c r="B76" s="7" t="s">
        <v>87</v>
      </c>
      <c r="C76" s="7" t="s">
        <v>91</v>
      </c>
      <c r="D76" s="7"/>
      <c r="E76" s="7"/>
      <c r="F76" s="7"/>
      <c r="G76" s="7">
        <v>28</v>
      </c>
      <c r="H76" s="7"/>
      <c r="I76" s="7" t="s">
        <v>225</v>
      </c>
      <c r="J76" s="7" t="str">
        <f>IF(I76="No", "Yes", "No")</f>
        <v>Yes</v>
      </c>
      <c r="K76" s="7" t="str">
        <f>"JDG_Methane_YMF"&amp;CHAR(10)&amp;A76&amp;"_"&amp;B76&amp;"_"&amp;C76&amp;CHAR(10)&amp;"Organic Soil - July 2021"</f>
        <v>JDG_Methane_YMF
Lowland_BEAL_YB3
Organic Soil - July 2021</v>
      </c>
      <c r="L76" s="7" t="str">
        <f>"JDG_Methane_YMF"&amp;CHAR(10)&amp;A76&amp;"_"&amp;B76&amp;"_"&amp;C76&amp;CHAR(10)&amp;"Mineral Soil - July 2021"</f>
        <v>JDG_Methane_YMF
Lowland_BEAL_YB3
Mineral Soil - July 2021</v>
      </c>
      <c r="M76" s="7" t="str">
        <f>"JDG_Methane_YMF"&amp;CHAR(10)&amp;A76&amp;"_"&amp;B76&amp;"_"&amp;C76&amp;CHAR(10)&amp;"Tree Core - MethaneTraits - 2021"</f>
        <v>JDG_Methane_YMF
Lowland_BEAL_YB3
Tree Core - MethaneTraits - 2021</v>
      </c>
      <c r="N76" s="7" t="str">
        <f>"JDG_Methane_YMF"&amp;CHAR(10)&amp;A76&amp;"_"&amp;B76&amp;"_"&amp;C76&amp;CHAR(10)&amp;"Tree Core - Molecular - 2021"</f>
        <v>JDG_Methane_YMF
Lowland_BEAL_YB3
Tree Core - Molecular - 2021</v>
      </c>
      <c r="O76" s="7" t="str">
        <f>"JDG_Methane_YMF"&amp;CHAR(10)&amp;A76&amp;"_"&amp;B76&amp;"_"&amp;C76&amp;CHAR(10)&amp;"Organic Soil - Molecular - 2021"</f>
        <v>JDG_Methane_YMF
Lowland_BEAL_YB3
Organic Soil - Molecular - 2021</v>
      </c>
      <c r="P76" s="7" t="str">
        <f>"JDG_Methane_YMF"&amp;CHAR(10)&amp;A76&amp;"_"&amp;B76&amp;"_"&amp;C76&amp;CHAR(10)&amp;"Mineral Soil - Molecular - 2021"</f>
        <v>JDG_Methane_YMF
Lowland_BEAL_YB3
Mineral Soil - Molecular - 2021</v>
      </c>
      <c r="Q76" t="str">
        <f t="shared" si="2"/>
        <v>JDG_Methane_YMF
Lowland_BEAL_YB3
Internal Gas - #1/2 - 2021</v>
      </c>
      <c r="R76" t="str">
        <f t="shared" si="3"/>
        <v>JDG_Methane_YMF
Lowland_BEAL_YB3
Internal Gas - #2/2 - 2021</v>
      </c>
    </row>
    <row r="77" spans="1:18" x14ac:dyDescent="0.2">
      <c r="A77" s="7" t="s">
        <v>59</v>
      </c>
      <c r="B77" s="7" t="s">
        <v>87</v>
      </c>
      <c r="C77" s="7" t="s">
        <v>92</v>
      </c>
      <c r="D77" s="7"/>
      <c r="E77" s="7"/>
      <c r="F77" s="7"/>
      <c r="G77" s="7">
        <v>31</v>
      </c>
      <c r="H77" s="7"/>
      <c r="I77" s="7" t="s">
        <v>225</v>
      </c>
      <c r="J77" s="7" t="str">
        <f>IF(I77="No", "Yes", "No")</f>
        <v>Yes</v>
      </c>
      <c r="K77" s="7" t="str">
        <f>"JDG_Methane_YMF"&amp;CHAR(10)&amp;A77&amp;"_"&amp;B77&amp;"_"&amp;C77&amp;CHAR(10)&amp;"Organic Soil - July 2021"</f>
        <v>JDG_Methane_YMF
Lowland_BEAL_YB4
Organic Soil - July 2021</v>
      </c>
      <c r="L77" s="7" t="str">
        <f>"JDG_Methane_YMF"&amp;CHAR(10)&amp;A77&amp;"_"&amp;B77&amp;"_"&amp;C77&amp;CHAR(10)&amp;"Mineral Soil - July 2021"</f>
        <v>JDG_Methane_YMF
Lowland_BEAL_YB4
Mineral Soil - July 2021</v>
      </c>
      <c r="M77" s="7" t="str">
        <f>"JDG_Methane_YMF"&amp;CHAR(10)&amp;A77&amp;"_"&amp;B77&amp;"_"&amp;C77&amp;CHAR(10)&amp;"Tree Core - MethaneTraits - 2021"</f>
        <v>JDG_Methane_YMF
Lowland_BEAL_YB4
Tree Core - MethaneTraits - 2021</v>
      </c>
      <c r="N77" s="7" t="str">
        <f>"JDG_Methane_YMF"&amp;CHAR(10)&amp;A77&amp;"_"&amp;B77&amp;"_"&amp;C77&amp;CHAR(10)&amp;"Tree Core - Molecular - 2021"</f>
        <v>JDG_Methane_YMF
Lowland_BEAL_YB4
Tree Core - Molecular - 2021</v>
      </c>
      <c r="O77" s="7" t="str">
        <f>"JDG_Methane_YMF"&amp;CHAR(10)&amp;A77&amp;"_"&amp;B77&amp;"_"&amp;C77&amp;CHAR(10)&amp;"Organic Soil - Molecular - 2021"</f>
        <v>JDG_Methane_YMF
Lowland_BEAL_YB4
Organic Soil - Molecular - 2021</v>
      </c>
      <c r="P77" s="7" t="str">
        <f>"JDG_Methane_YMF"&amp;CHAR(10)&amp;A77&amp;"_"&amp;B77&amp;"_"&amp;C77&amp;CHAR(10)&amp;"Mineral Soil - Molecular - 2021"</f>
        <v>JDG_Methane_YMF
Lowland_BEAL_YB4
Mineral Soil - Molecular - 2021</v>
      </c>
      <c r="Q77" t="str">
        <f t="shared" si="2"/>
        <v>JDG_Methane_YMF
Lowland_BEAL_YB4
Internal Gas - #1/2 - 2021</v>
      </c>
      <c r="R77" t="str">
        <f t="shared" si="3"/>
        <v>JDG_Methane_YMF
Lowland_BEAL_YB4
Internal Gas - #2/2 - 2021</v>
      </c>
    </row>
    <row r="78" spans="1:18" x14ac:dyDescent="0.2">
      <c r="A78" s="7" t="s">
        <v>59</v>
      </c>
      <c r="B78" s="7" t="s">
        <v>87</v>
      </c>
      <c r="C78" s="7" t="s">
        <v>93</v>
      </c>
      <c r="D78" s="7"/>
      <c r="E78" s="7"/>
      <c r="F78" s="7"/>
      <c r="G78" s="7">
        <v>31</v>
      </c>
      <c r="H78" s="7" t="s">
        <v>103</v>
      </c>
      <c r="I78" s="7" t="s">
        <v>225</v>
      </c>
      <c r="J78" s="7" t="str">
        <f>IF(I78="No", "Yes", "No")</f>
        <v>Yes</v>
      </c>
      <c r="K78" s="7" t="str">
        <f>"JDG_Methane_YMF"&amp;CHAR(10)&amp;A78&amp;"_"&amp;B78&amp;"_"&amp;C78&amp;CHAR(10)&amp;"Organic Soil - July 2021"</f>
        <v>JDG_Methane_YMF
Lowland_BEAL_YB5
Organic Soil - July 2021</v>
      </c>
      <c r="L78" s="7" t="str">
        <f>"JDG_Methane_YMF"&amp;CHAR(10)&amp;A78&amp;"_"&amp;B78&amp;"_"&amp;C78&amp;CHAR(10)&amp;"Mineral Soil - July 2021"</f>
        <v>JDG_Methane_YMF
Lowland_BEAL_YB5
Mineral Soil - July 2021</v>
      </c>
      <c r="M78" s="7" t="str">
        <f>"JDG_Methane_YMF"&amp;CHAR(10)&amp;A78&amp;"_"&amp;B78&amp;"_"&amp;C78&amp;CHAR(10)&amp;"Tree Core - MethaneTraits - 2021"</f>
        <v>JDG_Methane_YMF
Lowland_BEAL_YB5
Tree Core - MethaneTraits - 2021</v>
      </c>
      <c r="N78" s="7" t="str">
        <f>"JDG_Methane_YMF"&amp;CHAR(10)&amp;A78&amp;"_"&amp;B78&amp;"_"&amp;C78&amp;CHAR(10)&amp;"Tree Core - Molecular - 2021"</f>
        <v>JDG_Methane_YMF
Lowland_BEAL_YB5
Tree Core - Molecular - 2021</v>
      </c>
      <c r="O78" s="7" t="str">
        <f>"JDG_Methane_YMF"&amp;CHAR(10)&amp;A78&amp;"_"&amp;B78&amp;"_"&amp;C78&amp;CHAR(10)&amp;"Organic Soil - Molecular - 2021"</f>
        <v>JDG_Methane_YMF
Lowland_BEAL_YB5
Organic Soil - Molecular - 2021</v>
      </c>
      <c r="P78" s="7" t="str">
        <f>"JDG_Methane_YMF"&amp;CHAR(10)&amp;A78&amp;"_"&amp;B78&amp;"_"&amp;C78&amp;CHAR(10)&amp;"Mineral Soil - Molecular - 2021"</f>
        <v>JDG_Methane_YMF
Lowland_BEAL_YB5
Mineral Soil - Molecular - 2021</v>
      </c>
      <c r="Q78" t="str">
        <f t="shared" si="2"/>
        <v>JDG_Methane_YMF
Lowland_BEAL_YB5
Internal Gas - #1/2 - 2021</v>
      </c>
      <c r="R78" t="str">
        <f t="shared" si="3"/>
        <v>JDG_Methane_YMF
Lowland_BEAL_YB5
Internal Gas - #2/2 - 2021</v>
      </c>
    </row>
    <row r="79" spans="1:18" x14ac:dyDescent="0.2">
      <c r="A79" s="7" t="s">
        <v>59</v>
      </c>
      <c r="B79" s="7" t="s">
        <v>87</v>
      </c>
      <c r="C79" s="7" t="s">
        <v>94</v>
      </c>
      <c r="D79" s="7"/>
      <c r="E79" s="7"/>
      <c r="F79" s="7"/>
      <c r="G79" s="7">
        <v>20</v>
      </c>
      <c r="H79" s="7"/>
      <c r="I79" s="7" t="s">
        <v>225</v>
      </c>
      <c r="J79" s="7" t="str">
        <f>IF(I79="No", "Yes", "No")</f>
        <v>Yes</v>
      </c>
      <c r="K79" s="7" t="str">
        <f>"JDG_Methane_YMF"&amp;CHAR(10)&amp;A79&amp;"_"&amp;B79&amp;"_"&amp;C79&amp;CHAR(10)&amp;"Organic Soil - July 2021"</f>
        <v>JDG_Methane_YMF
Lowland_BEAL_YB6
Organic Soil - July 2021</v>
      </c>
      <c r="L79" s="7" t="str">
        <f>"JDG_Methane_YMF"&amp;CHAR(10)&amp;A79&amp;"_"&amp;B79&amp;"_"&amp;C79&amp;CHAR(10)&amp;"Mineral Soil - July 2021"</f>
        <v>JDG_Methane_YMF
Lowland_BEAL_YB6
Mineral Soil - July 2021</v>
      </c>
      <c r="M79" s="7" t="str">
        <f>"JDG_Methane_YMF"&amp;CHAR(10)&amp;A79&amp;"_"&amp;B79&amp;"_"&amp;C79&amp;CHAR(10)&amp;"Tree Core - MethaneTraits - 2021"</f>
        <v>JDG_Methane_YMF
Lowland_BEAL_YB6
Tree Core - MethaneTraits - 2021</v>
      </c>
      <c r="N79" s="7" t="str">
        <f>"JDG_Methane_YMF"&amp;CHAR(10)&amp;A79&amp;"_"&amp;B79&amp;"_"&amp;C79&amp;CHAR(10)&amp;"Tree Core - Molecular - 2021"</f>
        <v>JDG_Methane_YMF
Lowland_BEAL_YB6
Tree Core - Molecular - 2021</v>
      </c>
      <c r="O79" s="7" t="str">
        <f>"JDG_Methane_YMF"&amp;CHAR(10)&amp;A79&amp;"_"&amp;B79&amp;"_"&amp;C79&amp;CHAR(10)&amp;"Organic Soil - Molecular - 2021"</f>
        <v>JDG_Methane_YMF
Lowland_BEAL_YB6
Organic Soil - Molecular - 2021</v>
      </c>
      <c r="P79" s="7" t="str">
        <f>"JDG_Methane_YMF"&amp;CHAR(10)&amp;A79&amp;"_"&amp;B79&amp;"_"&amp;C79&amp;CHAR(10)&amp;"Mineral Soil - Molecular - 2021"</f>
        <v>JDG_Methane_YMF
Lowland_BEAL_YB6
Mineral Soil - Molecular - 2021</v>
      </c>
      <c r="Q79" t="str">
        <f t="shared" si="2"/>
        <v>JDG_Methane_YMF
Lowland_BEAL_YB6
Internal Gas - #1/2 - 2021</v>
      </c>
      <c r="R79" t="str">
        <f t="shared" si="3"/>
        <v>JDG_Methane_YMF
Lowland_BEAL_YB6
Internal Gas - #2/2 - 2021</v>
      </c>
    </row>
    <row r="80" spans="1:18" x14ac:dyDescent="0.2">
      <c r="A80" s="7" t="s">
        <v>59</v>
      </c>
      <c r="B80" s="7" t="s">
        <v>87</v>
      </c>
      <c r="C80" s="7" t="s">
        <v>95</v>
      </c>
      <c r="D80" s="7"/>
      <c r="E80" s="7"/>
      <c r="F80" s="7"/>
      <c r="G80" s="7">
        <v>22.5</v>
      </c>
      <c r="H80" s="7"/>
      <c r="I80" s="7" t="s">
        <v>225</v>
      </c>
      <c r="J80" s="7" t="str">
        <f>IF(I80="No", "Yes", "No")</f>
        <v>Yes</v>
      </c>
      <c r="K80" s="7" t="str">
        <f>"JDG_Methane_YMF"&amp;CHAR(10)&amp;A80&amp;"_"&amp;B80&amp;"_"&amp;C80&amp;CHAR(10)&amp;"Organic Soil - July 2021"</f>
        <v>JDG_Methane_YMF
Lowland_BEAL_YB7
Organic Soil - July 2021</v>
      </c>
      <c r="L80" s="7" t="str">
        <f>"JDG_Methane_YMF"&amp;CHAR(10)&amp;A80&amp;"_"&amp;B80&amp;"_"&amp;C80&amp;CHAR(10)&amp;"Mineral Soil - July 2021"</f>
        <v>JDG_Methane_YMF
Lowland_BEAL_YB7
Mineral Soil - July 2021</v>
      </c>
      <c r="M80" s="7" t="str">
        <f>"JDG_Methane_YMF"&amp;CHAR(10)&amp;A80&amp;"_"&amp;B80&amp;"_"&amp;C80&amp;CHAR(10)&amp;"Tree Core - MethaneTraits - 2021"</f>
        <v>JDG_Methane_YMF
Lowland_BEAL_YB7
Tree Core - MethaneTraits - 2021</v>
      </c>
      <c r="N80" s="7" t="str">
        <f>"JDG_Methane_YMF"&amp;CHAR(10)&amp;A80&amp;"_"&amp;B80&amp;"_"&amp;C80&amp;CHAR(10)&amp;"Tree Core - Molecular - 2021"</f>
        <v>JDG_Methane_YMF
Lowland_BEAL_YB7
Tree Core - Molecular - 2021</v>
      </c>
      <c r="O80" s="7" t="str">
        <f>"JDG_Methane_YMF"&amp;CHAR(10)&amp;A80&amp;"_"&amp;B80&amp;"_"&amp;C80&amp;CHAR(10)&amp;"Organic Soil - Molecular - 2021"</f>
        <v>JDG_Methane_YMF
Lowland_BEAL_YB7
Organic Soil - Molecular - 2021</v>
      </c>
      <c r="P80" s="7" t="str">
        <f>"JDG_Methane_YMF"&amp;CHAR(10)&amp;A80&amp;"_"&amp;B80&amp;"_"&amp;C80&amp;CHAR(10)&amp;"Mineral Soil - Molecular - 2021"</f>
        <v>JDG_Methane_YMF
Lowland_BEAL_YB7
Mineral Soil - Molecular - 2021</v>
      </c>
      <c r="Q80" t="str">
        <f t="shared" si="2"/>
        <v>JDG_Methane_YMF
Lowland_BEAL_YB7
Internal Gas - #1/2 - 2021</v>
      </c>
      <c r="R80" t="str">
        <f t="shared" si="3"/>
        <v>JDG_Methane_YMF
Lowland_BEAL_YB7
Internal Gas - #2/2 - 2021</v>
      </c>
    </row>
    <row r="81" spans="1:18" x14ac:dyDescent="0.2">
      <c r="A81" s="7" t="s">
        <v>59</v>
      </c>
      <c r="B81" s="7" t="s">
        <v>87</v>
      </c>
      <c r="C81" s="7" t="s">
        <v>97</v>
      </c>
      <c r="D81" s="7"/>
      <c r="E81" s="7"/>
      <c r="F81" s="7"/>
      <c r="G81" s="7">
        <v>25.5</v>
      </c>
      <c r="H81" s="7"/>
      <c r="I81" s="7" t="s">
        <v>225</v>
      </c>
      <c r="J81" s="7" t="str">
        <f>IF(I81="No", "Yes", "No")</f>
        <v>Yes</v>
      </c>
      <c r="K81" s="7" t="str">
        <f>"JDG_Methane_YMF"&amp;CHAR(10)&amp;A81&amp;"_"&amp;B81&amp;"_"&amp;C81&amp;CHAR(10)&amp;"Organic Soil - July 2021"</f>
        <v>JDG_Methane_YMF
Lowland_BEAL_YB8
Organic Soil - July 2021</v>
      </c>
      <c r="L81" s="7" t="str">
        <f>"JDG_Methane_YMF"&amp;CHAR(10)&amp;A81&amp;"_"&amp;B81&amp;"_"&amp;C81&amp;CHAR(10)&amp;"Mineral Soil - July 2021"</f>
        <v>JDG_Methane_YMF
Lowland_BEAL_YB8
Mineral Soil - July 2021</v>
      </c>
      <c r="M81" s="7" t="str">
        <f>"JDG_Methane_YMF"&amp;CHAR(10)&amp;A81&amp;"_"&amp;B81&amp;"_"&amp;C81&amp;CHAR(10)&amp;"Tree Core - MethaneTraits - 2021"</f>
        <v>JDG_Methane_YMF
Lowland_BEAL_YB8
Tree Core - MethaneTraits - 2021</v>
      </c>
      <c r="N81" s="7" t="str">
        <f>"JDG_Methane_YMF"&amp;CHAR(10)&amp;A81&amp;"_"&amp;B81&amp;"_"&amp;C81&amp;CHAR(10)&amp;"Tree Core - Molecular - 2021"</f>
        <v>JDG_Methane_YMF
Lowland_BEAL_YB8
Tree Core - Molecular - 2021</v>
      </c>
      <c r="O81" s="7" t="str">
        <f>"JDG_Methane_YMF"&amp;CHAR(10)&amp;A81&amp;"_"&amp;B81&amp;"_"&amp;C81&amp;CHAR(10)&amp;"Organic Soil - Molecular - 2021"</f>
        <v>JDG_Methane_YMF
Lowland_BEAL_YB8
Organic Soil - Molecular - 2021</v>
      </c>
      <c r="P81" s="7" t="str">
        <f>"JDG_Methane_YMF"&amp;CHAR(10)&amp;A81&amp;"_"&amp;B81&amp;"_"&amp;C81&amp;CHAR(10)&amp;"Mineral Soil - Molecular - 2021"</f>
        <v>JDG_Methane_YMF
Lowland_BEAL_YB8
Mineral Soil - Molecular - 2021</v>
      </c>
      <c r="Q81" t="str">
        <f t="shared" si="2"/>
        <v>JDG_Methane_YMF
Lowland_BEAL_YB8
Internal Gas - #1/2 - 2021</v>
      </c>
      <c r="R81" t="str">
        <f t="shared" si="3"/>
        <v>JDG_Methane_YMF
Lowland_BEAL_YB8
Internal Gas - #2/2 - 2021</v>
      </c>
    </row>
    <row r="82" spans="1:18" x14ac:dyDescent="0.2">
      <c r="A82" s="7" t="s">
        <v>59</v>
      </c>
      <c r="B82" s="7" t="s">
        <v>87</v>
      </c>
      <c r="C82" s="7" t="s">
        <v>96</v>
      </c>
      <c r="D82" s="7"/>
      <c r="E82" s="7"/>
      <c r="F82" s="7"/>
      <c r="G82" s="7">
        <v>26</v>
      </c>
      <c r="H82" s="7"/>
      <c r="I82" s="7" t="s">
        <v>225</v>
      </c>
      <c r="J82" s="7" t="str">
        <f>IF(I82="No", "Yes", "No")</f>
        <v>Yes</v>
      </c>
      <c r="K82" s="7" t="str">
        <f>"JDG_Methane_YMF"&amp;CHAR(10)&amp;A82&amp;"_"&amp;B82&amp;"_"&amp;C82&amp;CHAR(10)&amp;"Organic Soil - July 2021"</f>
        <v>JDG_Methane_YMF
Lowland_BEAL_YB9
Organic Soil - July 2021</v>
      </c>
      <c r="L82" s="7" t="str">
        <f>"JDG_Methane_YMF"&amp;CHAR(10)&amp;A82&amp;"_"&amp;B82&amp;"_"&amp;C82&amp;CHAR(10)&amp;"Mineral Soil - July 2021"</f>
        <v>JDG_Methane_YMF
Lowland_BEAL_YB9
Mineral Soil - July 2021</v>
      </c>
      <c r="M82" s="7" t="str">
        <f>"JDG_Methane_YMF"&amp;CHAR(10)&amp;A82&amp;"_"&amp;B82&amp;"_"&amp;C82&amp;CHAR(10)&amp;"Tree Core - MethaneTraits - 2021"</f>
        <v>JDG_Methane_YMF
Lowland_BEAL_YB9
Tree Core - MethaneTraits - 2021</v>
      </c>
      <c r="N82" s="7" t="str">
        <f>"JDG_Methane_YMF"&amp;CHAR(10)&amp;A82&amp;"_"&amp;B82&amp;"_"&amp;C82&amp;CHAR(10)&amp;"Tree Core - Molecular - 2021"</f>
        <v>JDG_Methane_YMF
Lowland_BEAL_YB9
Tree Core - Molecular - 2021</v>
      </c>
      <c r="O82" s="7" t="str">
        <f>"JDG_Methane_YMF"&amp;CHAR(10)&amp;A82&amp;"_"&amp;B82&amp;"_"&amp;C82&amp;CHAR(10)&amp;"Organic Soil - Molecular - 2021"</f>
        <v>JDG_Methane_YMF
Lowland_BEAL_YB9
Organic Soil - Molecular - 2021</v>
      </c>
      <c r="P82" s="7" t="str">
        <f>"JDG_Methane_YMF"&amp;CHAR(10)&amp;A82&amp;"_"&amp;B82&amp;"_"&amp;C82&amp;CHAR(10)&amp;"Mineral Soil - Molecular - 2021"</f>
        <v>JDG_Methane_YMF
Lowland_BEAL_YB9
Mineral Soil - Molecular - 2021</v>
      </c>
      <c r="Q82" t="str">
        <f t="shared" si="2"/>
        <v>JDG_Methane_YMF
Lowland_BEAL_YB9
Internal Gas - #1/2 - 2021</v>
      </c>
      <c r="R82" t="str">
        <f t="shared" si="3"/>
        <v>JDG_Methane_YMF
Lowland_BEAL_YB9
Internal Gas - #2/2 - 2021</v>
      </c>
    </row>
    <row r="83" spans="1:18" x14ac:dyDescent="0.2">
      <c r="A83" s="7" t="s">
        <v>59</v>
      </c>
      <c r="B83" s="7" t="s">
        <v>64</v>
      </c>
      <c r="C83" s="7" t="s">
        <v>71</v>
      </c>
      <c r="D83" s="7"/>
      <c r="E83" s="7"/>
      <c r="F83" s="7"/>
      <c r="G83" s="7">
        <v>26.5</v>
      </c>
      <c r="H83" s="7"/>
      <c r="I83" s="7" t="s">
        <v>225</v>
      </c>
      <c r="J83" s="7" t="str">
        <f>IF(I83="No", "Yes", "No")</f>
        <v>Yes</v>
      </c>
      <c r="K83" s="7" t="str">
        <f>"JDG_Methane_YMF"&amp;CHAR(10)&amp;A83&amp;"_"&amp;B83&amp;"_"&amp;C83&amp;CHAR(10)&amp;"Organic Soil - July 2021"</f>
        <v>JDG_Methane_YMF
Lowland_BELE_BB1
Organic Soil - July 2021</v>
      </c>
      <c r="L83" s="7" t="str">
        <f>"JDG_Methane_YMF"&amp;CHAR(10)&amp;A83&amp;"_"&amp;B83&amp;"_"&amp;C83&amp;CHAR(10)&amp;"Mineral Soil - July 2021"</f>
        <v>JDG_Methane_YMF
Lowland_BELE_BB1
Mineral Soil - July 2021</v>
      </c>
      <c r="M83" s="7" t="str">
        <f>"JDG_Methane_YMF"&amp;CHAR(10)&amp;A83&amp;"_"&amp;B83&amp;"_"&amp;C83&amp;CHAR(10)&amp;"Tree Core - MethaneTraits - 2021"</f>
        <v>JDG_Methane_YMF
Lowland_BELE_BB1
Tree Core - MethaneTraits - 2021</v>
      </c>
      <c r="N83" s="7" t="str">
        <f>"JDG_Methane_YMF"&amp;CHAR(10)&amp;A83&amp;"_"&amp;B83&amp;"_"&amp;C83&amp;CHAR(10)&amp;"Tree Core - Molecular - 2021"</f>
        <v>JDG_Methane_YMF
Lowland_BELE_BB1
Tree Core - Molecular - 2021</v>
      </c>
      <c r="O83" s="7" t="str">
        <f>"JDG_Methane_YMF"&amp;CHAR(10)&amp;A83&amp;"_"&amp;B83&amp;"_"&amp;C83&amp;CHAR(10)&amp;"Organic Soil - Molecular - 2021"</f>
        <v>JDG_Methane_YMF
Lowland_BELE_BB1
Organic Soil - Molecular - 2021</v>
      </c>
      <c r="P83" s="7" t="str">
        <f>"JDG_Methane_YMF"&amp;CHAR(10)&amp;A83&amp;"_"&amp;B83&amp;"_"&amp;C83&amp;CHAR(10)&amp;"Mineral Soil - Molecular - 2021"</f>
        <v>JDG_Methane_YMF
Lowland_BELE_BB1
Mineral Soil - Molecular - 2021</v>
      </c>
      <c r="Q83" t="str">
        <f t="shared" si="2"/>
        <v>JDG_Methane_YMF
Lowland_BELE_BB1
Internal Gas - #1/2 - 2021</v>
      </c>
      <c r="R83" t="str">
        <f t="shared" si="3"/>
        <v>JDG_Methane_YMF
Lowland_BELE_BB1
Internal Gas - #2/2 - 2021</v>
      </c>
    </row>
    <row r="84" spans="1:18" x14ac:dyDescent="0.2">
      <c r="A84" s="7" t="s">
        <v>59</v>
      </c>
      <c r="B84" s="7" t="s">
        <v>64</v>
      </c>
      <c r="C84" s="7" t="s">
        <v>72</v>
      </c>
      <c r="D84" s="7"/>
      <c r="E84" s="7"/>
      <c r="F84" s="7"/>
      <c r="G84" s="7">
        <v>30.5</v>
      </c>
      <c r="H84" s="7"/>
      <c r="I84" s="7" t="s">
        <v>225</v>
      </c>
      <c r="J84" s="7" t="str">
        <f>IF(I84="No", "Yes", "No")</f>
        <v>Yes</v>
      </c>
      <c r="K84" s="7" t="str">
        <f>"JDG_Methane_YMF"&amp;CHAR(10)&amp;A84&amp;"_"&amp;B84&amp;"_"&amp;C84&amp;CHAR(10)&amp;"Organic Soil - July 2021"</f>
        <v>JDG_Methane_YMF
Lowland_BELE_BB2
Organic Soil - July 2021</v>
      </c>
      <c r="L84" s="7" t="str">
        <f>"JDG_Methane_YMF"&amp;CHAR(10)&amp;A84&amp;"_"&amp;B84&amp;"_"&amp;C84&amp;CHAR(10)&amp;"Mineral Soil - July 2021"</f>
        <v>JDG_Methane_YMF
Lowland_BELE_BB2
Mineral Soil - July 2021</v>
      </c>
      <c r="M84" s="7" t="str">
        <f>"JDG_Methane_YMF"&amp;CHAR(10)&amp;A84&amp;"_"&amp;B84&amp;"_"&amp;C84&amp;CHAR(10)&amp;"Tree Core - MethaneTraits - 2021"</f>
        <v>JDG_Methane_YMF
Lowland_BELE_BB2
Tree Core - MethaneTraits - 2021</v>
      </c>
      <c r="N84" s="7" t="str">
        <f>"JDG_Methane_YMF"&amp;CHAR(10)&amp;A84&amp;"_"&amp;B84&amp;"_"&amp;C84&amp;CHAR(10)&amp;"Tree Core - Molecular - 2021"</f>
        <v>JDG_Methane_YMF
Lowland_BELE_BB2
Tree Core - Molecular - 2021</v>
      </c>
      <c r="O84" s="7" t="str">
        <f>"JDG_Methane_YMF"&amp;CHAR(10)&amp;A84&amp;"_"&amp;B84&amp;"_"&amp;C84&amp;CHAR(10)&amp;"Organic Soil - Molecular - 2021"</f>
        <v>JDG_Methane_YMF
Lowland_BELE_BB2
Organic Soil - Molecular - 2021</v>
      </c>
      <c r="P84" s="7" t="str">
        <f>"JDG_Methane_YMF"&amp;CHAR(10)&amp;A84&amp;"_"&amp;B84&amp;"_"&amp;C84&amp;CHAR(10)&amp;"Mineral Soil - Molecular - 2021"</f>
        <v>JDG_Methane_YMF
Lowland_BELE_BB2
Mineral Soil - Molecular - 2021</v>
      </c>
      <c r="Q84" t="str">
        <f t="shared" si="2"/>
        <v>JDG_Methane_YMF
Lowland_BELE_BB2
Internal Gas - #1/2 - 2021</v>
      </c>
      <c r="R84" t="str">
        <f t="shared" si="3"/>
        <v>JDG_Methane_YMF
Lowland_BELE_BB2
Internal Gas - #2/2 - 2021</v>
      </c>
    </row>
    <row r="85" spans="1:18" x14ac:dyDescent="0.2">
      <c r="A85" s="7" t="s">
        <v>59</v>
      </c>
      <c r="B85" s="7" t="s">
        <v>64</v>
      </c>
      <c r="C85" s="7" t="s">
        <v>73</v>
      </c>
      <c r="D85" s="7"/>
      <c r="E85" s="7"/>
      <c r="F85" s="7"/>
      <c r="G85" s="7">
        <v>34</v>
      </c>
      <c r="H85" s="7"/>
      <c r="I85" s="7" t="s">
        <v>225</v>
      </c>
      <c r="J85" s="7" t="str">
        <f>IF(I85="No", "Yes", "No")</f>
        <v>Yes</v>
      </c>
      <c r="K85" s="7" t="str">
        <f>"JDG_Methane_YMF"&amp;CHAR(10)&amp;A85&amp;"_"&amp;B85&amp;"_"&amp;C85&amp;CHAR(10)&amp;"Organic Soil - July 2021"</f>
        <v>JDG_Methane_YMF
Lowland_BELE_BB4
Organic Soil - July 2021</v>
      </c>
      <c r="L85" s="7" t="str">
        <f>"JDG_Methane_YMF"&amp;CHAR(10)&amp;A85&amp;"_"&amp;B85&amp;"_"&amp;C85&amp;CHAR(10)&amp;"Mineral Soil - July 2021"</f>
        <v>JDG_Methane_YMF
Lowland_BELE_BB4
Mineral Soil - July 2021</v>
      </c>
      <c r="M85" s="7" t="str">
        <f>"JDG_Methane_YMF"&amp;CHAR(10)&amp;A85&amp;"_"&amp;B85&amp;"_"&amp;C85&amp;CHAR(10)&amp;"Tree Core - MethaneTraits - 2021"</f>
        <v>JDG_Methane_YMF
Lowland_BELE_BB4
Tree Core - MethaneTraits - 2021</v>
      </c>
      <c r="N85" s="7" t="str">
        <f>"JDG_Methane_YMF"&amp;CHAR(10)&amp;A85&amp;"_"&amp;B85&amp;"_"&amp;C85&amp;CHAR(10)&amp;"Tree Core - Molecular - 2021"</f>
        <v>JDG_Methane_YMF
Lowland_BELE_BB4
Tree Core - Molecular - 2021</v>
      </c>
      <c r="O85" s="7" t="str">
        <f>"JDG_Methane_YMF"&amp;CHAR(10)&amp;A85&amp;"_"&amp;B85&amp;"_"&amp;C85&amp;CHAR(10)&amp;"Organic Soil - Molecular - 2021"</f>
        <v>JDG_Methane_YMF
Lowland_BELE_BB4
Organic Soil - Molecular - 2021</v>
      </c>
      <c r="P85" s="7" t="str">
        <f>"JDG_Methane_YMF"&amp;CHAR(10)&amp;A85&amp;"_"&amp;B85&amp;"_"&amp;C85&amp;CHAR(10)&amp;"Mineral Soil - Molecular - 2021"</f>
        <v>JDG_Methane_YMF
Lowland_BELE_BB4
Mineral Soil - Molecular - 2021</v>
      </c>
      <c r="Q85" t="str">
        <f t="shared" si="2"/>
        <v>JDG_Methane_YMF
Lowland_BELE_BB4
Internal Gas - #1/2 - 2021</v>
      </c>
      <c r="R85" t="str">
        <f t="shared" si="3"/>
        <v>JDG_Methane_YMF
Lowland_BELE_BB4
Internal Gas - #2/2 - 2021</v>
      </c>
    </row>
    <row r="86" spans="1:18" x14ac:dyDescent="0.2">
      <c r="A86" s="7" t="s">
        <v>59</v>
      </c>
      <c r="B86" s="7" t="s">
        <v>105</v>
      </c>
      <c r="C86" s="7" t="s">
        <v>107</v>
      </c>
      <c r="D86" s="7"/>
      <c r="E86" s="7"/>
      <c r="F86" s="7"/>
      <c r="G86" s="7">
        <v>29</v>
      </c>
      <c r="H86" s="7"/>
      <c r="I86" s="7"/>
      <c r="J86" s="7" t="str">
        <f>IF(I86="No", "Yes", "No")</f>
        <v>No</v>
      </c>
      <c r="K86" s="7" t="str">
        <f>"JDG_Methane_YMF"&amp;CHAR(10)&amp;A86&amp;"_"&amp;B86&amp;"_"&amp;C86&amp;CHAR(10)&amp;"Organic Soil - July 2021"</f>
        <v>JDG_Methane_YMF
Lowland_BEPA_PB1
Organic Soil - July 2021</v>
      </c>
      <c r="L86" s="7" t="str">
        <f>"JDG_Methane_YMF"&amp;CHAR(10)&amp;A86&amp;"_"&amp;B86&amp;"_"&amp;C86&amp;CHAR(10)&amp;"Mineral Soil - July 2021"</f>
        <v>JDG_Methane_YMF
Lowland_BEPA_PB1
Mineral Soil - July 2021</v>
      </c>
      <c r="M86" s="7" t="str">
        <f>"JDG_Methane_YMF"&amp;CHAR(10)&amp;A86&amp;"_"&amp;B86&amp;"_"&amp;C86&amp;CHAR(10)&amp;"Tree Core - MethaneTraits - 2021"</f>
        <v>JDG_Methane_YMF
Lowland_BEPA_PB1
Tree Core - MethaneTraits - 2021</v>
      </c>
      <c r="N86" s="7" t="str">
        <f>"JDG_Methane_YMF"&amp;CHAR(10)&amp;A86&amp;"_"&amp;B86&amp;"_"&amp;C86&amp;CHAR(10)&amp;"Tree Core - Molecular - 2021"</f>
        <v>JDG_Methane_YMF
Lowland_BEPA_PB1
Tree Core - Molecular - 2021</v>
      </c>
      <c r="O86" s="7" t="str">
        <f>"JDG_Methane_YMF"&amp;CHAR(10)&amp;A86&amp;"_"&amp;B86&amp;"_"&amp;C86&amp;CHAR(10)&amp;"Organic Soil - Molecular - 2021"</f>
        <v>JDG_Methane_YMF
Lowland_BEPA_PB1
Organic Soil - Molecular - 2021</v>
      </c>
      <c r="P86" s="7" t="str">
        <f>"JDG_Methane_YMF"&amp;CHAR(10)&amp;A86&amp;"_"&amp;B86&amp;"_"&amp;C86&amp;CHAR(10)&amp;"Mineral Soil - Molecular - 2021"</f>
        <v>JDG_Methane_YMF
Lowland_BEPA_PB1
Mineral Soil - Molecular - 2021</v>
      </c>
      <c r="Q86" t="str">
        <f t="shared" si="2"/>
        <v>JDG_Methane_YMF
Lowland_BEPA_PB1
Internal Gas - #1/2 - 2021</v>
      </c>
      <c r="R86" t="str">
        <f t="shared" si="3"/>
        <v>JDG_Methane_YMF
Lowland_BEPA_PB1
Internal Gas - #2/2 - 2021</v>
      </c>
    </row>
    <row r="87" spans="1:18" x14ac:dyDescent="0.2">
      <c r="A87" s="7" t="s">
        <v>59</v>
      </c>
      <c r="B87" s="7" t="s">
        <v>105</v>
      </c>
      <c r="C87" s="7" t="s">
        <v>106</v>
      </c>
      <c r="D87" s="7"/>
      <c r="E87" s="7"/>
      <c r="F87" s="7"/>
      <c r="G87" s="7">
        <v>34.5</v>
      </c>
      <c r="H87" s="7"/>
      <c r="I87" s="7"/>
      <c r="J87" s="7" t="str">
        <f>IF(I87="No", "Yes", "No")</f>
        <v>No</v>
      </c>
      <c r="K87" s="7" t="str">
        <f>"JDG_Methane_YMF"&amp;CHAR(10)&amp;A87&amp;"_"&amp;B87&amp;"_"&amp;C87&amp;CHAR(10)&amp;"Organic Soil - July 2021"</f>
        <v>JDG_Methane_YMF
Lowland_BEPA_PB2
Organic Soil - July 2021</v>
      </c>
      <c r="L87" s="7" t="str">
        <f>"JDG_Methane_YMF"&amp;CHAR(10)&amp;A87&amp;"_"&amp;B87&amp;"_"&amp;C87&amp;CHAR(10)&amp;"Mineral Soil - July 2021"</f>
        <v>JDG_Methane_YMF
Lowland_BEPA_PB2
Mineral Soil - July 2021</v>
      </c>
      <c r="M87" s="7" t="str">
        <f>"JDG_Methane_YMF"&amp;CHAR(10)&amp;A87&amp;"_"&amp;B87&amp;"_"&amp;C87&amp;CHAR(10)&amp;"Tree Core - MethaneTraits - 2021"</f>
        <v>JDG_Methane_YMF
Lowland_BEPA_PB2
Tree Core - MethaneTraits - 2021</v>
      </c>
      <c r="N87" s="7" t="str">
        <f>"JDG_Methane_YMF"&amp;CHAR(10)&amp;A87&amp;"_"&amp;B87&amp;"_"&amp;C87&amp;CHAR(10)&amp;"Tree Core - Molecular - 2021"</f>
        <v>JDG_Methane_YMF
Lowland_BEPA_PB2
Tree Core - Molecular - 2021</v>
      </c>
      <c r="O87" s="7" t="str">
        <f>"JDG_Methane_YMF"&amp;CHAR(10)&amp;A87&amp;"_"&amp;B87&amp;"_"&amp;C87&amp;CHAR(10)&amp;"Organic Soil - Molecular - 2021"</f>
        <v>JDG_Methane_YMF
Lowland_BEPA_PB2
Organic Soil - Molecular - 2021</v>
      </c>
      <c r="P87" s="7" t="str">
        <f>"JDG_Methane_YMF"&amp;CHAR(10)&amp;A87&amp;"_"&amp;B87&amp;"_"&amp;C87&amp;CHAR(10)&amp;"Mineral Soil - Molecular - 2021"</f>
        <v>JDG_Methane_YMF
Lowland_BEPA_PB2
Mineral Soil - Molecular - 2021</v>
      </c>
      <c r="Q87" t="str">
        <f t="shared" si="2"/>
        <v>JDG_Methane_YMF
Lowland_BEPA_PB2
Internal Gas - #1/2 - 2021</v>
      </c>
      <c r="R87" t="str">
        <f t="shared" si="3"/>
        <v>JDG_Methane_YMF
Lowland_BEPA_PB2
Internal Gas - #2/2 - 2021</v>
      </c>
    </row>
    <row r="88" spans="1:18" x14ac:dyDescent="0.2">
      <c r="A88" s="7" t="s">
        <v>59</v>
      </c>
      <c r="B88" s="7" t="s">
        <v>105</v>
      </c>
      <c r="C88" s="7" t="s">
        <v>108</v>
      </c>
      <c r="D88" s="7"/>
      <c r="E88" s="7"/>
      <c r="F88" s="7"/>
      <c r="G88" s="7">
        <v>34.5</v>
      </c>
      <c r="H88" s="7"/>
      <c r="I88" s="7"/>
      <c r="J88" s="7" t="str">
        <f>IF(I88="No", "Yes", "No")</f>
        <v>No</v>
      </c>
      <c r="K88" s="7" t="str">
        <f>"JDG_Methane_YMF"&amp;CHAR(10)&amp;A88&amp;"_"&amp;B88&amp;"_"&amp;C88&amp;CHAR(10)&amp;"Organic Soil - July 2021"</f>
        <v>JDG_Methane_YMF
Lowland_BEPA_PB3
Organic Soil - July 2021</v>
      </c>
      <c r="L88" s="7" t="str">
        <f>"JDG_Methane_YMF"&amp;CHAR(10)&amp;A88&amp;"_"&amp;B88&amp;"_"&amp;C88&amp;CHAR(10)&amp;"Mineral Soil - July 2021"</f>
        <v>JDG_Methane_YMF
Lowland_BEPA_PB3
Mineral Soil - July 2021</v>
      </c>
      <c r="M88" s="7" t="str">
        <f>"JDG_Methane_YMF"&amp;CHAR(10)&amp;A88&amp;"_"&amp;B88&amp;"_"&amp;C88&amp;CHAR(10)&amp;"Tree Core - MethaneTraits - 2021"</f>
        <v>JDG_Methane_YMF
Lowland_BEPA_PB3
Tree Core - MethaneTraits - 2021</v>
      </c>
      <c r="N88" s="7" t="str">
        <f>"JDG_Methane_YMF"&amp;CHAR(10)&amp;A88&amp;"_"&amp;B88&amp;"_"&amp;C88&amp;CHAR(10)&amp;"Tree Core - Molecular - 2021"</f>
        <v>JDG_Methane_YMF
Lowland_BEPA_PB3
Tree Core - Molecular - 2021</v>
      </c>
      <c r="O88" s="7" t="str">
        <f>"JDG_Methane_YMF"&amp;CHAR(10)&amp;A88&amp;"_"&amp;B88&amp;"_"&amp;C88&amp;CHAR(10)&amp;"Organic Soil - Molecular - 2021"</f>
        <v>JDG_Methane_YMF
Lowland_BEPA_PB3
Organic Soil - Molecular - 2021</v>
      </c>
      <c r="P88" s="7" t="str">
        <f>"JDG_Methane_YMF"&amp;CHAR(10)&amp;A88&amp;"_"&amp;B88&amp;"_"&amp;C88&amp;CHAR(10)&amp;"Mineral Soil - Molecular - 2021"</f>
        <v>JDG_Methane_YMF
Lowland_BEPA_PB3
Mineral Soil - Molecular - 2021</v>
      </c>
      <c r="Q88" t="str">
        <f t="shared" si="2"/>
        <v>JDG_Methane_YMF
Lowland_BEPA_PB3
Internal Gas - #1/2 - 2021</v>
      </c>
      <c r="R88" t="str">
        <f t="shared" si="3"/>
        <v>JDG_Methane_YMF
Lowland_BEPA_PB3
Internal Gas - #2/2 - 2021</v>
      </c>
    </row>
    <row r="89" spans="1:18" x14ac:dyDescent="0.2">
      <c r="A89" s="7" t="s">
        <v>59</v>
      </c>
      <c r="B89" s="7" t="s">
        <v>105</v>
      </c>
      <c r="C89" s="7" t="s">
        <v>109</v>
      </c>
      <c r="D89" s="7"/>
      <c r="E89" s="7"/>
      <c r="F89" s="7"/>
      <c r="G89" s="7">
        <v>23</v>
      </c>
      <c r="H89" s="7"/>
      <c r="I89" s="7"/>
      <c r="J89" s="7" t="str">
        <f>IF(I89="No", "Yes", "No")</f>
        <v>No</v>
      </c>
      <c r="K89" s="7" t="str">
        <f>"JDG_Methane_YMF"&amp;CHAR(10)&amp;A89&amp;"_"&amp;B89&amp;"_"&amp;C89&amp;CHAR(10)&amp;"Organic Soil - July 2021"</f>
        <v>JDG_Methane_YMF
Lowland_BEPA_PB4
Organic Soil - July 2021</v>
      </c>
      <c r="L89" s="7" t="str">
        <f>"JDG_Methane_YMF"&amp;CHAR(10)&amp;A89&amp;"_"&amp;B89&amp;"_"&amp;C89&amp;CHAR(10)&amp;"Mineral Soil - July 2021"</f>
        <v>JDG_Methane_YMF
Lowland_BEPA_PB4
Mineral Soil - July 2021</v>
      </c>
      <c r="M89" s="7" t="str">
        <f>"JDG_Methane_YMF"&amp;CHAR(10)&amp;A89&amp;"_"&amp;B89&amp;"_"&amp;C89&amp;CHAR(10)&amp;"Tree Core - MethaneTraits - 2021"</f>
        <v>JDG_Methane_YMF
Lowland_BEPA_PB4
Tree Core - MethaneTraits - 2021</v>
      </c>
      <c r="N89" s="7" t="str">
        <f>"JDG_Methane_YMF"&amp;CHAR(10)&amp;A89&amp;"_"&amp;B89&amp;"_"&amp;C89&amp;CHAR(10)&amp;"Tree Core - Molecular - 2021"</f>
        <v>JDG_Methane_YMF
Lowland_BEPA_PB4
Tree Core - Molecular - 2021</v>
      </c>
      <c r="O89" s="7" t="str">
        <f>"JDG_Methane_YMF"&amp;CHAR(10)&amp;A89&amp;"_"&amp;B89&amp;"_"&amp;C89&amp;CHAR(10)&amp;"Organic Soil - Molecular - 2021"</f>
        <v>JDG_Methane_YMF
Lowland_BEPA_PB4
Organic Soil - Molecular - 2021</v>
      </c>
      <c r="P89" s="7" t="str">
        <f>"JDG_Methane_YMF"&amp;CHAR(10)&amp;A89&amp;"_"&amp;B89&amp;"_"&amp;C89&amp;CHAR(10)&amp;"Mineral Soil - Molecular - 2021"</f>
        <v>JDG_Methane_YMF
Lowland_BEPA_PB4
Mineral Soil - Molecular - 2021</v>
      </c>
      <c r="Q89" t="str">
        <f t="shared" si="2"/>
        <v>JDG_Methane_YMF
Lowland_BEPA_PB4
Internal Gas - #1/2 - 2021</v>
      </c>
      <c r="R89" t="str">
        <f t="shared" si="3"/>
        <v>JDG_Methane_YMF
Lowland_BEPA_PB4
Internal Gas - #2/2 - 2021</v>
      </c>
    </row>
    <row r="90" spans="1:18" x14ac:dyDescent="0.2">
      <c r="A90" s="7" t="s">
        <v>59</v>
      </c>
      <c r="B90" s="7" t="s">
        <v>105</v>
      </c>
      <c r="C90" s="7" t="s">
        <v>110</v>
      </c>
      <c r="D90" s="7"/>
      <c r="E90" s="7"/>
      <c r="F90" s="7"/>
      <c r="G90" s="7">
        <v>37.5</v>
      </c>
      <c r="H90" s="7"/>
      <c r="I90" s="7"/>
      <c r="J90" s="7" t="str">
        <f>IF(I90="No", "Yes", "No")</f>
        <v>No</v>
      </c>
      <c r="K90" s="7" t="str">
        <f>"JDG_Methane_YMF"&amp;CHAR(10)&amp;A90&amp;"_"&amp;B90&amp;"_"&amp;C90&amp;CHAR(10)&amp;"Organic Soil - July 2021"</f>
        <v>JDG_Methane_YMF
Lowland_BEPA_PB5
Organic Soil - July 2021</v>
      </c>
      <c r="L90" s="7" t="str">
        <f>"JDG_Methane_YMF"&amp;CHAR(10)&amp;A90&amp;"_"&amp;B90&amp;"_"&amp;C90&amp;CHAR(10)&amp;"Mineral Soil - July 2021"</f>
        <v>JDG_Methane_YMF
Lowland_BEPA_PB5
Mineral Soil - July 2021</v>
      </c>
      <c r="M90" s="7" t="str">
        <f>"JDG_Methane_YMF"&amp;CHAR(10)&amp;A90&amp;"_"&amp;B90&amp;"_"&amp;C90&amp;CHAR(10)&amp;"Tree Core - MethaneTraits - 2021"</f>
        <v>JDG_Methane_YMF
Lowland_BEPA_PB5
Tree Core - MethaneTraits - 2021</v>
      </c>
      <c r="N90" s="7" t="str">
        <f>"JDG_Methane_YMF"&amp;CHAR(10)&amp;A90&amp;"_"&amp;B90&amp;"_"&amp;C90&amp;CHAR(10)&amp;"Tree Core - Molecular - 2021"</f>
        <v>JDG_Methane_YMF
Lowland_BEPA_PB5
Tree Core - Molecular - 2021</v>
      </c>
      <c r="O90" s="7" t="str">
        <f>"JDG_Methane_YMF"&amp;CHAR(10)&amp;A90&amp;"_"&amp;B90&amp;"_"&amp;C90&amp;CHAR(10)&amp;"Organic Soil - Molecular - 2021"</f>
        <v>JDG_Methane_YMF
Lowland_BEPA_PB5
Organic Soil - Molecular - 2021</v>
      </c>
      <c r="P90" s="7" t="str">
        <f>"JDG_Methane_YMF"&amp;CHAR(10)&amp;A90&amp;"_"&amp;B90&amp;"_"&amp;C90&amp;CHAR(10)&amp;"Mineral Soil - Molecular - 2021"</f>
        <v>JDG_Methane_YMF
Lowland_BEPA_PB5
Mineral Soil - Molecular - 2021</v>
      </c>
      <c r="Q90" t="str">
        <f t="shared" si="2"/>
        <v>JDG_Methane_YMF
Lowland_BEPA_PB5
Internal Gas - #1/2 - 2021</v>
      </c>
      <c r="R90" t="str">
        <f t="shared" si="3"/>
        <v>JDG_Methane_YMF
Lowland_BEPA_PB5
Internal Gas - #2/2 - 2021</v>
      </c>
    </row>
    <row r="91" spans="1:18" x14ac:dyDescent="0.2">
      <c r="A91" s="7" t="s">
        <v>59</v>
      </c>
      <c r="B91" s="7" t="s">
        <v>112</v>
      </c>
      <c r="C91" s="7" t="s">
        <v>111</v>
      </c>
      <c r="D91" s="7"/>
      <c r="E91" s="7"/>
      <c r="F91" s="7"/>
      <c r="G91" s="7">
        <v>27.5</v>
      </c>
      <c r="H91" s="7"/>
      <c r="I91" s="7"/>
      <c r="J91" s="7" t="str">
        <f>IF(I91="No", "Yes", "No")</f>
        <v>No</v>
      </c>
      <c r="K91" s="7" t="str">
        <f>"JDG_Methane_YMF"&amp;CHAR(10)&amp;A91&amp;"_"&amp;B91&amp;"_"&amp;C91&amp;CHAR(10)&amp;"Organic Soil - July 2021"</f>
        <v>JDG_Methane_YMF
Lowland_FAGR_AB1
Organic Soil - July 2021</v>
      </c>
      <c r="L91" s="7" t="str">
        <f>"JDG_Methane_YMF"&amp;CHAR(10)&amp;A91&amp;"_"&amp;B91&amp;"_"&amp;C91&amp;CHAR(10)&amp;"Mineral Soil - July 2021"</f>
        <v>JDG_Methane_YMF
Lowland_FAGR_AB1
Mineral Soil - July 2021</v>
      </c>
      <c r="M91" s="7" t="str">
        <f>"JDG_Methane_YMF"&amp;CHAR(10)&amp;A91&amp;"_"&amp;B91&amp;"_"&amp;C91&amp;CHAR(10)&amp;"Tree Core - MethaneTraits - 2021"</f>
        <v>JDG_Methane_YMF
Lowland_FAGR_AB1
Tree Core - MethaneTraits - 2021</v>
      </c>
      <c r="N91" s="7" t="str">
        <f>"JDG_Methane_YMF"&amp;CHAR(10)&amp;A91&amp;"_"&amp;B91&amp;"_"&amp;C91&amp;CHAR(10)&amp;"Tree Core - Molecular - 2021"</f>
        <v>JDG_Methane_YMF
Lowland_FAGR_AB1
Tree Core - Molecular - 2021</v>
      </c>
      <c r="O91" s="7" t="str">
        <f>"JDG_Methane_YMF"&amp;CHAR(10)&amp;A91&amp;"_"&amp;B91&amp;"_"&amp;C91&amp;CHAR(10)&amp;"Organic Soil - Molecular - 2021"</f>
        <v>JDG_Methane_YMF
Lowland_FAGR_AB1
Organic Soil - Molecular - 2021</v>
      </c>
      <c r="P91" s="7" t="str">
        <f>"JDG_Methane_YMF"&amp;CHAR(10)&amp;A91&amp;"_"&amp;B91&amp;"_"&amp;C91&amp;CHAR(10)&amp;"Mineral Soil - Molecular - 2021"</f>
        <v>JDG_Methane_YMF
Lowland_FAGR_AB1
Mineral Soil - Molecular - 2021</v>
      </c>
      <c r="Q91" t="str">
        <f t="shared" si="2"/>
        <v>JDG_Methane_YMF
Lowland_FAGR_AB1
Internal Gas - #1/2 - 2021</v>
      </c>
      <c r="R91" t="str">
        <f t="shared" si="3"/>
        <v>JDG_Methane_YMF
Lowland_FAGR_AB1
Internal Gas - #2/2 - 2021</v>
      </c>
    </row>
    <row r="92" spans="1:18" x14ac:dyDescent="0.2">
      <c r="A92" s="7" t="s">
        <v>59</v>
      </c>
      <c r="B92" s="7" t="s">
        <v>112</v>
      </c>
      <c r="C92" s="7" t="s">
        <v>113</v>
      </c>
      <c r="D92" s="7"/>
      <c r="E92" s="7"/>
      <c r="F92" s="7"/>
      <c r="G92" s="7">
        <v>25.5</v>
      </c>
      <c r="H92" s="7"/>
      <c r="I92" s="7"/>
      <c r="J92" s="7" t="str">
        <f>IF(I92="No", "Yes", "No")</f>
        <v>No</v>
      </c>
      <c r="K92" s="7" t="str">
        <f>"JDG_Methane_YMF"&amp;CHAR(10)&amp;A92&amp;"_"&amp;B92&amp;"_"&amp;C92&amp;CHAR(10)&amp;"Organic Soil - July 2021"</f>
        <v>JDG_Methane_YMF
Lowland_FAGR_AB2
Organic Soil - July 2021</v>
      </c>
      <c r="L92" s="7" t="str">
        <f>"JDG_Methane_YMF"&amp;CHAR(10)&amp;A92&amp;"_"&amp;B92&amp;"_"&amp;C92&amp;CHAR(10)&amp;"Mineral Soil - July 2021"</f>
        <v>JDG_Methane_YMF
Lowland_FAGR_AB2
Mineral Soil - July 2021</v>
      </c>
      <c r="M92" s="7" t="str">
        <f>"JDG_Methane_YMF"&amp;CHAR(10)&amp;A92&amp;"_"&amp;B92&amp;"_"&amp;C92&amp;CHAR(10)&amp;"Tree Core - MethaneTraits - 2021"</f>
        <v>JDG_Methane_YMF
Lowland_FAGR_AB2
Tree Core - MethaneTraits - 2021</v>
      </c>
      <c r="N92" s="7" t="str">
        <f>"JDG_Methane_YMF"&amp;CHAR(10)&amp;A92&amp;"_"&amp;B92&amp;"_"&amp;C92&amp;CHAR(10)&amp;"Tree Core - Molecular - 2021"</f>
        <v>JDG_Methane_YMF
Lowland_FAGR_AB2
Tree Core - Molecular - 2021</v>
      </c>
      <c r="O92" s="7" t="str">
        <f>"JDG_Methane_YMF"&amp;CHAR(10)&amp;A92&amp;"_"&amp;B92&amp;"_"&amp;C92&amp;CHAR(10)&amp;"Organic Soil - Molecular - 2021"</f>
        <v>JDG_Methane_YMF
Lowland_FAGR_AB2
Organic Soil - Molecular - 2021</v>
      </c>
      <c r="P92" s="7" t="str">
        <f>"JDG_Methane_YMF"&amp;CHAR(10)&amp;A92&amp;"_"&amp;B92&amp;"_"&amp;C92&amp;CHAR(10)&amp;"Mineral Soil - Molecular - 2021"</f>
        <v>JDG_Methane_YMF
Lowland_FAGR_AB2
Mineral Soil - Molecular - 2021</v>
      </c>
      <c r="Q92" t="str">
        <f t="shared" si="2"/>
        <v>JDG_Methane_YMF
Lowland_FAGR_AB2
Internal Gas - #1/2 - 2021</v>
      </c>
      <c r="R92" t="str">
        <f t="shared" si="3"/>
        <v>JDG_Methane_YMF
Lowland_FAGR_AB2
Internal Gas - #2/2 - 2021</v>
      </c>
    </row>
    <row r="93" spans="1:18" x14ac:dyDescent="0.2">
      <c r="A93" s="7" t="s">
        <v>59</v>
      </c>
      <c r="B93" s="7" t="s">
        <v>112</v>
      </c>
      <c r="C93" s="7" t="s">
        <v>114</v>
      </c>
      <c r="D93" s="7"/>
      <c r="E93" s="7"/>
      <c r="F93" s="7"/>
      <c r="G93" s="7">
        <v>28.5</v>
      </c>
      <c r="H93" s="7"/>
      <c r="I93" s="7"/>
      <c r="J93" s="7" t="str">
        <f>IF(I93="No", "Yes", "No")</f>
        <v>No</v>
      </c>
      <c r="K93" s="7" t="str">
        <f>"JDG_Methane_YMF"&amp;CHAR(10)&amp;A93&amp;"_"&amp;B93&amp;"_"&amp;C93&amp;CHAR(10)&amp;"Organic Soil - July 2021"</f>
        <v>JDG_Methane_YMF
Lowland_FAGR_AB3
Organic Soil - July 2021</v>
      </c>
      <c r="L93" s="7" t="str">
        <f>"JDG_Methane_YMF"&amp;CHAR(10)&amp;A93&amp;"_"&amp;B93&amp;"_"&amp;C93&amp;CHAR(10)&amp;"Mineral Soil - July 2021"</f>
        <v>JDG_Methane_YMF
Lowland_FAGR_AB3
Mineral Soil - July 2021</v>
      </c>
      <c r="M93" s="7" t="str">
        <f>"JDG_Methane_YMF"&amp;CHAR(10)&amp;A93&amp;"_"&amp;B93&amp;"_"&amp;C93&amp;CHAR(10)&amp;"Tree Core - MethaneTraits - 2021"</f>
        <v>JDG_Methane_YMF
Lowland_FAGR_AB3
Tree Core - MethaneTraits - 2021</v>
      </c>
      <c r="N93" s="7" t="str">
        <f>"JDG_Methane_YMF"&amp;CHAR(10)&amp;A93&amp;"_"&amp;B93&amp;"_"&amp;C93&amp;CHAR(10)&amp;"Tree Core - Molecular - 2021"</f>
        <v>JDG_Methane_YMF
Lowland_FAGR_AB3
Tree Core - Molecular - 2021</v>
      </c>
      <c r="O93" s="7" t="str">
        <f>"JDG_Methane_YMF"&amp;CHAR(10)&amp;A93&amp;"_"&amp;B93&amp;"_"&amp;C93&amp;CHAR(10)&amp;"Organic Soil - Molecular - 2021"</f>
        <v>JDG_Methane_YMF
Lowland_FAGR_AB3
Organic Soil - Molecular - 2021</v>
      </c>
      <c r="P93" s="7" t="str">
        <f>"JDG_Methane_YMF"&amp;CHAR(10)&amp;A93&amp;"_"&amp;B93&amp;"_"&amp;C93&amp;CHAR(10)&amp;"Mineral Soil - Molecular - 2021"</f>
        <v>JDG_Methane_YMF
Lowland_FAGR_AB3
Mineral Soil - Molecular - 2021</v>
      </c>
      <c r="Q93" t="str">
        <f t="shared" si="2"/>
        <v>JDG_Methane_YMF
Lowland_FAGR_AB3
Internal Gas - #1/2 - 2021</v>
      </c>
      <c r="R93" t="str">
        <f t="shared" si="3"/>
        <v>JDG_Methane_YMF
Lowland_FAGR_AB3
Internal Gas - #2/2 - 2021</v>
      </c>
    </row>
    <row r="94" spans="1:18" x14ac:dyDescent="0.2">
      <c r="A94" s="7" t="s">
        <v>59</v>
      </c>
      <c r="B94" s="7" t="s">
        <v>112</v>
      </c>
      <c r="C94" s="7" t="s">
        <v>117</v>
      </c>
      <c r="D94" s="7"/>
      <c r="E94" s="7"/>
      <c r="F94" s="7"/>
      <c r="G94" s="7">
        <v>43.5</v>
      </c>
      <c r="H94" s="7" t="s">
        <v>125</v>
      </c>
      <c r="I94" s="7"/>
      <c r="J94" s="7" t="str">
        <f>IF(I94="No", "Yes", "No")</f>
        <v>No</v>
      </c>
      <c r="K94" s="7" t="str">
        <f>"JDG_Methane_YMF"&amp;CHAR(10)&amp;A94&amp;"_"&amp;B94&amp;"_"&amp;C94&amp;CHAR(10)&amp;"Organic Soil - July 2021"</f>
        <v>JDG_Methane_YMF
Lowland_FAGR_AB3/5
Organic Soil - July 2021</v>
      </c>
      <c r="L94" s="7" t="str">
        <f>"JDG_Methane_YMF"&amp;CHAR(10)&amp;A94&amp;"_"&amp;B94&amp;"_"&amp;C94&amp;CHAR(10)&amp;"Mineral Soil - July 2021"</f>
        <v>JDG_Methane_YMF
Lowland_FAGR_AB3/5
Mineral Soil - July 2021</v>
      </c>
      <c r="M94" s="7" t="str">
        <f>"JDG_Methane_YMF"&amp;CHAR(10)&amp;A94&amp;"_"&amp;B94&amp;"_"&amp;C94&amp;CHAR(10)&amp;"Tree Core - MethaneTraits - 2021"</f>
        <v>JDG_Methane_YMF
Lowland_FAGR_AB3/5
Tree Core - MethaneTraits - 2021</v>
      </c>
      <c r="N94" s="7" t="str">
        <f>"JDG_Methane_YMF"&amp;CHAR(10)&amp;A94&amp;"_"&amp;B94&amp;"_"&amp;C94&amp;CHAR(10)&amp;"Tree Core - Molecular - 2021"</f>
        <v>JDG_Methane_YMF
Lowland_FAGR_AB3/5
Tree Core - Molecular - 2021</v>
      </c>
      <c r="O94" s="7" t="str">
        <f>"JDG_Methane_YMF"&amp;CHAR(10)&amp;A94&amp;"_"&amp;B94&amp;"_"&amp;C94&amp;CHAR(10)&amp;"Organic Soil - Molecular - 2021"</f>
        <v>JDG_Methane_YMF
Lowland_FAGR_AB3/5
Organic Soil - Molecular - 2021</v>
      </c>
      <c r="P94" s="7" t="str">
        <f>"JDG_Methane_YMF"&amp;CHAR(10)&amp;A94&amp;"_"&amp;B94&amp;"_"&amp;C94&amp;CHAR(10)&amp;"Mineral Soil - Molecular - 2021"</f>
        <v>JDG_Methane_YMF
Lowland_FAGR_AB3/5
Mineral Soil - Molecular - 2021</v>
      </c>
      <c r="Q94" t="str">
        <f t="shared" si="2"/>
        <v>JDG_Methane_YMF
Lowland_FAGR_AB3/5
Internal Gas - #1/2 - 2021</v>
      </c>
      <c r="R94" t="str">
        <f t="shared" si="3"/>
        <v>JDG_Methane_YMF
Lowland_FAGR_AB3/5
Internal Gas - #2/2 - 2021</v>
      </c>
    </row>
    <row r="95" spans="1:18" x14ac:dyDescent="0.2">
      <c r="A95" s="7" t="s">
        <v>59</v>
      </c>
      <c r="B95" s="7" t="s">
        <v>112</v>
      </c>
      <c r="C95" s="7" t="s">
        <v>115</v>
      </c>
      <c r="D95" s="7"/>
      <c r="E95" s="7"/>
      <c r="F95" s="7"/>
      <c r="G95" s="7">
        <v>26</v>
      </c>
      <c r="H95" s="7"/>
      <c r="I95" s="7"/>
      <c r="J95" s="7" t="str">
        <f>IF(I95="No", "Yes", "No")</f>
        <v>No</v>
      </c>
      <c r="K95" s="7" t="str">
        <f>"JDG_Methane_YMF"&amp;CHAR(10)&amp;A95&amp;"_"&amp;B95&amp;"_"&amp;C95&amp;CHAR(10)&amp;"Organic Soil - July 2021"</f>
        <v>JDG_Methane_YMF
Lowland_FAGR_AB4
Organic Soil - July 2021</v>
      </c>
      <c r="L95" s="7" t="str">
        <f>"JDG_Methane_YMF"&amp;CHAR(10)&amp;A95&amp;"_"&amp;B95&amp;"_"&amp;C95&amp;CHAR(10)&amp;"Mineral Soil - July 2021"</f>
        <v>JDG_Methane_YMF
Lowland_FAGR_AB4
Mineral Soil - July 2021</v>
      </c>
      <c r="M95" s="7" t="str">
        <f>"JDG_Methane_YMF"&amp;CHAR(10)&amp;A95&amp;"_"&amp;B95&amp;"_"&amp;C95&amp;CHAR(10)&amp;"Tree Core - MethaneTraits - 2021"</f>
        <v>JDG_Methane_YMF
Lowland_FAGR_AB4
Tree Core - MethaneTraits - 2021</v>
      </c>
      <c r="N95" s="7" t="str">
        <f>"JDG_Methane_YMF"&amp;CHAR(10)&amp;A95&amp;"_"&amp;B95&amp;"_"&amp;C95&amp;CHAR(10)&amp;"Tree Core - Molecular - 2021"</f>
        <v>JDG_Methane_YMF
Lowland_FAGR_AB4
Tree Core - Molecular - 2021</v>
      </c>
      <c r="O95" s="7" t="str">
        <f>"JDG_Methane_YMF"&amp;CHAR(10)&amp;A95&amp;"_"&amp;B95&amp;"_"&amp;C95&amp;CHAR(10)&amp;"Organic Soil - Molecular - 2021"</f>
        <v>JDG_Methane_YMF
Lowland_FAGR_AB4
Organic Soil - Molecular - 2021</v>
      </c>
      <c r="P95" s="7" t="str">
        <f>"JDG_Methane_YMF"&amp;CHAR(10)&amp;A95&amp;"_"&amp;B95&amp;"_"&amp;C95&amp;CHAR(10)&amp;"Mineral Soil - Molecular - 2021"</f>
        <v>JDG_Methane_YMF
Lowland_FAGR_AB4
Mineral Soil - Molecular - 2021</v>
      </c>
      <c r="Q95" t="str">
        <f t="shared" si="2"/>
        <v>JDG_Methane_YMF
Lowland_FAGR_AB4
Internal Gas - #1/2 - 2021</v>
      </c>
      <c r="R95" t="str">
        <f t="shared" si="3"/>
        <v>JDG_Methane_YMF
Lowland_FAGR_AB4
Internal Gas - #2/2 - 2021</v>
      </c>
    </row>
    <row r="96" spans="1:18" x14ac:dyDescent="0.2">
      <c r="A96" s="7" t="s">
        <v>59</v>
      </c>
      <c r="B96" s="7" t="s">
        <v>112</v>
      </c>
      <c r="C96" s="7" t="s">
        <v>116</v>
      </c>
      <c r="D96" s="7"/>
      <c r="E96" s="7"/>
      <c r="F96" s="7"/>
      <c r="G96" s="7">
        <v>22.5</v>
      </c>
      <c r="H96" s="7" t="s">
        <v>125</v>
      </c>
      <c r="I96" s="7"/>
      <c r="J96" s="7" t="str">
        <f>IF(I96="No", "Yes", "No")</f>
        <v>No</v>
      </c>
      <c r="K96" s="7" t="str">
        <f>"JDG_Methane_YMF"&amp;CHAR(10)&amp;A96&amp;"_"&amp;B96&amp;"_"&amp;C96&amp;CHAR(10)&amp;"Organic Soil - July 2021"</f>
        <v>JDG_Methane_YMF
Lowland_FAGR_AB4/6
Organic Soil - July 2021</v>
      </c>
      <c r="L96" s="7" t="str">
        <f>"JDG_Methane_YMF"&amp;CHAR(10)&amp;A96&amp;"_"&amp;B96&amp;"_"&amp;C96&amp;CHAR(10)&amp;"Mineral Soil - July 2021"</f>
        <v>JDG_Methane_YMF
Lowland_FAGR_AB4/6
Mineral Soil - July 2021</v>
      </c>
      <c r="M96" s="7" t="str">
        <f>"JDG_Methane_YMF"&amp;CHAR(10)&amp;A96&amp;"_"&amp;B96&amp;"_"&amp;C96&amp;CHAR(10)&amp;"Tree Core - MethaneTraits - 2021"</f>
        <v>JDG_Methane_YMF
Lowland_FAGR_AB4/6
Tree Core - MethaneTraits - 2021</v>
      </c>
      <c r="N96" s="7" t="str">
        <f>"JDG_Methane_YMF"&amp;CHAR(10)&amp;A96&amp;"_"&amp;B96&amp;"_"&amp;C96&amp;CHAR(10)&amp;"Tree Core - Molecular - 2021"</f>
        <v>JDG_Methane_YMF
Lowland_FAGR_AB4/6
Tree Core - Molecular - 2021</v>
      </c>
      <c r="O96" s="7" t="str">
        <f>"JDG_Methane_YMF"&amp;CHAR(10)&amp;A96&amp;"_"&amp;B96&amp;"_"&amp;C96&amp;CHAR(10)&amp;"Organic Soil - Molecular - 2021"</f>
        <v>JDG_Methane_YMF
Lowland_FAGR_AB4/6
Organic Soil - Molecular - 2021</v>
      </c>
      <c r="P96" s="7" t="str">
        <f>"JDG_Methane_YMF"&amp;CHAR(10)&amp;A96&amp;"_"&amp;B96&amp;"_"&amp;C96&amp;CHAR(10)&amp;"Mineral Soil - Molecular - 2021"</f>
        <v>JDG_Methane_YMF
Lowland_FAGR_AB4/6
Mineral Soil - Molecular - 2021</v>
      </c>
      <c r="Q96" t="str">
        <f t="shared" si="2"/>
        <v>JDG_Methane_YMF
Lowland_FAGR_AB4/6
Internal Gas - #1/2 - 2021</v>
      </c>
      <c r="R96" t="str">
        <f t="shared" si="3"/>
        <v>JDG_Methane_YMF
Lowland_FAGR_AB4/6
Internal Gas - #2/2 - 2021</v>
      </c>
    </row>
    <row r="97" spans="1:18" x14ac:dyDescent="0.2">
      <c r="A97" s="7" t="s">
        <v>59</v>
      </c>
      <c r="B97" s="7" t="s">
        <v>112</v>
      </c>
      <c r="C97" s="7" t="s">
        <v>118</v>
      </c>
      <c r="D97" s="7"/>
      <c r="E97" s="7"/>
      <c r="F97" s="7"/>
      <c r="G97" s="7">
        <v>36.5</v>
      </c>
      <c r="H97" s="7" t="s">
        <v>127</v>
      </c>
      <c r="I97" s="7"/>
      <c r="J97" s="7" t="str">
        <f>IF(I97="No", "Yes", "No")</f>
        <v>No</v>
      </c>
      <c r="K97" s="7" t="str">
        <f>"JDG_Methane_YMF"&amp;CHAR(10)&amp;A97&amp;"_"&amp;B97&amp;"_"&amp;C97&amp;CHAR(10)&amp;"Organic Soil - July 2021"</f>
        <v>JDG_Methane_YMF
Lowland_FAGR_AB5
Organic Soil - July 2021</v>
      </c>
      <c r="L97" s="7" t="str">
        <f>"JDG_Methane_YMF"&amp;CHAR(10)&amp;A97&amp;"_"&amp;B97&amp;"_"&amp;C97&amp;CHAR(10)&amp;"Mineral Soil - July 2021"</f>
        <v>JDG_Methane_YMF
Lowland_FAGR_AB5
Mineral Soil - July 2021</v>
      </c>
      <c r="M97" s="7" t="str">
        <f>"JDG_Methane_YMF"&amp;CHAR(10)&amp;A97&amp;"_"&amp;B97&amp;"_"&amp;C97&amp;CHAR(10)&amp;"Tree Core - MethaneTraits - 2021"</f>
        <v>JDG_Methane_YMF
Lowland_FAGR_AB5
Tree Core - MethaneTraits - 2021</v>
      </c>
      <c r="N97" s="7" t="str">
        <f>"JDG_Methane_YMF"&amp;CHAR(10)&amp;A97&amp;"_"&amp;B97&amp;"_"&amp;C97&amp;CHAR(10)&amp;"Tree Core - Molecular - 2021"</f>
        <v>JDG_Methane_YMF
Lowland_FAGR_AB5
Tree Core - Molecular - 2021</v>
      </c>
      <c r="O97" s="7" t="str">
        <f>"JDG_Methane_YMF"&amp;CHAR(10)&amp;A97&amp;"_"&amp;B97&amp;"_"&amp;C97&amp;CHAR(10)&amp;"Organic Soil - Molecular - 2021"</f>
        <v>JDG_Methane_YMF
Lowland_FAGR_AB5
Organic Soil - Molecular - 2021</v>
      </c>
      <c r="P97" s="7" t="str">
        <f>"JDG_Methane_YMF"&amp;CHAR(10)&amp;A97&amp;"_"&amp;B97&amp;"_"&amp;C97&amp;CHAR(10)&amp;"Mineral Soil - Molecular - 2021"</f>
        <v>JDG_Methane_YMF
Lowland_FAGR_AB5
Mineral Soil - Molecular - 2021</v>
      </c>
      <c r="Q97" t="str">
        <f t="shared" si="2"/>
        <v>JDG_Methane_YMF
Lowland_FAGR_AB5
Internal Gas - #1/2 - 2021</v>
      </c>
      <c r="R97" t="str">
        <f t="shared" si="3"/>
        <v>JDG_Methane_YMF
Lowland_FAGR_AB5
Internal Gas - #2/2 - 2021</v>
      </c>
    </row>
    <row r="98" spans="1:18" x14ac:dyDescent="0.2">
      <c r="A98" s="7" t="s">
        <v>59</v>
      </c>
      <c r="B98" s="7" t="s">
        <v>112</v>
      </c>
      <c r="C98" s="7" t="s">
        <v>121</v>
      </c>
      <c r="D98" s="7"/>
      <c r="E98" s="7"/>
      <c r="F98" s="7"/>
      <c r="G98" s="7">
        <v>42.5</v>
      </c>
      <c r="H98" s="7" t="s">
        <v>126</v>
      </c>
      <c r="I98" s="7"/>
      <c r="J98" s="7" t="str">
        <f>IF(I98="No", "Yes", "No")</f>
        <v>No</v>
      </c>
      <c r="K98" s="7" t="str">
        <f>"JDG_Methane_YMF"&amp;CHAR(10)&amp;A98&amp;"_"&amp;B98&amp;"_"&amp;C98&amp;CHAR(10)&amp;"Organic Soil - July 2021"</f>
        <v>JDG_Methane_YMF
Lowland_FAGR_AB6
Organic Soil - July 2021</v>
      </c>
      <c r="L98" s="7" t="str">
        <f>"JDG_Methane_YMF"&amp;CHAR(10)&amp;A98&amp;"_"&amp;B98&amp;"_"&amp;C98&amp;CHAR(10)&amp;"Mineral Soil - July 2021"</f>
        <v>JDG_Methane_YMF
Lowland_FAGR_AB6
Mineral Soil - July 2021</v>
      </c>
      <c r="M98" s="7" t="str">
        <f>"JDG_Methane_YMF"&amp;CHAR(10)&amp;A98&amp;"_"&amp;B98&amp;"_"&amp;C98&amp;CHAR(10)&amp;"Tree Core - MethaneTraits - 2021"</f>
        <v>JDG_Methane_YMF
Lowland_FAGR_AB6
Tree Core - MethaneTraits - 2021</v>
      </c>
      <c r="N98" s="7" t="str">
        <f>"JDG_Methane_YMF"&amp;CHAR(10)&amp;A98&amp;"_"&amp;B98&amp;"_"&amp;C98&amp;CHAR(10)&amp;"Tree Core - Molecular - 2021"</f>
        <v>JDG_Methane_YMF
Lowland_FAGR_AB6
Tree Core - Molecular - 2021</v>
      </c>
      <c r="O98" s="7" t="str">
        <f>"JDG_Methane_YMF"&amp;CHAR(10)&amp;A98&amp;"_"&amp;B98&amp;"_"&amp;C98&amp;CHAR(10)&amp;"Organic Soil - Molecular - 2021"</f>
        <v>JDG_Methane_YMF
Lowland_FAGR_AB6
Organic Soil - Molecular - 2021</v>
      </c>
      <c r="P98" s="7" t="str">
        <f>"JDG_Methane_YMF"&amp;CHAR(10)&amp;A98&amp;"_"&amp;B98&amp;"_"&amp;C98&amp;CHAR(10)&amp;"Mineral Soil - Molecular - 2021"</f>
        <v>JDG_Methane_YMF
Lowland_FAGR_AB6
Mineral Soil - Molecular - 2021</v>
      </c>
      <c r="Q98" t="str">
        <f t="shared" si="2"/>
        <v>JDG_Methane_YMF
Lowland_FAGR_AB6
Internal Gas - #1/2 - 2021</v>
      </c>
      <c r="R98" t="str">
        <f t="shared" si="3"/>
        <v>JDG_Methane_YMF
Lowland_FAGR_AB6
Internal Gas - #2/2 - 2021</v>
      </c>
    </row>
    <row r="99" spans="1:18" x14ac:dyDescent="0.2">
      <c r="A99" s="7" t="s">
        <v>59</v>
      </c>
      <c r="B99" s="7" t="s">
        <v>112</v>
      </c>
      <c r="C99" s="7" t="s">
        <v>122</v>
      </c>
      <c r="D99" s="7"/>
      <c r="E99" s="7"/>
      <c r="F99" s="7"/>
      <c r="G99" s="7">
        <v>31</v>
      </c>
      <c r="H99" s="7" t="s">
        <v>127</v>
      </c>
      <c r="I99" s="7"/>
      <c r="J99" s="7" t="str">
        <f>IF(I99="No", "Yes", "No")</f>
        <v>No</v>
      </c>
      <c r="K99" s="7" t="str">
        <f>"JDG_Methane_YMF"&amp;CHAR(10)&amp;A99&amp;"_"&amp;B99&amp;"_"&amp;C99&amp;CHAR(10)&amp;"Organic Soil - July 2021"</f>
        <v>JDG_Methane_YMF
Lowland_FAGR_AB6'
Organic Soil - July 2021</v>
      </c>
      <c r="L99" s="7" t="str">
        <f>"JDG_Methane_YMF"&amp;CHAR(10)&amp;A99&amp;"_"&amp;B99&amp;"_"&amp;C99&amp;CHAR(10)&amp;"Mineral Soil - July 2021"</f>
        <v>JDG_Methane_YMF
Lowland_FAGR_AB6'
Mineral Soil - July 2021</v>
      </c>
      <c r="M99" s="7" t="str">
        <f>"JDG_Methane_YMF"&amp;CHAR(10)&amp;A99&amp;"_"&amp;B99&amp;"_"&amp;C99&amp;CHAR(10)&amp;"Tree Core - MethaneTraits - 2021"</f>
        <v>JDG_Methane_YMF
Lowland_FAGR_AB6'
Tree Core - MethaneTraits - 2021</v>
      </c>
      <c r="N99" s="7" t="str">
        <f>"JDG_Methane_YMF"&amp;CHAR(10)&amp;A99&amp;"_"&amp;B99&amp;"_"&amp;C99&amp;CHAR(10)&amp;"Tree Core - Molecular - 2021"</f>
        <v>JDG_Methane_YMF
Lowland_FAGR_AB6'
Tree Core - Molecular - 2021</v>
      </c>
      <c r="O99" s="7" t="str">
        <f>"JDG_Methane_YMF"&amp;CHAR(10)&amp;A99&amp;"_"&amp;B99&amp;"_"&amp;C99&amp;CHAR(10)&amp;"Organic Soil - Molecular - 2021"</f>
        <v>JDG_Methane_YMF
Lowland_FAGR_AB6'
Organic Soil - Molecular - 2021</v>
      </c>
      <c r="P99" s="7" t="str">
        <f>"JDG_Methane_YMF"&amp;CHAR(10)&amp;A99&amp;"_"&amp;B99&amp;"_"&amp;C99&amp;CHAR(10)&amp;"Mineral Soil - Molecular - 2021"</f>
        <v>JDG_Methane_YMF
Lowland_FAGR_AB6'
Mineral Soil - Molecular - 2021</v>
      </c>
      <c r="Q99" t="str">
        <f t="shared" si="2"/>
        <v>JDG_Methane_YMF
Lowland_FAGR_AB6'
Internal Gas - #1/2 - 2021</v>
      </c>
      <c r="R99" t="str">
        <f t="shared" si="3"/>
        <v>JDG_Methane_YMF
Lowland_FAGR_AB6'
Internal Gas - #2/2 - 2021</v>
      </c>
    </row>
    <row r="100" spans="1:18" x14ac:dyDescent="0.2">
      <c r="A100" s="7" t="s">
        <v>59</v>
      </c>
      <c r="B100" s="7" t="s">
        <v>112</v>
      </c>
      <c r="C100" s="7" t="s">
        <v>119</v>
      </c>
      <c r="D100" s="7"/>
      <c r="E100" s="7"/>
      <c r="F100" s="7"/>
      <c r="G100" s="7">
        <v>26</v>
      </c>
      <c r="H100" s="7" t="s">
        <v>128</v>
      </c>
      <c r="I100" s="7"/>
      <c r="J100" s="7" t="str">
        <f>IF(I100="No", "Yes", "No")</f>
        <v>No</v>
      </c>
      <c r="K100" s="7" t="str">
        <f>"JDG_Methane_YMF"&amp;CHAR(10)&amp;A100&amp;"_"&amp;B100&amp;"_"&amp;C100&amp;CHAR(10)&amp;"Organic Soil - July 2021"</f>
        <v>JDG_Methane_YMF
Lowland_FAGR_AB8
Organic Soil - July 2021</v>
      </c>
      <c r="L100" s="7" t="str">
        <f>"JDG_Methane_YMF"&amp;CHAR(10)&amp;A100&amp;"_"&amp;B100&amp;"_"&amp;C100&amp;CHAR(10)&amp;"Mineral Soil - July 2021"</f>
        <v>JDG_Methane_YMF
Lowland_FAGR_AB8
Mineral Soil - July 2021</v>
      </c>
      <c r="M100" s="7" t="str">
        <f>"JDG_Methane_YMF"&amp;CHAR(10)&amp;A100&amp;"_"&amp;B100&amp;"_"&amp;C100&amp;CHAR(10)&amp;"Tree Core - MethaneTraits - 2021"</f>
        <v>JDG_Methane_YMF
Lowland_FAGR_AB8
Tree Core - MethaneTraits - 2021</v>
      </c>
      <c r="N100" s="7" t="str">
        <f>"JDG_Methane_YMF"&amp;CHAR(10)&amp;A100&amp;"_"&amp;B100&amp;"_"&amp;C100&amp;CHAR(10)&amp;"Tree Core - Molecular - 2021"</f>
        <v>JDG_Methane_YMF
Lowland_FAGR_AB8
Tree Core - Molecular - 2021</v>
      </c>
      <c r="O100" s="7" t="str">
        <f>"JDG_Methane_YMF"&amp;CHAR(10)&amp;A100&amp;"_"&amp;B100&amp;"_"&amp;C100&amp;CHAR(10)&amp;"Organic Soil - Molecular - 2021"</f>
        <v>JDG_Methane_YMF
Lowland_FAGR_AB8
Organic Soil - Molecular - 2021</v>
      </c>
      <c r="P100" s="7" t="str">
        <f>"JDG_Methane_YMF"&amp;CHAR(10)&amp;A100&amp;"_"&amp;B100&amp;"_"&amp;C100&amp;CHAR(10)&amp;"Mineral Soil - Molecular - 2021"</f>
        <v>JDG_Methane_YMF
Lowland_FAGR_AB8
Mineral Soil - Molecular - 2021</v>
      </c>
      <c r="Q100" t="str">
        <f t="shared" si="2"/>
        <v>JDG_Methane_YMF
Lowland_FAGR_AB8
Internal Gas - #1/2 - 2021</v>
      </c>
      <c r="R100" t="str">
        <f t="shared" si="3"/>
        <v>JDG_Methane_YMF
Lowland_FAGR_AB8
Internal Gas - #2/2 - 2021</v>
      </c>
    </row>
    <row r="101" spans="1:18" x14ac:dyDescent="0.2">
      <c r="A101" s="7" t="s">
        <v>59</v>
      </c>
      <c r="B101" s="7" t="s">
        <v>136</v>
      </c>
      <c r="C101" s="7" t="s">
        <v>57</v>
      </c>
      <c r="D101" s="7"/>
      <c r="E101" s="7"/>
      <c r="F101" s="7"/>
      <c r="G101" s="7">
        <v>45</v>
      </c>
      <c r="H101" s="7" t="s">
        <v>150</v>
      </c>
      <c r="I101" s="7"/>
      <c r="J101" s="7" t="str">
        <f>IF(I101="No", "Yes", "No")</f>
        <v>No</v>
      </c>
      <c r="K101" s="7" t="str">
        <f>"JDG_Methane_YMF"&amp;CHAR(10)&amp;A101&amp;"_"&amp;B101&amp;"_"&amp;C101&amp;CHAR(10)&amp;"Organic Soil - July 2021"</f>
        <v>JDG_Methane_YMF
Lowland_PIST_Untagged
Organic Soil - July 2021</v>
      </c>
      <c r="L101" s="7" t="str">
        <f>"JDG_Methane_YMF"&amp;CHAR(10)&amp;A101&amp;"_"&amp;B101&amp;"_"&amp;C101&amp;CHAR(10)&amp;"Mineral Soil - July 2021"</f>
        <v>JDG_Methane_YMF
Lowland_PIST_Untagged
Mineral Soil - July 2021</v>
      </c>
      <c r="M101" s="7" t="str">
        <f>"JDG_Methane_YMF"&amp;CHAR(10)&amp;A101&amp;"_"&amp;B101&amp;"_"&amp;C101&amp;CHAR(10)&amp;"Tree Core - MethaneTraits - 2021"</f>
        <v>JDG_Methane_YMF
Lowland_PIST_Untagged
Tree Core - MethaneTraits - 2021</v>
      </c>
      <c r="N101" s="7" t="str">
        <f>"JDG_Methane_YMF"&amp;CHAR(10)&amp;A101&amp;"_"&amp;B101&amp;"_"&amp;C101&amp;CHAR(10)&amp;"Tree Core - Molecular - 2021"</f>
        <v>JDG_Methane_YMF
Lowland_PIST_Untagged
Tree Core - Molecular - 2021</v>
      </c>
      <c r="O101" s="7" t="str">
        <f>"JDG_Methane_YMF"&amp;CHAR(10)&amp;A101&amp;"_"&amp;B101&amp;"_"&amp;C101&amp;CHAR(10)&amp;"Organic Soil - Molecular - 2021"</f>
        <v>JDG_Methane_YMF
Lowland_PIST_Untagged
Organic Soil - Molecular - 2021</v>
      </c>
      <c r="P101" s="7" t="str">
        <f>"JDG_Methane_YMF"&amp;CHAR(10)&amp;A101&amp;"_"&amp;B101&amp;"_"&amp;C101&amp;CHAR(10)&amp;"Mineral Soil - Molecular - 2021"</f>
        <v>JDG_Methane_YMF
Lowland_PIST_Untagged
Mineral Soil - Molecular - 2021</v>
      </c>
      <c r="Q101" t="str">
        <f t="shared" si="2"/>
        <v>JDG_Methane_YMF
Lowland_PIST_Untagged
Internal Gas - #1/2 - 2021</v>
      </c>
      <c r="R101" t="str">
        <f t="shared" si="3"/>
        <v>JDG_Methane_YMF
Lowland_PIST_Untagged
Internal Gas - #2/2 - 2021</v>
      </c>
    </row>
    <row r="102" spans="1:18" x14ac:dyDescent="0.2">
      <c r="A102" s="7" t="s">
        <v>59</v>
      </c>
      <c r="B102" s="7" t="s">
        <v>136</v>
      </c>
      <c r="C102" s="7" t="s">
        <v>57</v>
      </c>
      <c r="D102" s="7"/>
      <c r="E102" s="7"/>
      <c r="F102" s="7"/>
      <c r="G102" s="7">
        <v>64</v>
      </c>
      <c r="H102" s="7" t="s">
        <v>149</v>
      </c>
      <c r="I102" s="7"/>
      <c r="J102" s="7" t="str">
        <f>IF(I102="No", "Yes", "No")</f>
        <v>No</v>
      </c>
      <c r="K102" s="7" t="str">
        <f>"JDG_Methane_YMF"&amp;CHAR(10)&amp;A102&amp;"_"&amp;B102&amp;"_"&amp;C102&amp;CHAR(10)&amp;"Organic Soil - July 2021"</f>
        <v>JDG_Methane_YMF
Lowland_PIST_Untagged
Organic Soil - July 2021</v>
      </c>
      <c r="L102" s="7" t="str">
        <f>"JDG_Methane_YMF"&amp;CHAR(10)&amp;A102&amp;"_"&amp;B102&amp;"_"&amp;C102&amp;CHAR(10)&amp;"Mineral Soil - July 2021"</f>
        <v>JDG_Methane_YMF
Lowland_PIST_Untagged
Mineral Soil - July 2021</v>
      </c>
      <c r="M102" s="7" t="str">
        <f>"JDG_Methane_YMF"&amp;CHAR(10)&amp;A102&amp;"_"&amp;B102&amp;"_"&amp;C102&amp;CHAR(10)&amp;"Tree Core - MethaneTraits - 2021"</f>
        <v>JDG_Methane_YMF
Lowland_PIST_Untagged
Tree Core - MethaneTraits - 2021</v>
      </c>
      <c r="N102" s="7" t="str">
        <f>"JDG_Methane_YMF"&amp;CHAR(10)&amp;A102&amp;"_"&amp;B102&amp;"_"&amp;C102&amp;CHAR(10)&amp;"Tree Core - Molecular - 2021"</f>
        <v>JDG_Methane_YMF
Lowland_PIST_Untagged
Tree Core - Molecular - 2021</v>
      </c>
      <c r="O102" s="7" t="str">
        <f>"JDG_Methane_YMF"&amp;CHAR(10)&amp;A102&amp;"_"&amp;B102&amp;"_"&amp;C102&amp;CHAR(10)&amp;"Organic Soil - Molecular - 2021"</f>
        <v>JDG_Methane_YMF
Lowland_PIST_Untagged
Organic Soil - Molecular - 2021</v>
      </c>
      <c r="P102" s="7" t="str">
        <f>"JDG_Methane_YMF"&amp;CHAR(10)&amp;A102&amp;"_"&amp;B102&amp;"_"&amp;C102&amp;CHAR(10)&amp;"Mineral Soil - Molecular - 2021"</f>
        <v>JDG_Methane_YMF
Lowland_PIST_Untagged
Mineral Soil - Molecular - 2021</v>
      </c>
      <c r="Q102" t="str">
        <f t="shared" si="2"/>
        <v>JDG_Methane_YMF
Lowland_PIST_Untagged
Internal Gas - #1/2 - 2021</v>
      </c>
      <c r="R102" t="str">
        <f t="shared" si="3"/>
        <v>JDG_Methane_YMF
Lowland_PIST_Untagged
Internal Gas - #2/2 - 2021</v>
      </c>
    </row>
    <row r="103" spans="1:18" x14ac:dyDescent="0.2">
      <c r="A103" s="7" t="s">
        <v>59</v>
      </c>
      <c r="B103" s="7" t="s">
        <v>136</v>
      </c>
      <c r="C103" s="7" t="s">
        <v>137</v>
      </c>
      <c r="D103" s="7"/>
      <c r="E103" s="7"/>
      <c r="F103" s="7"/>
      <c r="G103" s="7">
        <v>72</v>
      </c>
      <c r="H103" s="7"/>
      <c r="I103" s="7"/>
      <c r="J103" s="7" t="str">
        <f>IF(I103="No", "Yes", "No")</f>
        <v>No</v>
      </c>
      <c r="K103" s="7" t="str">
        <f>"JDG_Methane_YMF"&amp;CHAR(10)&amp;A103&amp;"_"&amp;B103&amp;"_"&amp;C103&amp;CHAR(10)&amp;"Organic Soil - July 2021"</f>
        <v>JDG_Methane_YMF
Lowland_PIST_WP1
Organic Soil - July 2021</v>
      </c>
      <c r="L103" s="7" t="str">
        <f>"JDG_Methane_YMF"&amp;CHAR(10)&amp;A103&amp;"_"&amp;B103&amp;"_"&amp;C103&amp;CHAR(10)&amp;"Mineral Soil - July 2021"</f>
        <v>JDG_Methane_YMF
Lowland_PIST_WP1
Mineral Soil - July 2021</v>
      </c>
      <c r="M103" s="7" t="str">
        <f>"JDG_Methane_YMF"&amp;CHAR(10)&amp;A103&amp;"_"&amp;B103&amp;"_"&amp;C103&amp;CHAR(10)&amp;"Tree Core - MethaneTraits - 2021"</f>
        <v>JDG_Methane_YMF
Lowland_PIST_WP1
Tree Core - MethaneTraits - 2021</v>
      </c>
      <c r="N103" s="7" t="str">
        <f>"JDG_Methane_YMF"&amp;CHAR(10)&amp;A103&amp;"_"&amp;B103&amp;"_"&amp;C103&amp;CHAR(10)&amp;"Tree Core - Molecular - 2021"</f>
        <v>JDG_Methane_YMF
Lowland_PIST_WP1
Tree Core - Molecular - 2021</v>
      </c>
      <c r="O103" s="7" t="str">
        <f>"JDG_Methane_YMF"&amp;CHAR(10)&amp;A103&amp;"_"&amp;B103&amp;"_"&amp;C103&amp;CHAR(10)&amp;"Organic Soil - Molecular - 2021"</f>
        <v>JDG_Methane_YMF
Lowland_PIST_WP1
Organic Soil - Molecular - 2021</v>
      </c>
      <c r="P103" s="7" t="str">
        <f>"JDG_Methane_YMF"&amp;CHAR(10)&amp;A103&amp;"_"&amp;B103&amp;"_"&amp;C103&amp;CHAR(10)&amp;"Mineral Soil - Molecular - 2021"</f>
        <v>JDG_Methane_YMF
Lowland_PIST_WP1
Mineral Soil - Molecular - 2021</v>
      </c>
      <c r="Q103" t="str">
        <f t="shared" si="2"/>
        <v>JDG_Methane_YMF
Lowland_PIST_WP1
Internal Gas - #1/2 - 2021</v>
      </c>
      <c r="R103" t="str">
        <f t="shared" si="3"/>
        <v>JDG_Methane_YMF
Lowland_PIST_WP1
Internal Gas - #2/2 - 2021</v>
      </c>
    </row>
    <row r="104" spans="1:18" x14ac:dyDescent="0.2">
      <c r="A104" s="7" t="s">
        <v>59</v>
      </c>
      <c r="B104" s="7" t="s">
        <v>136</v>
      </c>
      <c r="C104" s="7" t="s">
        <v>144</v>
      </c>
      <c r="D104" s="7"/>
      <c r="E104" s="7"/>
      <c r="F104" s="7"/>
      <c r="G104" s="7">
        <v>48.5</v>
      </c>
      <c r="H104" s="7"/>
      <c r="I104" s="7"/>
      <c r="J104" s="7" t="str">
        <f>IF(I104="No", "Yes", "No")</f>
        <v>No</v>
      </c>
      <c r="K104" s="7" t="str">
        <f>"JDG_Methane_YMF"&amp;CHAR(10)&amp;A104&amp;"_"&amp;B104&amp;"_"&amp;C104&amp;CHAR(10)&amp;"Organic Soil - July 2021"</f>
        <v>JDG_Methane_YMF
Lowland_PIST_WP10
Organic Soil - July 2021</v>
      </c>
      <c r="L104" s="7" t="str">
        <f>"JDG_Methane_YMF"&amp;CHAR(10)&amp;A104&amp;"_"&amp;B104&amp;"_"&amp;C104&amp;CHAR(10)&amp;"Mineral Soil - July 2021"</f>
        <v>JDG_Methane_YMF
Lowland_PIST_WP10
Mineral Soil - July 2021</v>
      </c>
      <c r="M104" s="7" t="str">
        <f>"JDG_Methane_YMF"&amp;CHAR(10)&amp;A104&amp;"_"&amp;B104&amp;"_"&amp;C104&amp;CHAR(10)&amp;"Tree Core - MethaneTraits - 2021"</f>
        <v>JDG_Methane_YMF
Lowland_PIST_WP10
Tree Core - MethaneTraits - 2021</v>
      </c>
      <c r="N104" s="7" t="str">
        <f>"JDG_Methane_YMF"&amp;CHAR(10)&amp;A104&amp;"_"&amp;B104&amp;"_"&amp;C104&amp;CHAR(10)&amp;"Tree Core - Molecular - 2021"</f>
        <v>JDG_Methane_YMF
Lowland_PIST_WP10
Tree Core - Molecular - 2021</v>
      </c>
      <c r="O104" s="7" t="str">
        <f>"JDG_Methane_YMF"&amp;CHAR(10)&amp;A104&amp;"_"&amp;B104&amp;"_"&amp;C104&amp;CHAR(10)&amp;"Organic Soil - Molecular - 2021"</f>
        <v>JDG_Methane_YMF
Lowland_PIST_WP10
Organic Soil - Molecular - 2021</v>
      </c>
      <c r="P104" s="7" t="str">
        <f>"JDG_Methane_YMF"&amp;CHAR(10)&amp;A104&amp;"_"&amp;B104&amp;"_"&amp;C104&amp;CHAR(10)&amp;"Mineral Soil - Molecular - 2021"</f>
        <v>JDG_Methane_YMF
Lowland_PIST_WP10
Mineral Soil - Molecular - 2021</v>
      </c>
      <c r="Q104" t="str">
        <f t="shared" si="2"/>
        <v>JDG_Methane_YMF
Lowland_PIST_WP10
Internal Gas - #1/2 - 2021</v>
      </c>
      <c r="R104" t="str">
        <f t="shared" si="3"/>
        <v>JDG_Methane_YMF
Lowland_PIST_WP10
Internal Gas - #2/2 - 2021</v>
      </c>
    </row>
    <row r="105" spans="1:18" x14ac:dyDescent="0.2">
      <c r="A105" s="7" t="s">
        <v>59</v>
      </c>
      <c r="B105" s="7" t="s">
        <v>136</v>
      </c>
      <c r="C105" s="7" t="s">
        <v>145</v>
      </c>
      <c r="D105" s="7"/>
      <c r="E105" s="7"/>
      <c r="F105" s="7"/>
      <c r="G105" s="7">
        <v>33</v>
      </c>
      <c r="H105" s="7"/>
      <c r="I105" s="7"/>
      <c r="J105" s="7" t="str">
        <f>IF(I105="No", "Yes", "No")</f>
        <v>No</v>
      </c>
      <c r="K105" s="7" t="str">
        <f>"JDG_Methane_YMF"&amp;CHAR(10)&amp;A105&amp;"_"&amp;B105&amp;"_"&amp;C105&amp;CHAR(10)&amp;"Organic Soil - July 2021"</f>
        <v>JDG_Methane_YMF
Lowland_PIST_WP11
Organic Soil - July 2021</v>
      </c>
      <c r="L105" s="7" t="str">
        <f>"JDG_Methane_YMF"&amp;CHAR(10)&amp;A105&amp;"_"&amp;B105&amp;"_"&amp;C105&amp;CHAR(10)&amp;"Mineral Soil - July 2021"</f>
        <v>JDG_Methane_YMF
Lowland_PIST_WP11
Mineral Soil - July 2021</v>
      </c>
      <c r="M105" s="7" t="str">
        <f>"JDG_Methane_YMF"&amp;CHAR(10)&amp;A105&amp;"_"&amp;B105&amp;"_"&amp;C105&amp;CHAR(10)&amp;"Tree Core - MethaneTraits - 2021"</f>
        <v>JDG_Methane_YMF
Lowland_PIST_WP11
Tree Core - MethaneTraits - 2021</v>
      </c>
      <c r="N105" s="7" t="str">
        <f>"JDG_Methane_YMF"&amp;CHAR(10)&amp;A105&amp;"_"&amp;B105&amp;"_"&amp;C105&amp;CHAR(10)&amp;"Tree Core - Molecular - 2021"</f>
        <v>JDG_Methane_YMF
Lowland_PIST_WP11
Tree Core - Molecular - 2021</v>
      </c>
      <c r="O105" s="7" t="str">
        <f>"JDG_Methane_YMF"&amp;CHAR(10)&amp;A105&amp;"_"&amp;B105&amp;"_"&amp;C105&amp;CHAR(10)&amp;"Organic Soil - Molecular - 2021"</f>
        <v>JDG_Methane_YMF
Lowland_PIST_WP11
Organic Soil - Molecular - 2021</v>
      </c>
      <c r="P105" s="7" t="str">
        <f>"JDG_Methane_YMF"&amp;CHAR(10)&amp;A105&amp;"_"&amp;B105&amp;"_"&amp;C105&amp;CHAR(10)&amp;"Mineral Soil - Molecular - 2021"</f>
        <v>JDG_Methane_YMF
Lowland_PIST_WP11
Mineral Soil - Molecular - 2021</v>
      </c>
      <c r="Q105" t="str">
        <f t="shared" si="2"/>
        <v>JDG_Methane_YMF
Lowland_PIST_WP11
Internal Gas - #1/2 - 2021</v>
      </c>
      <c r="R105" t="str">
        <f t="shared" si="3"/>
        <v>JDG_Methane_YMF
Lowland_PIST_WP11
Internal Gas - #2/2 - 2021</v>
      </c>
    </row>
    <row r="106" spans="1:18" x14ac:dyDescent="0.2">
      <c r="A106" s="7" t="s">
        <v>59</v>
      </c>
      <c r="B106" s="7" t="s">
        <v>136</v>
      </c>
      <c r="C106" s="7" t="s">
        <v>146</v>
      </c>
      <c r="D106" s="7"/>
      <c r="E106" s="7"/>
      <c r="F106" s="7"/>
      <c r="G106" s="7">
        <v>52.5</v>
      </c>
      <c r="H106" s="7"/>
      <c r="I106" s="7"/>
      <c r="J106" s="7" t="str">
        <f>IF(I106="No", "Yes", "No")</f>
        <v>No</v>
      </c>
      <c r="K106" s="7" t="str">
        <f>"JDG_Methane_YMF"&amp;CHAR(10)&amp;A106&amp;"_"&amp;B106&amp;"_"&amp;C106&amp;CHAR(10)&amp;"Organic Soil - July 2021"</f>
        <v>JDG_Methane_YMF
Lowland_PIST_WP12
Organic Soil - July 2021</v>
      </c>
      <c r="L106" s="7" t="str">
        <f>"JDG_Methane_YMF"&amp;CHAR(10)&amp;A106&amp;"_"&amp;B106&amp;"_"&amp;C106&amp;CHAR(10)&amp;"Mineral Soil - July 2021"</f>
        <v>JDG_Methane_YMF
Lowland_PIST_WP12
Mineral Soil - July 2021</v>
      </c>
      <c r="M106" s="7" t="str">
        <f>"JDG_Methane_YMF"&amp;CHAR(10)&amp;A106&amp;"_"&amp;B106&amp;"_"&amp;C106&amp;CHAR(10)&amp;"Tree Core - MethaneTraits - 2021"</f>
        <v>JDG_Methane_YMF
Lowland_PIST_WP12
Tree Core - MethaneTraits - 2021</v>
      </c>
      <c r="N106" s="7" t="str">
        <f>"JDG_Methane_YMF"&amp;CHAR(10)&amp;A106&amp;"_"&amp;B106&amp;"_"&amp;C106&amp;CHAR(10)&amp;"Tree Core - Molecular - 2021"</f>
        <v>JDG_Methane_YMF
Lowland_PIST_WP12
Tree Core - Molecular - 2021</v>
      </c>
      <c r="O106" s="7" t="str">
        <f>"JDG_Methane_YMF"&amp;CHAR(10)&amp;A106&amp;"_"&amp;B106&amp;"_"&amp;C106&amp;CHAR(10)&amp;"Organic Soil - Molecular - 2021"</f>
        <v>JDG_Methane_YMF
Lowland_PIST_WP12
Organic Soil - Molecular - 2021</v>
      </c>
      <c r="P106" s="7" t="str">
        <f>"JDG_Methane_YMF"&amp;CHAR(10)&amp;A106&amp;"_"&amp;B106&amp;"_"&amp;C106&amp;CHAR(10)&amp;"Mineral Soil - Molecular - 2021"</f>
        <v>JDG_Methane_YMF
Lowland_PIST_WP12
Mineral Soil - Molecular - 2021</v>
      </c>
      <c r="Q106" t="str">
        <f t="shared" si="2"/>
        <v>JDG_Methane_YMF
Lowland_PIST_WP12
Internal Gas - #1/2 - 2021</v>
      </c>
      <c r="R106" t="str">
        <f t="shared" si="3"/>
        <v>JDG_Methane_YMF
Lowland_PIST_WP12
Internal Gas - #2/2 - 2021</v>
      </c>
    </row>
    <row r="107" spans="1:18" x14ac:dyDescent="0.2">
      <c r="A107" s="7" t="s">
        <v>59</v>
      </c>
      <c r="B107" s="7" t="s">
        <v>136</v>
      </c>
      <c r="C107" s="7" t="s">
        <v>147</v>
      </c>
      <c r="D107" s="7"/>
      <c r="E107" s="7"/>
      <c r="F107" s="7"/>
      <c r="G107" s="7">
        <v>26</v>
      </c>
      <c r="H107" s="7"/>
      <c r="I107" s="7"/>
      <c r="J107" s="7" t="str">
        <f>IF(I107="No", "Yes", "No")</f>
        <v>No</v>
      </c>
      <c r="K107" s="7" t="str">
        <f>"JDG_Methane_YMF"&amp;CHAR(10)&amp;A107&amp;"_"&amp;B107&amp;"_"&amp;C107&amp;CHAR(10)&amp;"Organic Soil - July 2021"</f>
        <v>JDG_Methane_YMF
Lowland_PIST_WP13
Organic Soil - July 2021</v>
      </c>
      <c r="L107" s="7" t="str">
        <f>"JDG_Methane_YMF"&amp;CHAR(10)&amp;A107&amp;"_"&amp;B107&amp;"_"&amp;C107&amp;CHAR(10)&amp;"Mineral Soil - July 2021"</f>
        <v>JDG_Methane_YMF
Lowland_PIST_WP13
Mineral Soil - July 2021</v>
      </c>
      <c r="M107" s="7" t="str">
        <f>"JDG_Methane_YMF"&amp;CHAR(10)&amp;A107&amp;"_"&amp;B107&amp;"_"&amp;C107&amp;CHAR(10)&amp;"Tree Core - MethaneTraits - 2021"</f>
        <v>JDG_Methane_YMF
Lowland_PIST_WP13
Tree Core - MethaneTraits - 2021</v>
      </c>
      <c r="N107" s="7" t="str">
        <f>"JDG_Methane_YMF"&amp;CHAR(10)&amp;A107&amp;"_"&amp;B107&amp;"_"&amp;C107&amp;CHAR(10)&amp;"Tree Core - Molecular - 2021"</f>
        <v>JDG_Methane_YMF
Lowland_PIST_WP13
Tree Core - Molecular - 2021</v>
      </c>
      <c r="O107" s="7" t="str">
        <f>"JDG_Methane_YMF"&amp;CHAR(10)&amp;A107&amp;"_"&amp;B107&amp;"_"&amp;C107&amp;CHAR(10)&amp;"Organic Soil - Molecular - 2021"</f>
        <v>JDG_Methane_YMF
Lowland_PIST_WP13
Organic Soil - Molecular - 2021</v>
      </c>
      <c r="P107" s="7" t="str">
        <f>"JDG_Methane_YMF"&amp;CHAR(10)&amp;A107&amp;"_"&amp;B107&amp;"_"&amp;C107&amp;CHAR(10)&amp;"Mineral Soil - Molecular - 2021"</f>
        <v>JDG_Methane_YMF
Lowland_PIST_WP13
Mineral Soil - Molecular - 2021</v>
      </c>
      <c r="Q107" t="str">
        <f t="shared" si="2"/>
        <v>JDG_Methane_YMF
Lowland_PIST_WP13
Internal Gas - #1/2 - 2021</v>
      </c>
      <c r="R107" t="str">
        <f t="shared" si="3"/>
        <v>JDG_Methane_YMF
Lowland_PIST_WP13
Internal Gas - #2/2 - 2021</v>
      </c>
    </row>
    <row r="108" spans="1:18" x14ac:dyDescent="0.2">
      <c r="A108" s="7" t="s">
        <v>59</v>
      </c>
      <c r="B108" s="7" t="s">
        <v>136</v>
      </c>
      <c r="C108" s="7" t="s">
        <v>148</v>
      </c>
      <c r="D108" s="7"/>
      <c r="E108" s="7"/>
      <c r="F108" s="7"/>
      <c r="G108" s="7">
        <v>27</v>
      </c>
      <c r="H108" s="7"/>
      <c r="I108" s="7"/>
      <c r="J108" s="7" t="str">
        <f>IF(I108="No", "Yes", "No")</f>
        <v>No</v>
      </c>
      <c r="K108" s="7" t="str">
        <f>"JDG_Methane_YMF"&amp;CHAR(10)&amp;A108&amp;"_"&amp;B108&amp;"_"&amp;C108&amp;CHAR(10)&amp;"Organic Soil - July 2021"</f>
        <v>JDG_Methane_YMF
Lowland_PIST_WP14
Organic Soil - July 2021</v>
      </c>
      <c r="L108" s="7" t="str">
        <f>"JDG_Methane_YMF"&amp;CHAR(10)&amp;A108&amp;"_"&amp;B108&amp;"_"&amp;C108&amp;CHAR(10)&amp;"Mineral Soil - July 2021"</f>
        <v>JDG_Methane_YMF
Lowland_PIST_WP14
Mineral Soil - July 2021</v>
      </c>
      <c r="M108" s="7" t="str">
        <f>"JDG_Methane_YMF"&amp;CHAR(10)&amp;A108&amp;"_"&amp;B108&amp;"_"&amp;C108&amp;CHAR(10)&amp;"Tree Core - MethaneTraits - 2021"</f>
        <v>JDG_Methane_YMF
Lowland_PIST_WP14
Tree Core - MethaneTraits - 2021</v>
      </c>
      <c r="N108" s="7" t="str">
        <f>"JDG_Methane_YMF"&amp;CHAR(10)&amp;A108&amp;"_"&amp;B108&amp;"_"&amp;C108&amp;CHAR(10)&amp;"Tree Core - Molecular - 2021"</f>
        <v>JDG_Methane_YMF
Lowland_PIST_WP14
Tree Core - Molecular - 2021</v>
      </c>
      <c r="O108" s="7" t="str">
        <f>"JDG_Methane_YMF"&amp;CHAR(10)&amp;A108&amp;"_"&amp;B108&amp;"_"&amp;C108&amp;CHAR(10)&amp;"Organic Soil - Molecular - 2021"</f>
        <v>JDG_Methane_YMF
Lowland_PIST_WP14
Organic Soil - Molecular - 2021</v>
      </c>
      <c r="P108" s="7" t="str">
        <f>"JDG_Methane_YMF"&amp;CHAR(10)&amp;A108&amp;"_"&amp;B108&amp;"_"&amp;C108&amp;CHAR(10)&amp;"Mineral Soil - Molecular - 2021"</f>
        <v>JDG_Methane_YMF
Lowland_PIST_WP14
Mineral Soil - Molecular - 2021</v>
      </c>
      <c r="Q108" t="str">
        <f t="shared" si="2"/>
        <v>JDG_Methane_YMF
Lowland_PIST_WP14
Internal Gas - #1/2 - 2021</v>
      </c>
      <c r="R108" t="str">
        <f t="shared" si="3"/>
        <v>JDG_Methane_YMF
Lowland_PIST_WP14
Internal Gas - #2/2 - 2021</v>
      </c>
    </row>
    <row r="109" spans="1:18" x14ac:dyDescent="0.2">
      <c r="A109" s="7" t="s">
        <v>59</v>
      </c>
      <c r="B109" s="7" t="s">
        <v>136</v>
      </c>
      <c r="C109" s="7" t="s">
        <v>134</v>
      </c>
      <c r="D109" s="7"/>
      <c r="E109" s="7"/>
      <c r="F109" s="7"/>
      <c r="G109" s="7">
        <v>34</v>
      </c>
      <c r="H109" s="7"/>
      <c r="I109" s="7"/>
      <c r="J109" s="7" t="str">
        <f>IF(I109="No", "Yes", "No")</f>
        <v>No</v>
      </c>
      <c r="K109" s="7" t="str">
        <f>"JDG_Methane_YMF"&amp;CHAR(10)&amp;A109&amp;"_"&amp;B109&amp;"_"&amp;C109&amp;CHAR(10)&amp;"Organic Soil - July 2021"</f>
        <v>JDG_Methane_YMF
Lowland_PIST_WP2
Organic Soil - July 2021</v>
      </c>
      <c r="L109" s="7" t="str">
        <f>"JDG_Methane_YMF"&amp;CHAR(10)&amp;A109&amp;"_"&amp;B109&amp;"_"&amp;C109&amp;CHAR(10)&amp;"Mineral Soil - July 2021"</f>
        <v>JDG_Methane_YMF
Lowland_PIST_WP2
Mineral Soil - July 2021</v>
      </c>
      <c r="M109" s="7" t="str">
        <f>"JDG_Methane_YMF"&amp;CHAR(10)&amp;A109&amp;"_"&amp;B109&amp;"_"&amp;C109&amp;CHAR(10)&amp;"Tree Core - MethaneTraits - 2021"</f>
        <v>JDG_Methane_YMF
Lowland_PIST_WP2
Tree Core - MethaneTraits - 2021</v>
      </c>
      <c r="N109" s="7" t="str">
        <f>"JDG_Methane_YMF"&amp;CHAR(10)&amp;A109&amp;"_"&amp;B109&amp;"_"&amp;C109&amp;CHAR(10)&amp;"Tree Core - Molecular - 2021"</f>
        <v>JDG_Methane_YMF
Lowland_PIST_WP2
Tree Core - Molecular - 2021</v>
      </c>
      <c r="O109" s="7" t="str">
        <f>"JDG_Methane_YMF"&amp;CHAR(10)&amp;A109&amp;"_"&amp;B109&amp;"_"&amp;C109&amp;CHAR(10)&amp;"Organic Soil - Molecular - 2021"</f>
        <v>JDG_Methane_YMF
Lowland_PIST_WP2
Organic Soil - Molecular - 2021</v>
      </c>
      <c r="P109" s="7" t="str">
        <f>"JDG_Methane_YMF"&amp;CHAR(10)&amp;A109&amp;"_"&amp;B109&amp;"_"&amp;C109&amp;CHAR(10)&amp;"Mineral Soil - Molecular - 2021"</f>
        <v>JDG_Methane_YMF
Lowland_PIST_WP2
Mineral Soil - Molecular - 2021</v>
      </c>
      <c r="Q109" t="str">
        <f t="shared" si="2"/>
        <v>JDG_Methane_YMF
Lowland_PIST_WP2
Internal Gas - #1/2 - 2021</v>
      </c>
      <c r="R109" t="str">
        <f t="shared" si="3"/>
        <v>JDG_Methane_YMF
Lowland_PIST_WP2
Internal Gas - #2/2 - 2021</v>
      </c>
    </row>
    <row r="110" spans="1:18" x14ac:dyDescent="0.2">
      <c r="A110" s="7" t="s">
        <v>59</v>
      </c>
      <c r="B110" s="7" t="s">
        <v>136</v>
      </c>
      <c r="C110" s="7" t="s">
        <v>138</v>
      </c>
      <c r="D110" s="7"/>
      <c r="E110" s="7"/>
      <c r="F110" s="7"/>
      <c r="G110" s="7">
        <v>70</v>
      </c>
      <c r="H110" s="7"/>
      <c r="I110" s="7"/>
      <c r="J110" s="7" t="str">
        <f>IF(I110="No", "Yes", "No")</f>
        <v>No</v>
      </c>
      <c r="K110" s="7" t="str">
        <f>"JDG_Methane_YMF"&amp;CHAR(10)&amp;A110&amp;"_"&amp;B110&amp;"_"&amp;C110&amp;CHAR(10)&amp;"Organic Soil - July 2021"</f>
        <v>JDG_Methane_YMF
Lowland_PIST_WP3
Organic Soil - July 2021</v>
      </c>
      <c r="L110" s="7" t="str">
        <f>"JDG_Methane_YMF"&amp;CHAR(10)&amp;A110&amp;"_"&amp;B110&amp;"_"&amp;C110&amp;CHAR(10)&amp;"Mineral Soil - July 2021"</f>
        <v>JDG_Methane_YMF
Lowland_PIST_WP3
Mineral Soil - July 2021</v>
      </c>
      <c r="M110" s="7" t="str">
        <f>"JDG_Methane_YMF"&amp;CHAR(10)&amp;A110&amp;"_"&amp;B110&amp;"_"&amp;C110&amp;CHAR(10)&amp;"Tree Core - MethaneTraits - 2021"</f>
        <v>JDG_Methane_YMF
Lowland_PIST_WP3
Tree Core - MethaneTraits - 2021</v>
      </c>
      <c r="N110" s="7" t="str">
        <f>"JDG_Methane_YMF"&amp;CHAR(10)&amp;A110&amp;"_"&amp;B110&amp;"_"&amp;C110&amp;CHAR(10)&amp;"Tree Core - Molecular - 2021"</f>
        <v>JDG_Methane_YMF
Lowland_PIST_WP3
Tree Core - Molecular - 2021</v>
      </c>
      <c r="O110" s="7" t="str">
        <f>"JDG_Methane_YMF"&amp;CHAR(10)&amp;A110&amp;"_"&amp;B110&amp;"_"&amp;C110&amp;CHAR(10)&amp;"Organic Soil - Molecular - 2021"</f>
        <v>JDG_Methane_YMF
Lowland_PIST_WP3
Organic Soil - Molecular - 2021</v>
      </c>
      <c r="P110" s="7" t="str">
        <f>"JDG_Methane_YMF"&amp;CHAR(10)&amp;A110&amp;"_"&amp;B110&amp;"_"&amp;C110&amp;CHAR(10)&amp;"Mineral Soil - Molecular - 2021"</f>
        <v>JDG_Methane_YMF
Lowland_PIST_WP3
Mineral Soil - Molecular - 2021</v>
      </c>
      <c r="Q110" t="str">
        <f t="shared" si="2"/>
        <v>JDG_Methane_YMF
Lowland_PIST_WP3
Internal Gas - #1/2 - 2021</v>
      </c>
      <c r="R110" t="str">
        <f t="shared" si="3"/>
        <v>JDG_Methane_YMF
Lowland_PIST_WP3
Internal Gas - #2/2 - 2021</v>
      </c>
    </row>
    <row r="111" spans="1:18" x14ac:dyDescent="0.2">
      <c r="A111" s="7" t="s">
        <v>59</v>
      </c>
      <c r="B111" s="7" t="s">
        <v>136</v>
      </c>
      <c r="C111" s="7" t="s">
        <v>139</v>
      </c>
      <c r="D111" s="7"/>
      <c r="E111" s="7"/>
      <c r="F111" s="7"/>
      <c r="G111" s="7">
        <v>58.5</v>
      </c>
      <c r="H111" s="7"/>
      <c r="I111" s="7"/>
      <c r="J111" s="7" t="str">
        <f>IF(I111="No", "Yes", "No")</f>
        <v>No</v>
      </c>
      <c r="K111" s="7" t="str">
        <f>"JDG_Methane_YMF"&amp;CHAR(10)&amp;A111&amp;"_"&amp;B111&amp;"_"&amp;C111&amp;CHAR(10)&amp;"Organic Soil - July 2021"</f>
        <v>JDG_Methane_YMF
Lowland_PIST_WP4
Organic Soil - July 2021</v>
      </c>
      <c r="L111" s="7" t="str">
        <f>"JDG_Methane_YMF"&amp;CHAR(10)&amp;A111&amp;"_"&amp;B111&amp;"_"&amp;C111&amp;CHAR(10)&amp;"Mineral Soil - July 2021"</f>
        <v>JDG_Methane_YMF
Lowland_PIST_WP4
Mineral Soil - July 2021</v>
      </c>
      <c r="M111" s="7" t="str">
        <f>"JDG_Methane_YMF"&amp;CHAR(10)&amp;A111&amp;"_"&amp;B111&amp;"_"&amp;C111&amp;CHAR(10)&amp;"Tree Core - MethaneTraits - 2021"</f>
        <v>JDG_Methane_YMF
Lowland_PIST_WP4
Tree Core - MethaneTraits - 2021</v>
      </c>
      <c r="N111" s="7" t="str">
        <f>"JDG_Methane_YMF"&amp;CHAR(10)&amp;A111&amp;"_"&amp;B111&amp;"_"&amp;C111&amp;CHAR(10)&amp;"Tree Core - Molecular - 2021"</f>
        <v>JDG_Methane_YMF
Lowland_PIST_WP4
Tree Core - Molecular - 2021</v>
      </c>
      <c r="O111" s="7" t="str">
        <f>"JDG_Methane_YMF"&amp;CHAR(10)&amp;A111&amp;"_"&amp;B111&amp;"_"&amp;C111&amp;CHAR(10)&amp;"Organic Soil - Molecular - 2021"</f>
        <v>JDG_Methane_YMF
Lowland_PIST_WP4
Organic Soil - Molecular - 2021</v>
      </c>
      <c r="P111" s="7" t="str">
        <f>"JDG_Methane_YMF"&amp;CHAR(10)&amp;A111&amp;"_"&amp;B111&amp;"_"&amp;C111&amp;CHAR(10)&amp;"Mineral Soil - Molecular - 2021"</f>
        <v>JDG_Methane_YMF
Lowland_PIST_WP4
Mineral Soil - Molecular - 2021</v>
      </c>
      <c r="Q111" t="str">
        <f t="shared" si="2"/>
        <v>JDG_Methane_YMF
Lowland_PIST_WP4
Internal Gas - #1/2 - 2021</v>
      </c>
      <c r="R111" t="str">
        <f t="shared" si="3"/>
        <v>JDG_Methane_YMF
Lowland_PIST_WP4
Internal Gas - #2/2 - 2021</v>
      </c>
    </row>
    <row r="112" spans="1:18" x14ac:dyDescent="0.2">
      <c r="A112" s="7" t="s">
        <v>59</v>
      </c>
      <c r="B112" s="7" t="s">
        <v>136</v>
      </c>
      <c r="C112" s="7" t="s">
        <v>140</v>
      </c>
      <c r="D112" s="7"/>
      <c r="E112" s="7"/>
      <c r="F112" s="7"/>
      <c r="G112" s="7">
        <v>69.5</v>
      </c>
      <c r="H112" s="7"/>
      <c r="I112" s="7"/>
      <c r="J112" s="7" t="str">
        <f>IF(I112="No", "Yes", "No")</f>
        <v>No</v>
      </c>
      <c r="K112" s="7" t="str">
        <f>"JDG_Methane_YMF"&amp;CHAR(10)&amp;A112&amp;"_"&amp;B112&amp;"_"&amp;C112&amp;CHAR(10)&amp;"Organic Soil - July 2021"</f>
        <v>JDG_Methane_YMF
Lowland_PIST_WP5
Organic Soil - July 2021</v>
      </c>
      <c r="L112" s="7" t="str">
        <f>"JDG_Methane_YMF"&amp;CHAR(10)&amp;A112&amp;"_"&amp;B112&amp;"_"&amp;C112&amp;CHAR(10)&amp;"Mineral Soil - July 2021"</f>
        <v>JDG_Methane_YMF
Lowland_PIST_WP5
Mineral Soil - July 2021</v>
      </c>
      <c r="M112" s="7" t="str">
        <f>"JDG_Methane_YMF"&amp;CHAR(10)&amp;A112&amp;"_"&amp;B112&amp;"_"&amp;C112&amp;CHAR(10)&amp;"Tree Core - MethaneTraits - 2021"</f>
        <v>JDG_Methane_YMF
Lowland_PIST_WP5
Tree Core - MethaneTraits - 2021</v>
      </c>
      <c r="N112" s="7" t="str">
        <f>"JDG_Methane_YMF"&amp;CHAR(10)&amp;A112&amp;"_"&amp;B112&amp;"_"&amp;C112&amp;CHAR(10)&amp;"Tree Core - Molecular - 2021"</f>
        <v>JDG_Methane_YMF
Lowland_PIST_WP5
Tree Core - Molecular - 2021</v>
      </c>
      <c r="O112" s="7" t="str">
        <f>"JDG_Methane_YMF"&amp;CHAR(10)&amp;A112&amp;"_"&amp;B112&amp;"_"&amp;C112&amp;CHAR(10)&amp;"Organic Soil - Molecular - 2021"</f>
        <v>JDG_Methane_YMF
Lowland_PIST_WP5
Organic Soil - Molecular - 2021</v>
      </c>
      <c r="P112" s="7" t="str">
        <f>"JDG_Methane_YMF"&amp;CHAR(10)&amp;A112&amp;"_"&amp;B112&amp;"_"&amp;C112&amp;CHAR(10)&amp;"Mineral Soil - Molecular - 2021"</f>
        <v>JDG_Methane_YMF
Lowland_PIST_WP5
Mineral Soil - Molecular - 2021</v>
      </c>
      <c r="Q112" t="str">
        <f t="shared" si="2"/>
        <v>JDG_Methane_YMF
Lowland_PIST_WP5
Internal Gas - #1/2 - 2021</v>
      </c>
      <c r="R112" t="str">
        <f t="shared" si="3"/>
        <v>JDG_Methane_YMF
Lowland_PIST_WP5
Internal Gas - #2/2 - 2021</v>
      </c>
    </row>
    <row r="113" spans="1:18" x14ac:dyDescent="0.2">
      <c r="A113" s="7" t="s">
        <v>59</v>
      </c>
      <c r="B113" s="7" t="s">
        <v>136</v>
      </c>
      <c r="C113" s="7" t="s">
        <v>141</v>
      </c>
      <c r="D113" s="7"/>
      <c r="E113" s="7"/>
      <c r="F113" s="7"/>
      <c r="G113" s="7">
        <v>43.5</v>
      </c>
      <c r="H113" s="7"/>
      <c r="I113" s="7"/>
      <c r="J113" s="7" t="str">
        <f>IF(I113="No", "Yes", "No")</f>
        <v>No</v>
      </c>
      <c r="K113" s="7" t="str">
        <f>"JDG_Methane_YMF"&amp;CHAR(10)&amp;A113&amp;"_"&amp;B113&amp;"_"&amp;C113&amp;CHAR(10)&amp;"Organic Soil - July 2021"</f>
        <v>JDG_Methane_YMF
Lowland_PIST_WP6
Organic Soil - July 2021</v>
      </c>
      <c r="L113" s="7" t="str">
        <f>"JDG_Methane_YMF"&amp;CHAR(10)&amp;A113&amp;"_"&amp;B113&amp;"_"&amp;C113&amp;CHAR(10)&amp;"Mineral Soil - July 2021"</f>
        <v>JDG_Methane_YMF
Lowland_PIST_WP6
Mineral Soil - July 2021</v>
      </c>
      <c r="M113" s="7" t="str">
        <f>"JDG_Methane_YMF"&amp;CHAR(10)&amp;A113&amp;"_"&amp;B113&amp;"_"&amp;C113&amp;CHAR(10)&amp;"Tree Core - MethaneTraits - 2021"</f>
        <v>JDG_Methane_YMF
Lowland_PIST_WP6
Tree Core - MethaneTraits - 2021</v>
      </c>
      <c r="N113" s="7" t="str">
        <f>"JDG_Methane_YMF"&amp;CHAR(10)&amp;A113&amp;"_"&amp;B113&amp;"_"&amp;C113&amp;CHAR(10)&amp;"Tree Core - Molecular - 2021"</f>
        <v>JDG_Methane_YMF
Lowland_PIST_WP6
Tree Core - Molecular - 2021</v>
      </c>
      <c r="O113" s="7" t="str">
        <f>"JDG_Methane_YMF"&amp;CHAR(10)&amp;A113&amp;"_"&amp;B113&amp;"_"&amp;C113&amp;CHAR(10)&amp;"Organic Soil - Molecular - 2021"</f>
        <v>JDG_Methane_YMF
Lowland_PIST_WP6
Organic Soil - Molecular - 2021</v>
      </c>
      <c r="P113" s="7" t="str">
        <f>"JDG_Methane_YMF"&amp;CHAR(10)&amp;A113&amp;"_"&amp;B113&amp;"_"&amp;C113&amp;CHAR(10)&amp;"Mineral Soil - Molecular - 2021"</f>
        <v>JDG_Methane_YMF
Lowland_PIST_WP6
Mineral Soil - Molecular - 2021</v>
      </c>
      <c r="Q113" t="str">
        <f t="shared" si="2"/>
        <v>JDG_Methane_YMF
Lowland_PIST_WP6
Internal Gas - #1/2 - 2021</v>
      </c>
      <c r="R113" t="str">
        <f t="shared" si="3"/>
        <v>JDG_Methane_YMF
Lowland_PIST_WP6
Internal Gas - #2/2 - 2021</v>
      </c>
    </row>
    <row r="114" spans="1:18" x14ac:dyDescent="0.2">
      <c r="A114" s="7" t="s">
        <v>59</v>
      </c>
      <c r="B114" s="7" t="s">
        <v>136</v>
      </c>
      <c r="C114" s="7" t="s">
        <v>142</v>
      </c>
      <c r="D114" s="7"/>
      <c r="E114" s="7"/>
      <c r="F114" s="7"/>
      <c r="G114" s="7">
        <v>48.5</v>
      </c>
      <c r="H114" s="7"/>
      <c r="I114" s="7"/>
      <c r="J114" s="7" t="str">
        <f>IF(I114="No", "Yes", "No")</f>
        <v>No</v>
      </c>
      <c r="K114" s="7" t="str">
        <f>"JDG_Methane_YMF"&amp;CHAR(10)&amp;A114&amp;"_"&amp;B114&amp;"_"&amp;C114&amp;CHAR(10)&amp;"Organic Soil - July 2021"</f>
        <v>JDG_Methane_YMF
Lowland_PIST_WP7
Organic Soil - July 2021</v>
      </c>
      <c r="L114" s="7" t="str">
        <f>"JDG_Methane_YMF"&amp;CHAR(10)&amp;A114&amp;"_"&amp;B114&amp;"_"&amp;C114&amp;CHAR(10)&amp;"Mineral Soil - July 2021"</f>
        <v>JDG_Methane_YMF
Lowland_PIST_WP7
Mineral Soil - July 2021</v>
      </c>
      <c r="M114" s="7" t="str">
        <f>"JDG_Methane_YMF"&amp;CHAR(10)&amp;A114&amp;"_"&amp;B114&amp;"_"&amp;C114&amp;CHAR(10)&amp;"Tree Core - MethaneTraits - 2021"</f>
        <v>JDG_Methane_YMF
Lowland_PIST_WP7
Tree Core - MethaneTraits - 2021</v>
      </c>
      <c r="N114" s="7" t="str">
        <f>"JDG_Methane_YMF"&amp;CHAR(10)&amp;A114&amp;"_"&amp;B114&amp;"_"&amp;C114&amp;CHAR(10)&amp;"Tree Core - Molecular - 2021"</f>
        <v>JDG_Methane_YMF
Lowland_PIST_WP7
Tree Core - Molecular - 2021</v>
      </c>
      <c r="O114" s="7" t="str">
        <f>"JDG_Methane_YMF"&amp;CHAR(10)&amp;A114&amp;"_"&amp;B114&amp;"_"&amp;C114&amp;CHAR(10)&amp;"Organic Soil - Molecular - 2021"</f>
        <v>JDG_Methane_YMF
Lowland_PIST_WP7
Organic Soil - Molecular - 2021</v>
      </c>
      <c r="P114" s="7" t="str">
        <f>"JDG_Methane_YMF"&amp;CHAR(10)&amp;A114&amp;"_"&amp;B114&amp;"_"&amp;C114&amp;CHAR(10)&amp;"Mineral Soil - Molecular - 2021"</f>
        <v>JDG_Methane_YMF
Lowland_PIST_WP7
Mineral Soil - Molecular - 2021</v>
      </c>
      <c r="Q114" t="str">
        <f t="shared" si="2"/>
        <v>JDG_Methane_YMF
Lowland_PIST_WP7
Internal Gas - #1/2 - 2021</v>
      </c>
      <c r="R114" t="str">
        <f t="shared" si="3"/>
        <v>JDG_Methane_YMF
Lowland_PIST_WP7
Internal Gas - #2/2 - 2021</v>
      </c>
    </row>
    <row r="115" spans="1:18" x14ac:dyDescent="0.2">
      <c r="A115" s="7" t="s">
        <v>59</v>
      </c>
      <c r="B115" s="7" t="s">
        <v>136</v>
      </c>
      <c r="C115" s="7" t="s">
        <v>143</v>
      </c>
      <c r="D115" s="7"/>
      <c r="E115" s="7"/>
      <c r="F115" s="7"/>
      <c r="G115" s="7">
        <v>48.5</v>
      </c>
      <c r="H115" s="7"/>
      <c r="I115" s="7"/>
      <c r="J115" s="7" t="str">
        <f>IF(I115="No", "Yes", "No")</f>
        <v>No</v>
      </c>
      <c r="K115" s="7" t="str">
        <f>"JDG_Methane_YMF"&amp;CHAR(10)&amp;A115&amp;"_"&amp;B115&amp;"_"&amp;C115&amp;CHAR(10)&amp;"Organic Soil - July 2021"</f>
        <v>JDG_Methane_YMF
Lowland_PIST_WP9
Organic Soil - July 2021</v>
      </c>
      <c r="L115" s="7" t="str">
        <f>"JDG_Methane_YMF"&amp;CHAR(10)&amp;A115&amp;"_"&amp;B115&amp;"_"&amp;C115&amp;CHAR(10)&amp;"Mineral Soil - July 2021"</f>
        <v>JDG_Methane_YMF
Lowland_PIST_WP9
Mineral Soil - July 2021</v>
      </c>
      <c r="M115" s="7" t="str">
        <f>"JDG_Methane_YMF"&amp;CHAR(10)&amp;A115&amp;"_"&amp;B115&amp;"_"&amp;C115&amp;CHAR(10)&amp;"Tree Core - MethaneTraits - 2021"</f>
        <v>JDG_Methane_YMF
Lowland_PIST_WP9
Tree Core - MethaneTraits - 2021</v>
      </c>
      <c r="N115" s="7" t="str">
        <f>"JDG_Methane_YMF"&amp;CHAR(10)&amp;A115&amp;"_"&amp;B115&amp;"_"&amp;C115&amp;CHAR(10)&amp;"Tree Core - Molecular - 2021"</f>
        <v>JDG_Methane_YMF
Lowland_PIST_WP9
Tree Core - Molecular - 2021</v>
      </c>
      <c r="O115" s="7" t="str">
        <f>"JDG_Methane_YMF"&amp;CHAR(10)&amp;A115&amp;"_"&amp;B115&amp;"_"&amp;C115&amp;CHAR(10)&amp;"Organic Soil - Molecular - 2021"</f>
        <v>JDG_Methane_YMF
Lowland_PIST_WP9
Organic Soil - Molecular - 2021</v>
      </c>
      <c r="P115" s="7" t="str">
        <f>"JDG_Methane_YMF"&amp;CHAR(10)&amp;A115&amp;"_"&amp;B115&amp;"_"&amp;C115&amp;CHAR(10)&amp;"Mineral Soil - Molecular - 2021"</f>
        <v>JDG_Methane_YMF
Lowland_PIST_WP9
Mineral Soil - Molecular - 2021</v>
      </c>
      <c r="Q115" t="str">
        <f t="shared" si="2"/>
        <v>JDG_Methane_YMF
Lowland_PIST_WP9
Internal Gas - #1/2 - 2021</v>
      </c>
      <c r="R115" t="str">
        <f t="shared" si="3"/>
        <v>JDG_Methane_YMF
Lowland_PIST_WP9
Internal Gas - #2/2 - 2021</v>
      </c>
    </row>
    <row r="116" spans="1:18" x14ac:dyDescent="0.2">
      <c r="A116" s="7" t="s">
        <v>59</v>
      </c>
      <c r="B116" s="7" t="s">
        <v>189</v>
      </c>
      <c r="C116" s="7" t="s">
        <v>192</v>
      </c>
      <c r="D116" s="7"/>
      <c r="E116" s="7"/>
      <c r="F116" s="7"/>
      <c r="G116" s="7">
        <v>28.5</v>
      </c>
      <c r="H116" s="7"/>
      <c r="I116" s="7"/>
      <c r="J116" s="7" t="str">
        <f>IF(I116="No", "Yes", "No")</f>
        <v>No</v>
      </c>
      <c r="K116" s="7" t="str">
        <f>"JDG_Methane_YMF"&amp;CHAR(10)&amp;A116&amp;"_"&amp;B116&amp;"_"&amp;C116&amp;CHAR(10)&amp;"Organic Soil - July 2021"</f>
        <v>JDG_Methane_YMF
Lowland_PRSE_BC1
Organic Soil - July 2021</v>
      </c>
      <c r="L116" s="7" t="str">
        <f>"JDG_Methane_YMF"&amp;CHAR(10)&amp;A116&amp;"_"&amp;B116&amp;"_"&amp;C116&amp;CHAR(10)&amp;"Mineral Soil - July 2021"</f>
        <v>JDG_Methane_YMF
Lowland_PRSE_BC1
Mineral Soil - July 2021</v>
      </c>
      <c r="M116" s="7" t="str">
        <f>"JDG_Methane_YMF"&amp;CHAR(10)&amp;A116&amp;"_"&amp;B116&amp;"_"&amp;C116&amp;CHAR(10)&amp;"Tree Core - MethaneTraits - 2021"</f>
        <v>JDG_Methane_YMF
Lowland_PRSE_BC1
Tree Core - MethaneTraits - 2021</v>
      </c>
      <c r="N116" s="7" t="str">
        <f>"JDG_Methane_YMF"&amp;CHAR(10)&amp;A116&amp;"_"&amp;B116&amp;"_"&amp;C116&amp;CHAR(10)&amp;"Tree Core - Molecular - 2021"</f>
        <v>JDG_Methane_YMF
Lowland_PRSE_BC1
Tree Core - Molecular - 2021</v>
      </c>
      <c r="O116" s="7" t="str">
        <f>"JDG_Methane_YMF"&amp;CHAR(10)&amp;A116&amp;"_"&amp;B116&amp;"_"&amp;C116&amp;CHAR(10)&amp;"Organic Soil - Molecular - 2021"</f>
        <v>JDG_Methane_YMF
Lowland_PRSE_BC1
Organic Soil - Molecular - 2021</v>
      </c>
      <c r="P116" s="7" t="str">
        <f>"JDG_Methane_YMF"&amp;CHAR(10)&amp;A116&amp;"_"&amp;B116&amp;"_"&amp;C116&amp;CHAR(10)&amp;"Mineral Soil - Molecular - 2021"</f>
        <v>JDG_Methane_YMF
Lowland_PRSE_BC1
Mineral Soil - Molecular - 2021</v>
      </c>
      <c r="Q116" t="str">
        <f t="shared" si="2"/>
        <v>JDG_Methane_YMF
Lowland_PRSE_BC1
Internal Gas - #1/2 - 2021</v>
      </c>
      <c r="R116" t="str">
        <f t="shared" si="3"/>
        <v>JDG_Methane_YMF
Lowland_PRSE_BC1
Internal Gas - #2/2 - 2021</v>
      </c>
    </row>
    <row r="117" spans="1:18" x14ac:dyDescent="0.2">
      <c r="A117" s="7" t="s">
        <v>59</v>
      </c>
      <c r="B117" s="7" t="s">
        <v>189</v>
      </c>
      <c r="C117" s="7" t="s">
        <v>198</v>
      </c>
      <c r="D117" s="7"/>
      <c r="E117" s="7"/>
      <c r="F117" s="7"/>
      <c r="G117" s="7">
        <v>48.5</v>
      </c>
      <c r="H117" s="7"/>
      <c r="I117" s="7"/>
      <c r="J117" s="7" t="str">
        <f>IF(I117="No", "Yes", "No")</f>
        <v>No</v>
      </c>
      <c r="K117" s="7" t="str">
        <f>"JDG_Methane_YMF"&amp;CHAR(10)&amp;A117&amp;"_"&amp;B117&amp;"_"&amp;C117&amp;CHAR(10)&amp;"Organic Soil - July 2021"</f>
        <v>JDG_Methane_YMF
Lowland_PRSE_BC4
Organic Soil - July 2021</v>
      </c>
      <c r="L117" s="7" t="str">
        <f>"JDG_Methane_YMF"&amp;CHAR(10)&amp;A117&amp;"_"&amp;B117&amp;"_"&amp;C117&amp;CHAR(10)&amp;"Mineral Soil - July 2021"</f>
        <v>JDG_Methane_YMF
Lowland_PRSE_BC4
Mineral Soil - July 2021</v>
      </c>
      <c r="M117" s="7" t="str">
        <f>"JDG_Methane_YMF"&amp;CHAR(10)&amp;A117&amp;"_"&amp;B117&amp;"_"&amp;C117&amp;CHAR(10)&amp;"Tree Core - MethaneTraits - 2021"</f>
        <v>JDG_Methane_YMF
Lowland_PRSE_BC4
Tree Core - MethaneTraits - 2021</v>
      </c>
      <c r="N117" s="7" t="str">
        <f>"JDG_Methane_YMF"&amp;CHAR(10)&amp;A117&amp;"_"&amp;B117&amp;"_"&amp;C117&amp;CHAR(10)&amp;"Tree Core - Molecular - 2021"</f>
        <v>JDG_Methane_YMF
Lowland_PRSE_BC4
Tree Core - Molecular - 2021</v>
      </c>
      <c r="O117" s="7" t="str">
        <f>"JDG_Methane_YMF"&amp;CHAR(10)&amp;A117&amp;"_"&amp;B117&amp;"_"&amp;C117&amp;CHAR(10)&amp;"Organic Soil - Molecular - 2021"</f>
        <v>JDG_Methane_YMF
Lowland_PRSE_BC4
Organic Soil - Molecular - 2021</v>
      </c>
      <c r="P117" s="7" t="str">
        <f>"JDG_Methane_YMF"&amp;CHAR(10)&amp;A117&amp;"_"&amp;B117&amp;"_"&amp;C117&amp;CHAR(10)&amp;"Mineral Soil - Molecular - 2021"</f>
        <v>JDG_Methane_YMF
Lowland_PRSE_BC4
Mineral Soil - Molecular - 2021</v>
      </c>
      <c r="Q117" t="str">
        <f t="shared" si="2"/>
        <v>JDG_Methane_YMF
Lowland_PRSE_BC4
Internal Gas - #1/2 - 2021</v>
      </c>
      <c r="R117" t="str">
        <f t="shared" si="3"/>
        <v>JDG_Methane_YMF
Lowland_PRSE_BC4
Internal Gas - #2/2 - 2021</v>
      </c>
    </row>
    <row r="118" spans="1:18" x14ac:dyDescent="0.2">
      <c r="A118" s="7" t="s">
        <v>59</v>
      </c>
      <c r="B118" s="7" t="s">
        <v>189</v>
      </c>
      <c r="C118" s="7" t="s">
        <v>199</v>
      </c>
      <c r="D118" s="7"/>
      <c r="E118" s="7"/>
      <c r="F118" s="7"/>
      <c r="G118" s="7">
        <v>34</v>
      </c>
      <c r="H118" s="7"/>
      <c r="I118" s="7"/>
      <c r="J118" s="7" t="str">
        <f>IF(I118="No", "Yes", "No")</f>
        <v>No</v>
      </c>
      <c r="K118" s="7" t="str">
        <f>"JDG_Methane_YMF"&amp;CHAR(10)&amp;A118&amp;"_"&amp;B118&amp;"_"&amp;C118&amp;CHAR(10)&amp;"Organic Soil - July 2021"</f>
        <v>JDG_Methane_YMF
Lowland_PRSE_BC5
Organic Soil - July 2021</v>
      </c>
      <c r="L118" s="7" t="str">
        <f>"JDG_Methane_YMF"&amp;CHAR(10)&amp;A118&amp;"_"&amp;B118&amp;"_"&amp;C118&amp;CHAR(10)&amp;"Mineral Soil - July 2021"</f>
        <v>JDG_Methane_YMF
Lowland_PRSE_BC5
Mineral Soil - July 2021</v>
      </c>
      <c r="M118" s="7" t="str">
        <f>"JDG_Methane_YMF"&amp;CHAR(10)&amp;A118&amp;"_"&amp;B118&amp;"_"&amp;C118&amp;CHAR(10)&amp;"Tree Core - MethaneTraits - 2021"</f>
        <v>JDG_Methane_YMF
Lowland_PRSE_BC5
Tree Core - MethaneTraits - 2021</v>
      </c>
      <c r="N118" s="7" t="str">
        <f>"JDG_Methane_YMF"&amp;CHAR(10)&amp;A118&amp;"_"&amp;B118&amp;"_"&amp;C118&amp;CHAR(10)&amp;"Tree Core - Molecular - 2021"</f>
        <v>JDG_Methane_YMF
Lowland_PRSE_BC5
Tree Core - Molecular - 2021</v>
      </c>
      <c r="O118" s="7" t="str">
        <f>"JDG_Methane_YMF"&amp;CHAR(10)&amp;A118&amp;"_"&amp;B118&amp;"_"&amp;C118&amp;CHAR(10)&amp;"Organic Soil - Molecular - 2021"</f>
        <v>JDG_Methane_YMF
Lowland_PRSE_BC5
Organic Soil - Molecular - 2021</v>
      </c>
      <c r="P118" s="7" t="str">
        <f>"JDG_Methane_YMF"&amp;CHAR(10)&amp;A118&amp;"_"&amp;B118&amp;"_"&amp;C118&amp;CHAR(10)&amp;"Mineral Soil - Molecular - 2021"</f>
        <v>JDG_Methane_YMF
Lowland_PRSE_BC5
Mineral Soil - Molecular - 2021</v>
      </c>
      <c r="Q118" t="str">
        <f t="shared" si="2"/>
        <v>JDG_Methane_YMF
Lowland_PRSE_BC5
Internal Gas - #1/2 - 2021</v>
      </c>
      <c r="R118" t="str">
        <f t="shared" si="3"/>
        <v>JDG_Methane_YMF
Lowland_PRSE_BC5
Internal Gas - #2/2 - 2021</v>
      </c>
    </row>
    <row r="119" spans="1:18" x14ac:dyDescent="0.2">
      <c r="A119" s="7" t="s">
        <v>59</v>
      </c>
      <c r="B119" s="7" t="s">
        <v>190</v>
      </c>
      <c r="C119" s="7" t="s">
        <v>197</v>
      </c>
      <c r="D119" s="7"/>
      <c r="E119" s="7"/>
      <c r="F119" s="7"/>
      <c r="G119" s="7">
        <v>39</v>
      </c>
      <c r="H119" s="7"/>
      <c r="I119" s="7"/>
      <c r="J119" s="7" t="str">
        <f>IF(I119="No", "Yes", "No")</f>
        <v>No</v>
      </c>
      <c r="K119" s="7" t="str">
        <f>"JDG_Methane_YMF"&amp;CHAR(10)&amp;A119&amp;"_"&amp;B119&amp;"_"&amp;C119&amp;CHAR(10)&amp;"Organic Soil - July 2021"</f>
        <v>JDG_Methane_YMF
Lowland_QUAL_WO1
Organic Soil - July 2021</v>
      </c>
      <c r="L119" s="7" t="str">
        <f>"JDG_Methane_YMF"&amp;CHAR(10)&amp;A119&amp;"_"&amp;B119&amp;"_"&amp;C119&amp;CHAR(10)&amp;"Mineral Soil - July 2021"</f>
        <v>JDG_Methane_YMF
Lowland_QUAL_WO1
Mineral Soil - July 2021</v>
      </c>
      <c r="M119" s="7" t="str">
        <f>"JDG_Methane_YMF"&amp;CHAR(10)&amp;A119&amp;"_"&amp;B119&amp;"_"&amp;C119&amp;CHAR(10)&amp;"Tree Core - MethaneTraits - 2021"</f>
        <v>JDG_Methane_YMF
Lowland_QUAL_WO1
Tree Core - MethaneTraits - 2021</v>
      </c>
      <c r="N119" s="7" t="str">
        <f>"JDG_Methane_YMF"&amp;CHAR(10)&amp;A119&amp;"_"&amp;B119&amp;"_"&amp;C119&amp;CHAR(10)&amp;"Tree Core - Molecular - 2021"</f>
        <v>JDG_Methane_YMF
Lowland_QUAL_WO1
Tree Core - Molecular - 2021</v>
      </c>
      <c r="O119" s="7" t="str">
        <f>"JDG_Methane_YMF"&amp;CHAR(10)&amp;A119&amp;"_"&amp;B119&amp;"_"&amp;C119&amp;CHAR(10)&amp;"Organic Soil - Molecular - 2021"</f>
        <v>JDG_Methane_YMF
Lowland_QUAL_WO1
Organic Soil - Molecular - 2021</v>
      </c>
      <c r="P119" s="7" t="str">
        <f>"JDG_Methane_YMF"&amp;CHAR(10)&amp;A119&amp;"_"&amp;B119&amp;"_"&amp;C119&amp;CHAR(10)&amp;"Mineral Soil - Molecular - 2021"</f>
        <v>JDG_Methane_YMF
Lowland_QUAL_WO1
Mineral Soil - Molecular - 2021</v>
      </c>
      <c r="Q119" t="str">
        <f t="shared" si="2"/>
        <v>JDG_Methane_YMF
Lowland_QUAL_WO1
Internal Gas - #1/2 - 2021</v>
      </c>
      <c r="R119" t="str">
        <f t="shared" si="3"/>
        <v>JDG_Methane_YMF
Lowland_QUAL_WO1
Internal Gas - #2/2 - 2021</v>
      </c>
    </row>
    <row r="120" spans="1:18" x14ac:dyDescent="0.2">
      <c r="A120" s="7" t="s">
        <v>59</v>
      </c>
      <c r="B120" s="7" t="s">
        <v>190</v>
      </c>
      <c r="C120" s="7" t="s">
        <v>194</v>
      </c>
      <c r="D120" s="7"/>
      <c r="E120" s="7"/>
      <c r="F120" s="7"/>
      <c r="G120" s="7">
        <v>41</v>
      </c>
      <c r="H120" s="7"/>
      <c r="I120" s="7"/>
      <c r="J120" s="7" t="str">
        <f>IF(I120="No", "Yes", "No")</f>
        <v>No</v>
      </c>
      <c r="K120" s="7" t="str">
        <f>"JDG_Methane_YMF"&amp;CHAR(10)&amp;A120&amp;"_"&amp;B120&amp;"_"&amp;C120&amp;CHAR(10)&amp;"Organic Soil - July 2021"</f>
        <v>JDG_Methane_YMF
Lowland_QUAL_WO2
Organic Soil - July 2021</v>
      </c>
      <c r="L120" s="7" t="str">
        <f>"JDG_Methane_YMF"&amp;CHAR(10)&amp;A120&amp;"_"&amp;B120&amp;"_"&amp;C120&amp;CHAR(10)&amp;"Mineral Soil - July 2021"</f>
        <v>JDG_Methane_YMF
Lowland_QUAL_WO2
Mineral Soil - July 2021</v>
      </c>
      <c r="M120" s="7" t="str">
        <f>"JDG_Methane_YMF"&amp;CHAR(10)&amp;A120&amp;"_"&amp;B120&amp;"_"&amp;C120&amp;CHAR(10)&amp;"Tree Core - MethaneTraits - 2021"</f>
        <v>JDG_Methane_YMF
Lowland_QUAL_WO2
Tree Core - MethaneTraits - 2021</v>
      </c>
      <c r="N120" s="7" t="str">
        <f>"JDG_Methane_YMF"&amp;CHAR(10)&amp;A120&amp;"_"&amp;B120&amp;"_"&amp;C120&amp;CHAR(10)&amp;"Tree Core - Molecular - 2021"</f>
        <v>JDG_Methane_YMF
Lowland_QUAL_WO2
Tree Core - Molecular - 2021</v>
      </c>
      <c r="O120" s="7" t="str">
        <f>"JDG_Methane_YMF"&amp;CHAR(10)&amp;A120&amp;"_"&amp;B120&amp;"_"&amp;C120&amp;CHAR(10)&amp;"Organic Soil - Molecular - 2021"</f>
        <v>JDG_Methane_YMF
Lowland_QUAL_WO2
Organic Soil - Molecular - 2021</v>
      </c>
      <c r="P120" s="7" t="str">
        <f>"JDG_Methane_YMF"&amp;CHAR(10)&amp;A120&amp;"_"&amp;B120&amp;"_"&amp;C120&amp;CHAR(10)&amp;"Mineral Soil - Molecular - 2021"</f>
        <v>JDG_Methane_YMF
Lowland_QUAL_WO2
Mineral Soil - Molecular - 2021</v>
      </c>
      <c r="Q120" t="str">
        <f t="shared" si="2"/>
        <v>JDG_Methane_YMF
Lowland_QUAL_WO2
Internal Gas - #1/2 - 2021</v>
      </c>
      <c r="R120" t="str">
        <f t="shared" si="3"/>
        <v>JDG_Methane_YMF
Lowland_QUAL_WO2
Internal Gas - #2/2 - 2021</v>
      </c>
    </row>
    <row r="121" spans="1:18" x14ac:dyDescent="0.2">
      <c r="A121" s="7" t="s">
        <v>59</v>
      </c>
      <c r="B121" s="7" t="s">
        <v>22</v>
      </c>
      <c r="C121" s="7" t="s">
        <v>23</v>
      </c>
      <c r="D121" s="7"/>
      <c r="E121" s="7"/>
      <c r="F121" s="7"/>
      <c r="G121" s="7">
        <v>55</v>
      </c>
      <c r="H121" s="7"/>
      <c r="I121" s="7"/>
      <c r="J121" s="7" t="str">
        <f>IF(I121="No", "Yes", "No")</f>
        <v>No</v>
      </c>
      <c r="K121" s="7" t="str">
        <f>"JDG_Methane_YMF"&amp;CHAR(10)&amp;A121&amp;"_"&amp;B121&amp;"_"&amp;C121&amp;CHAR(10)&amp;"Organic Soil - July 2021"</f>
        <v>JDG_Methane_YMF
Lowland_QURU_RO1
Organic Soil - July 2021</v>
      </c>
      <c r="L121" s="7" t="str">
        <f>"JDG_Methane_YMF"&amp;CHAR(10)&amp;A121&amp;"_"&amp;B121&amp;"_"&amp;C121&amp;CHAR(10)&amp;"Mineral Soil - July 2021"</f>
        <v>JDG_Methane_YMF
Lowland_QURU_RO1
Mineral Soil - July 2021</v>
      </c>
      <c r="M121" s="7" t="str">
        <f>"JDG_Methane_YMF"&amp;CHAR(10)&amp;A121&amp;"_"&amp;B121&amp;"_"&amp;C121&amp;CHAR(10)&amp;"Tree Core - MethaneTraits - 2021"</f>
        <v>JDG_Methane_YMF
Lowland_QURU_RO1
Tree Core - MethaneTraits - 2021</v>
      </c>
      <c r="N121" s="7" t="str">
        <f>"JDG_Methane_YMF"&amp;CHAR(10)&amp;A121&amp;"_"&amp;B121&amp;"_"&amp;C121&amp;CHAR(10)&amp;"Tree Core - Molecular - 2021"</f>
        <v>JDG_Methane_YMF
Lowland_QURU_RO1
Tree Core - Molecular - 2021</v>
      </c>
      <c r="O121" s="7" t="str">
        <f>"JDG_Methane_YMF"&amp;CHAR(10)&amp;A121&amp;"_"&amp;B121&amp;"_"&amp;C121&amp;CHAR(10)&amp;"Organic Soil - Molecular - 2021"</f>
        <v>JDG_Methane_YMF
Lowland_QURU_RO1
Organic Soil - Molecular - 2021</v>
      </c>
      <c r="P121" s="7" t="str">
        <f>"JDG_Methane_YMF"&amp;CHAR(10)&amp;A121&amp;"_"&amp;B121&amp;"_"&amp;C121&amp;CHAR(10)&amp;"Mineral Soil - Molecular - 2021"</f>
        <v>JDG_Methane_YMF
Lowland_QURU_RO1
Mineral Soil - Molecular - 2021</v>
      </c>
      <c r="Q121" t="str">
        <f t="shared" si="2"/>
        <v>JDG_Methane_YMF
Lowland_QURU_RO1
Internal Gas - #1/2 - 2021</v>
      </c>
      <c r="R121" t="str">
        <f t="shared" si="3"/>
        <v>JDG_Methane_YMF
Lowland_QURU_RO1
Internal Gas - #2/2 - 2021</v>
      </c>
    </row>
    <row r="122" spans="1:18" x14ac:dyDescent="0.2">
      <c r="A122" s="7" t="s">
        <v>59</v>
      </c>
      <c r="B122" s="7" t="s">
        <v>22</v>
      </c>
      <c r="C122" s="7" t="s">
        <v>32</v>
      </c>
      <c r="D122" s="7"/>
      <c r="E122" s="7"/>
      <c r="F122" s="7"/>
      <c r="G122" s="7">
        <v>34.5</v>
      </c>
      <c r="H122" s="7" t="s">
        <v>61</v>
      </c>
      <c r="I122" s="7"/>
      <c r="J122" s="7" t="str">
        <f>IF(I122="No", "Yes", "No")</f>
        <v>No</v>
      </c>
      <c r="K122" s="7" t="str">
        <f>"JDG_Methane_YMF"&amp;CHAR(10)&amp;A122&amp;"_"&amp;B122&amp;"_"&amp;C122&amp;CHAR(10)&amp;"Organic Soil - July 2021"</f>
        <v>JDG_Methane_YMF
Lowland_QURU_RO10
Organic Soil - July 2021</v>
      </c>
      <c r="L122" s="7" t="str">
        <f>"JDG_Methane_YMF"&amp;CHAR(10)&amp;A122&amp;"_"&amp;B122&amp;"_"&amp;C122&amp;CHAR(10)&amp;"Mineral Soil - July 2021"</f>
        <v>JDG_Methane_YMF
Lowland_QURU_RO10
Mineral Soil - July 2021</v>
      </c>
      <c r="M122" s="7" t="str">
        <f>"JDG_Methane_YMF"&amp;CHAR(10)&amp;A122&amp;"_"&amp;B122&amp;"_"&amp;C122&amp;CHAR(10)&amp;"Tree Core - MethaneTraits - 2021"</f>
        <v>JDG_Methane_YMF
Lowland_QURU_RO10
Tree Core - MethaneTraits - 2021</v>
      </c>
      <c r="N122" s="7" t="str">
        <f>"JDG_Methane_YMF"&amp;CHAR(10)&amp;A122&amp;"_"&amp;B122&amp;"_"&amp;C122&amp;CHAR(10)&amp;"Tree Core - Molecular - 2021"</f>
        <v>JDG_Methane_YMF
Lowland_QURU_RO10
Tree Core - Molecular - 2021</v>
      </c>
      <c r="O122" s="7" t="str">
        <f>"JDG_Methane_YMF"&amp;CHAR(10)&amp;A122&amp;"_"&amp;B122&amp;"_"&amp;C122&amp;CHAR(10)&amp;"Organic Soil - Molecular - 2021"</f>
        <v>JDG_Methane_YMF
Lowland_QURU_RO10
Organic Soil - Molecular - 2021</v>
      </c>
      <c r="P122" s="7" t="str">
        <f>"JDG_Methane_YMF"&amp;CHAR(10)&amp;A122&amp;"_"&amp;B122&amp;"_"&amp;C122&amp;CHAR(10)&amp;"Mineral Soil - Molecular - 2021"</f>
        <v>JDG_Methane_YMF
Lowland_QURU_RO10
Mineral Soil - Molecular - 2021</v>
      </c>
      <c r="Q122" t="str">
        <f t="shared" si="2"/>
        <v>JDG_Methane_YMF
Lowland_QURU_RO10
Internal Gas - #1/2 - 2021</v>
      </c>
      <c r="R122" t="str">
        <f t="shared" si="3"/>
        <v>JDG_Methane_YMF
Lowland_QURU_RO10
Internal Gas - #2/2 - 2021</v>
      </c>
    </row>
    <row r="123" spans="1:18" x14ac:dyDescent="0.2">
      <c r="A123" s="7" t="s">
        <v>59</v>
      </c>
      <c r="B123" s="7" t="s">
        <v>22</v>
      </c>
      <c r="C123" s="7" t="s">
        <v>33</v>
      </c>
      <c r="D123" s="7"/>
      <c r="E123" s="7"/>
      <c r="F123" s="7"/>
      <c r="G123" s="7">
        <v>44</v>
      </c>
      <c r="H123" s="7"/>
      <c r="I123" s="7"/>
      <c r="J123" s="7" t="str">
        <f>IF(I123="No", "Yes", "No")</f>
        <v>No</v>
      </c>
      <c r="K123" s="7" t="str">
        <f>"JDG_Methane_YMF"&amp;CHAR(10)&amp;A123&amp;"_"&amp;B123&amp;"_"&amp;C123&amp;CHAR(10)&amp;"Organic Soil - July 2021"</f>
        <v>JDG_Methane_YMF
Lowland_QURU_RO11
Organic Soil - July 2021</v>
      </c>
      <c r="L123" s="7" t="str">
        <f>"JDG_Methane_YMF"&amp;CHAR(10)&amp;A123&amp;"_"&amp;B123&amp;"_"&amp;C123&amp;CHAR(10)&amp;"Mineral Soil - July 2021"</f>
        <v>JDG_Methane_YMF
Lowland_QURU_RO11
Mineral Soil - July 2021</v>
      </c>
      <c r="M123" s="7" t="str">
        <f>"JDG_Methane_YMF"&amp;CHAR(10)&amp;A123&amp;"_"&amp;B123&amp;"_"&amp;C123&amp;CHAR(10)&amp;"Tree Core - MethaneTraits - 2021"</f>
        <v>JDG_Methane_YMF
Lowland_QURU_RO11
Tree Core - MethaneTraits - 2021</v>
      </c>
      <c r="N123" s="7" t="str">
        <f>"JDG_Methane_YMF"&amp;CHAR(10)&amp;A123&amp;"_"&amp;B123&amp;"_"&amp;C123&amp;CHAR(10)&amp;"Tree Core - Molecular - 2021"</f>
        <v>JDG_Methane_YMF
Lowland_QURU_RO11
Tree Core - Molecular - 2021</v>
      </c>
      <c r="O123" s="7" t="str">
        <f>"JDG_Methane_YMF"&amp;CHAR(10)&amp;A123&amp;"_"&amp;B123&amp;"_"&amp;C123&amp;CHAR(10)&amp;"Organic Soil - Molecular - 2021"</f>
        <v>JDG_Methane_YMF
Lowland_QURU_RO11
Organic Soil - Molecular - 2021</v>
      </c>
      <c r="P123" s="7" t="str">
        <f>"JDG_Methane_YMF"&amp;CHAR(10)&amp;A123&amp;"_"&amp;B123&amp;"_"&amp;C123&amp;CHAR(10)&amp;"Mineral Soil - Molecular - 2021"</f>
        <v>JDG_Methane_YMF
Lowland_QURU_RO11
Mineral Soil - Molecular - 2021</v>
      </c>
      <c r="Q123" t="str">
        <f t="shared" si="2"/>
        <v>JDG_Methane_YMF
Lowland_QURU_RO11
Internal Gas - #1/2 - 2021</v>
      </c>
      <c r="R123" t="str">
        <f t="shared" si="3"/>
        <v>JDG_Methane_YMF
Lowland_QURU_RO11
Internal Gas - #2/2 - 2021</v>
      </c>
    </row>
    <row r="124" spans="1:18" x14ac:dyDescent="0.2">
      <c r="A124" s="7" t="s">
        <v>59</v>
      </c>
      <c r="B124" s="7" t="s">
        <v>22</v>
      </c>
      <c r="C124" s="7" t="s">
        <v>34</v>
      </c>
      <c r="D124" s="7"/>
      <c r="E124" s="7"/>
      <c r="F124" s="7"/>
      <c r="G124" s="7">
        <v>44</v>
      </c>
      <c r="H124" s="7"/>
      <c r="I124" s="7"/>
      <c r="J124" s="7" t="str">
        <f>IF(I124="No", "Yes", "No")</f>
        <v>No</v>
      </c>
      <c r="K124" s="7" t="str">
        <f>"JDG_Methane_YMF"&amp;CHAR(10)&amp;A124&amp;"_"&amp;B124&amp;"_"&amp;C124&amp;CHAR(10)&amp;"Organic Soil - July 2021"</f>
        <v>JDG_Methane_YMF
Lowland_QURU_RO12
Organic Soil - July 2021</v>
      </c>
      <c r="L124" s="7" t="str">
        <f>"JDG_Methane_YMF"&amp;CHAR(10)&amp;A124&amp;"_"&amp;B124&amp;"_"&amp;C124&amp;CHAR(10)&amp;"Mineral Soil - July 2021"</f>
        <v>JDG_Methane_YMF
Lowland_QURU_RO12
Mineral Soil - July 2021</v>
      </c>
      <c r="M124" s="7" t="str">
        <f>"JDG_Methane_YMF"&amp;CHAR(10)&amp;A124&amp;"_"&amp;B124&amp;"_"&amp;C124&amp;CHAR(10)&amp;"Tree Core - MethaneTraits - 2021"</f>
        <v>JDG_Methane_YMF
Lowland_QURU_RO12
Tree Core - MethaneTraits - 2021</v>
      </c>
      <c r="N124" s="7" t="str">
        <f>"JDG_Methane_YMF"&amp;CHAR(10)&amp;A124&amp;"_"&amp;B124&amp;"_"&amp;C124&amp;CHAR(10)&amp;"Tree Core - Molecular - 2021"</f>
        <v>JDG_Methane_YMF
Lowland_QURU_RO12
Tree Core - Molecular - 2021</v>
      </c>
      <c r="O124" s="7" t="str">
        <f>"JDG_Methane_YMF"&amp;CHAR(10)&amp;A124&amp;"_"&amp;B124&amp;"_"&amp;C124&amp;CHAR(10)&amp;"Organic Soil - Molecular - 2021"</f>
        <v>JDG_Methane_YMF
Lowland_QURU_RO12
Organic Soil - Molecular - 2021</v>
      </c>
      <c r="P124" s="7" t="str">
        <f>"JDG_Methane_YMF"&amp;CHAR(10)&amp;A124&amp;"_"&amp;B124&amp;"_"&amp;C124&amp;CHAR(10)&amp;"Mineral Soil - Molecular - 2021"</f>
        <v>JDG_Methane_YMF
Lowland_QURU_RO12
Mineral Soil - Molecular - 2021</v>
      </c>
      <c r="Q124" t="str">
        <f t="shared" si="2"/>
        <v>JDG_Methane_YMF
Lowland_QURU_RO12
Internal Gas - #1/2 - 2021</v>
      </c>
      <c r="R124" t="str">
        <f t="shared" si="3"/>
        <v>JDG_Methane_YMF
Lowland_QURU_RO12
Internal Gas - #2/2 - 2021</v>
      </c>
    </row>
    <row r="125" spans="1:18" x14ac:dyDescent="0.2">
      <c r="A125" s="7" t="s">
        <v>59</v>
      </c>
      <c r="B125" s="7" t="s">
        <v>22</v>
      </c>
      <c r="C125" s="7" t="s">
        <v>35</v>
      </c>
      <c r="D125" s="7"/>
      <c r="E125" s="7"/>
      <c r="F125" s="7"/>
      <c r="G125" s="7">
        <v>41.5</v>
      </c>
      <c r="H125" s="7"/>
      <c r="I125" s="7"/>
      <c r="J125" s="7" t="str">
        <f>IF(I125="No", "Yes", "No")</f>
        <v>No</v>
      </c>
      <c r="K125" s="7" t="str">
        <f>"JDG_Methane_YMF"&amp;CHAR(10)&amp;A125&amp;"_"&amp;B125&amp;"_"&amp;C125&amp;CHAR(10)&amp;"Organic Soil - July 2021"</f>
        <v>JDG_Methane_YMF
Lowland_QURU_RO13
Organic Soil - July 2021</v>
      </c>
      <c r="L125" s="7" t="str">
        <f>"JDG_Methane_YMF"&amp;CHAR(10)&amp;A125&amp;"_"&amp;B125&amp;"_"&amp;C125&amp;CHAR(10)&amp;"Mineral Soil - July 2021"</f>
        <v>JDG_Methane_YMF
Lowland_QURU_RO13
Mineral Soil - July 2021</v>
      </c>
      <c r="M125" s="7" t="str">
        <f>"JDG_Methane_YMF"&amp;CHAR(10)&amp;A125&amp;"_"&amp;B125&amp;"_"&amp;C125&amp;CHAR(10)&amp;"Tree Core - MethaneTraits - 2021"</f>
        <v>JDG_Methane_YMF
Lowland_QURU_RO13
Tree Core - MethaneTraits - 2021</v>
      </c>
      <c r="N125" s="7" t="str">
        <f>"JDG_Methane_YMF"&amp;CHAR(10)&amp;A125&amp;"_"&amp;B125&amp;"_"&amp;C125&amp;CHAR(10)&amp;"Tree Core - Molecular - 2021"</f>
        <v>JDG_Methane_YMF
Lowland_QURU_RO13
Tree Core - Molecular - 2021</v>
      </c>
      <c r="O125" s="7" t="str">
        <f>"JDG_Methane_YMF"&amp;CHAR(10)&amp;A125&amp;"_"&amp;B125&amp;"_"&amp;C125&amp;CHAR(10)&amp;"Organic Soil - Molecular - 2021"</f>
        <v>JDG_Methane_YMF
Lowland_QURU_RO13
Organic Soil - Molecular - 2021</v>
      </c>
      <c r="P125" s="7" t="str">
        <f>"JDG_Methane_YMF"&amp;CHAR(10)&amp;A125&amp;"_"&amp;B125&amp;"_"&amp;C125&amp;CHAR(10)&amp;"Mineral Soil - Molecular - 2021"</f>
        <v>JDG_Methane_YMF
Lowland_QURU_RO13
Mineral Soil - Molecular - 2021</v>
      </c>
      <c r="Q125" t="str">
        <f t="shared" si="2"/>
        <v>JDG_Methane_YMF
Lowland_QURU_RO13
Internal Gas - #1/2 - 2021</v>
      </c>
      <c r="R125" t="str">
        <f t="shared" si="3"/>
        <v>JDG_Methane_YMF
Lowland_QURU_RO13
Internal Gas - #2/2 - 2021</v>
      </c>
    </row>
    <row r="126" spans="1:18" x14ac:dyDescent="0.2">
      <c r="A126" s="7" t="s">
        <v>59</v>
      </c>
      <c r="B126" s="7" t="s">
        <v>22</v>
      </c>
      <c r="C126" s="7" t="s">
        <v>36</v>
      </c>
      <c r="D126" s="7"/>
      <c r="E126" s="7"/>
      <c r="F126" s="7"/>
      <c r="G126" s="7">
        <v>37</v>
      </c>
      <c r="H126" s="7"/>
      <c r="I126" s="7"/>
      <c r="J126" s="7" t="str">
        <f>IF(I126="No", "Yes", "No")</f>
        <v>No</v>
      </c>
      <c r="K126" s="7" t="str">
        <f>"JDG_Methane_YMF"&amp;CHAR(10)&amp;A126&amp;"_"&amp;B126&amp;"_"&amp;C126&amp;CHAR(10)&amp;"Organic Soil - July 2021"</f>
        <v>JDG_Methane_YMF
Lowland_QURU_RO14
Organic Soil - July 2021</v>
      </c>
      <c r="L126" s="7" t="str">
        <f>"JDG_Methane_YMF"&amp;CHAR(10)&amp;A126&amp;"_"&amp;B126&amp;"_"&amp;C126&amp;CHAR(10)&amp;"Mineral Soil - July 2021"</f>
        <v>JDG_Methane_YMF
Lowland_QURU_RO14
Mineral Soil - July 2021</v>
      </c>
      <c r="M126" s="7" t="str">
        <f>"JDG_Methane_YMF"&amp;CHAR(10)&amp;A126&amp;"_"&amp;B126&amp;"_"&amp;C126&amp;CHAR(10)&amp;"Tree Core - MethaneTraits - 2021"</f>
        <v>JDG_Methane_YMF
Lowland_QURU_RO14
Tree Core - MethaneTraits - 2021</v>
      </c>
      <c r="N126" s="7" t="str">
        <f>"JDG_Methane_YMF"&amp;CHAR(10)&amp;A126&amp;"_"&amp;B126&amp;"_"&amp;C126&amp;CHAR(10)&amp;"Tree Core - Molecular - 2021"</f>
        <v>JDG_Methane_YMF
Lowland_QURU_RO14
Tree Core - Molecular - 2021</v>
      </c>
      <c r="O126" s="7" t="str">
        <f>"JDG_Methane_YMF"&amp;CHAR(10)&amp;A126&amp;"_"&amp;B126&amp;"_"&amp;C126&amp;CHAR(10)&amp;"Organic Soil - Molecular - 2021"</f>
        <v>JDG_Methane_YMF
Lowland_QURU_RO14
Organic Soil - Molecular - 2021</v>
      </c>
      <c r="P126" s="7" t="str">
        <f>"JDG_Methane_YMF"&amp;CHAR(10)&amp;A126&amp;"_"&amp;B126&amp;"_"&amp;C126&amp;CHAR(10)&amp;"Mineral Soil - Molecular - 2021"</f>
        <v>JDG_Methane_YMF
Lowland_QURU_RO14
Mineral Soil - Molecular - 2021</v>
      </c>
      <c r="Q126" t="str">
        <f t="shared" si="2"/>
        <v>JDG_Methane_YMF
Lowland_QURU_RO14
Internal Gas - #1/2 - 2021</v>
      </c>
      <c r="R126" t="str">
        <f t="shared" si="3"/>
        <v>JDG_Methane_YMF
Lowland_QURU_RO14
Internal Gas - #2/2 - 2021</v>
      </c>
    </row>
    <row r="127" spans="1:18" x14ac:dyDescent="0.2">
      <c r="A127" s="7" t="s">
        <v>59</v>
      </c>
      <c r="B127" s="7" t="s">
        <v>22</v>
      </c>
      <c r="C127" s="7" t="s">
        <v>37</v>
      </c>
      <c r="D127" s="7"/>
      <c r="E127" s="7"/>
      <c r="F127" s="7"/>
      <c r="G127" s="7">
        <v>36.5</v>
      </c>
      <c r="H127" s="7"/>
      <c r="I127" s="7"/>
      <c r="J127" s="7" t="str">
        <f>IF(I127="No", "Yes", "No")</f>
        <v>No</v>
      </c>
      <c r="K127" s="7" t="str">
        <f>"JDG_Methane_YMF"&amp;CHAR(10)&amp;A127&amp;"_"&amp;B127&amp;"_"&amp;C127&amp;CHAR(10)&amp;"Organic Soil - July 2021"</f>
        <v>JDG_Methane_YMF
Lowland_QURU_RO15
Organic Soil - July 2021</v>
      </c>
      <c r="L127" s="7" t="str">
        <f>"JDG_Methane_YMF"&amp;CHAR(10)&amp;A127&amp;"_"&amp;B127&amp;"_"&amp;C127&amp;CHAR(10)&amp;"Mineral Soil - July 2021"</f>
        <v>JDG_Methane_YMF
Lowland_QURU_RO15
Mineral Soil - July 2021</v>
      </c>
      <c r="M127" s="7" t="str">
        <f>"JDG_Methane_YMF"&amp;CHAR(10)&amp;A127&amp;"_"&amp;B127&amp;"_"&amp;C127&amp;CHAR(10)&amp;"Tree Core - MethaneTraits - 2021"</f>
        <v>JDG_Methane_YMF
Lowland_QURU_RO15
Tree Core - MethaneTraits - 2021</v>
      </c>
      <c r="N127" s="7" t="str">
        <f>"JDG_Methane_YMF"&amp;CHAR(10)&amp;A127&amp;"_"&amp;B127&amp;"_"&amp;C127&amp;CHAR(10)&amp;"Tree Core - Molecular - 2021"</f>
        <v>JDG_Methane_YMF
Lowland_QURU_RO15
Tree Core - Molecular - 2021</v>
      </c>
      <c r="O127" s="7" t="str">
        <f>"JDG_Methane_YMF"&amp;CHAR(10)&amp;A127&amp;"_"&amp;B127&amp;"_"&amp;C127&amp;CHAR(10)&amp;"Organic Soil - Molecular - 2021"</f>
        <v>JDG_Methane_YMF
Lowland_QURU_RO15
Organic Soil - Molecular - 2021</v>
      </c>
      <c r="P127" s="7" t="str">
        <f>"JDG_Methane_YMF"&amp;CHAR(10)&amp;A127&amp;"_"&amp;B127&amp;"_"&amp;C127&amp;CHAR(10)&amp;"Mineral Soil - Molecular - 2021"</f>
        <v>JDG_Methane_YMF
Lowland_QURU_RO15
Mineral Soil - Molecular - 2021</v>
      </c>
      <c r="Q127" t="str">
        <f t="shared" si="2"/>
        <v>JDG_Methane_YMF
Lowland_QURU_RO15
Internal Gas - #1/2 - 2021</v>
      </c>
      <c r="R127" t="str">
        <f t="shared" si="3"/>
        <v>JDG_Methane_YMF
Lowland_QURU_RO15
Internal Gas - #2/2 - 2021</v>
      </c>
    </row>
    <row r="128" spans="1:18" x14ac:dyDescent="0.2">
      <c r="A128" s="7" t="s">
        <v>59</v>
      </c>
      <c r="B128" s="7" t="s">
        <v>22</v>
      </c>
      <c r="C128" s="7" t="s">
        <v>38</v>
      </c>
      <c r="D128" s="7"/>
      <c r="E128" s="7"/>
      <c r="F128" s="7"/>
      <c r="G128" s="7">
        <v>34.5</v>
      </c>
      <c r="H128" s="7"/>
      <c r="I128" s="7"/>
      <c r="J128" s="7" t="str">
        <f>IF(I128="No", "Yes", "No")</f>
        <v>No</v>
      </c>
      <c r="K128" s="7" t="str">
        <f>"JDG_Methane_YMF"&amp;CHAR(10)&amp;A128&amp;"_"&amp;B128&amp;"_"&amp;C128&amp;CHAR(10)&amp;"Organic Soil - July 2021"</f>
        <v>JDG_Methane_YMF
Lowland_QURU_RO16
Organic Soil - July 2021</v>
      </c>
      <c r="L128" s="7" t="str">
        <f>"JDG_Methane_YMF"&amp;CHAR(10)&amp;A128&amp;"_"&amp;B128&amp;"_"&amp;C128&amp;CHAR(10)&amp;"Mineral Soil - July 2021"</f>
        <v>JDG_Methane_YMF
Lowland_QURU_RO16
Mineral Soil - July 2021</v>
      </c>
      <c r="M128" s="7" t="str">
        <f>"JDG_Methane_YMF"&amp;CHAR(10)&amp;A128&amp;"_"&amp;B128&amp;"_"&amp;C128&amp;CHAR(10)&amp;"Tree Core - MethaneTraits - 2021"</f>
        <v>JDG_Methane_YMF
Lowland_QURU_RO16
Tree Core - MethaneTraits - 2021</v>
      </c>
      <c r="N128" s="7" t="str">
        <f>"JDG_Methane_YMF"&amp;CHAR(10)&amp;A128&amp;"_"&amp;B128&amp;"_"&amp;C128&amp;CHAR(10)&amp;"Tree Core - Molecular - 2021"</f>
        <v>JDG_Methane_YMF
Lowland_QURU_RO16
Tree Core - Molecular - 2021</v>
      </c>
      <c r="O128" s="7" t="str">
        <f>"JDG_Methane_YMF"&amp;CHAR(10)&amp;A128&amp;"_"&amp;B128&amp;"_"&amp;C128&amp;CHAR(10)&amp;"Organic Soil - Molecular - 2021"</f>
        <v>JDG_Methane_YMF
Lowland_QURU_RO16
Organic Soil - Molecular - 2021</v>
      </c>
      <c r="P128" s="7" t="str">
        <f>"JDG_Methane_YMF"&amp;CHAR(10)&amp;A128&amp;"_"&amp;B128&amp;"_"&amp;C128&amp;CHAR(10)&amp;"Mineral Soil - Molecular - 2021"</f>
        <v>JDG_Methane_YMF
Lowland_QURU_RO16
Mineral Soil - Molecular - 2021</v>
      </c>
      <c r="Q128" t="str">
        <f t="shared" si="2"/>
        <v>JDG_Methane_YMF
Lowland_QURU_RO16
Internal Gas - #1/2 - 2021</v>
      </c>
      <c r="R128" t="str">
        <f t="shared" si="3"/>
        <v>JDG_Methane_YMF
Lowland_QURU_RO16
Internal Gas - #2/2 - 2021</v>
      </c>
    </row>
    <row r="129" spans="1:18" x14ac:dyDescent="0.2">
      <c r="A129" s="7" t="s">
        <v>59</v>
      </c>
      <c r="B129" s="7" t="s">
        <v>22</v>
      </c>
      <c r="C129" s="7" t="s">
        <v>24</v>
      </c>
      <c r="D129" s="7"/>
      <c r="E129" s="7"/>
      <c r="F129" s="7"/>
      <c r="G129" s="7">
        <v>32.5</v>
      </c>
      <c r="H129" s="7"/>
      <c r="I129" s="7"/>
      <c r="J129" s="7" t="str">
        <f>IF(I129="No", "Yes", "No")</f>
        <v>No</v>
      </c>
      <c r="K129" s="7" t="str">
        <f>"JDG_Methane_YMF"&amp;CHAR(10)&amp;A129&amp;"_"&amp;B129&amp;"_"&amp;C129&amp;CHAR(10)&amp;"Organic Soil - July 2021"</f>
        <v>JDG_Methane_YMF
Lowland_QURU_RO2
Organic Soil - July 2021</v>
      </c>
      <c r="L129" s="7" t="str">
        <f>"JDG_Methane_YMF"&amp;CHAR(10)&amp;A129&amp;"_"&amp;B129&amp;"_"&amp;C129&amp;CHAR(10)&amp;"Mineral Soil - July 2021"</f>
        <v>JDG_Methane_YMF
Lowland_QURU_RO2
Mineral Soil - July 2021</v>
      </c>
      <c r="M129" s="7" t="str">
        <f>"JDG_Methane_YMF"&amp;CHAR(10)&amp;A129&amp;"_"&amp;B129&amp;"_"&amp;C129&amp;CHAR(10)&amp;"Tree Core - MethaneTraits - 2021"</f>
        <v>JDG_Methane_YMF
Lowland_QURU_RO2
Tree Core - MethaneTraits - 2021</v>
      </c>
      <c r="N129" s="7" t="str">
        <f>"JDG_Methane_YMF"&amp;CHAR(10)&amp;A129&amp;"_"&amp;B129&amp;"_"&amp;C129&amp;CHAR(10)&amp;"Tree Core - Molecular - 2021"</f>
        <v>JDG_Methane_YMF
Lowland_QURU_RO2
Tree Core - Molecular - 2021</v>
      </c>
      <c r="O129" s="7" t="str">
        <f>"JDG_Methane_YMF"&amp;CHAR(10)&amp;A129&amp;"_"&amp;B129&amp;"_"&amp;C129&amp;CHAR(10)&amp;"Organic Soil - Molecular - 2021"</f>
        <v>JDG_Methane_YMF
Lowland_QURU_RO2
Organic Soil - Molecular - 2021</v>
      </c>
      <c r="P129" s="7" t="str">
        <f>"JDG_Methane_YMF"&amp;CHAR(10)&amp;A129&amp;"_"&amp;B129&amp;"_"&amp;C129&amp;CHAR(10)&amp;"Mineral Soil - Molecular - 2021"</f>
        <v>JDG_Methane_YMF
Lowland_QURU_RO2
Mineral Soil - Molecular - 2021</v>
      </c>
      <c r="Q129" t="str">
        <f t="shared" si="2"/>
        <v>JDG_Methane_YMF
Lowland_QURU_RO2
Internal Gas - #1/2 - 2021</v>
      </c>
      <c r="R129" t="str">
        <f t="shared" si="3"/>
        <v>JDG_Methane_YMF
Lowland_QURU_RO2
Internal Gas - #2/2 - 2021</v>
      </c>
    </row>
    <row r="130" spans="1:18" x14ac:dyDescent="0.2">
      <c r="A130" s="7" t="s">
        <v>59</v>
      </c>
      <c r="B130" s="7" t="s">
        <v>22</v>
      </c>
      <c r="C130" s="7" t="s">
        <v>25</v>
      </c>
      <c r="D130" s="7"/>
      <c r="E130" s="7"/>
      <c r="F130" s="7"/>
      <c r="G130" s="7">
        <v>48</v>
      </c>
      <c r="H130" s="7" t="s">
        <v>60</v>
      </c>
      <c r="I130" s="7"/>
      <c r="J130" s="7" t="str">
        <f>IF(I130="No", "Yes", "No")</f>
        <v>No</v>
      </c>
      <c r="K130" s="7" t="str">
        <f>"JDG_Methane_YMF"&amp;CHAR(10)&amp;A130&amp;"_"&amp;B130&amp;"_"&amp;C130&amp;CHAR(10)&amp;"Organic Soil - July 2021"</f>
        <v>JDG_Methane_YMF
Lowland_QURU_RO3
Organic Soil - July 2021</v>
      </c>
      <c r="L130" s="7" t="str">
        <f>"JDG_Methane_YMF"&amp;CHAR(10)&amp;A130&amp;"_"&amp;B130&amp;"_"&amp;C130&amp;CHAR(10)&amp;"Mineral Soil - July 2021"</f>
        <v>JDG_Methane_YMF
Lowland_QURU_RO3
Mineral Soil - July 2021</v>
      </c>
      <c r="M130" s="7" t="str">
        <f>"JDG_Methane_YMF"&amp;CHAR(10)&amp;A130&amp;"_"&amp;B130&amp;"_"&amp;C130&amp;CHAR(10)&amp;"Tree Core - MethaneTraits - 2021"</f>
        <v>JDG_Methane_YMF
Lowland_QURU_RO3
Tree Core - MethaneTraits - 2021</v>
      </c>
      <c r="N130" s="7" t="str">
        <f>"JDG_Methane_YMF"&amp;CHAR(10)&amp;A130&amp;"_"&amp;B130&amp;"_"&amp;C130&amp;CHAR(10)&amp;"Tree Core - Molecular - 2021"</f>
        <v>JDG_Methane_YMF
Lowland_QURU_RO3
Tree Core - Molecular - 2021</v>
      </c>
      <c r="O130" s="7" t="str">
        <f>"JDG_Methane_YMF"&amp;CHAR(10)&amp;A130&amp;"_"&amp;B130&amp;"_"&amp;C130&amp;CHAR(10)&amp;"Organic Soil - Molecular - 2021"</f>
        <v>JDG_Methane_YMF
Lowland_QURU_RO3
Organic Soil - Molecular - 2021</v>
      </c>
      <c r="P130" s="7" t="str">
        <f>"JDG_Methane_YMF"&amp;CHAR(10)&amp;A130&amp;"_"&amp;B130&amp;"_"&amp;C130&amp;CHAR(10)&amp;"Mineral Soil - Molecular - 2021"</f>
        <v>JDG_Methane_YMF
Lowland_QURU_RO3
Mineral Soil - Molecular - 2021</v>
      </c>
      <c r="Q130" t="str">
        <f t="shared" si="2"/>
        <v>JDG_Methane_YMF
Lowland_QURU_RO3
Internal Gas - #1/2 - 2021</v>
      </c>
      <c r="R130" t="str">
        <f t="shared" si="3"/>
        <v>JDG_Methane_YMF
Lowland_QURU_RO3
Internal Gas - #2/2 - 2021</v>
      </c>
    </row>
    <row r="131" spans="1:18" x14ac:dyDescent="0.2">
      <c r="A131" s="7" t="s">
        <v>59</v>
      </c>
      <c r="B131" s="7" t="s">
        <v>22</v>
      </c>
      <c r="C131" s="7" t="s">
        <v>26</v>
      </c>
      <c r="D131" s="7"/>
      <c r="E131" s="7"/>
      <c r="F131" s="7"/>
      <c r="G131" s="7">
        <v>41</v>
      </c>
      <c r="H131" s="7"/>
      <c r="I131" s="7"/>
      <c r="J131" s="7" t="str">
        <f>IF(I131="No", "Yes", "No")</f>
        <v>No</v>
      </c>
      <c r="K131" s="7" t="str">
        <f>"JDG_Methane_YMF"&amp;CHAR(10)&amp;A131&amp;"_"&amp;B131&amp;"_"&amp;C131&amp;CHAR(10)&amp;"Organic Soil - July 2021"</f>
        <v>JDG_Methane_YMF
Lowland_QURU_RO4
Organic Soil - July 2021</v>
      </c>
      <c r="L131" s="7" t="str">
        <f>"JDG_Methane_YMF"&amp;CHAR(10)&amp;A131&amp;"_"&amp;B131&amp;"_"&amp;C131&amp;CHAR(10)&amp;"Mineral Soil - July 2021"</f>
        <v>JDG_Methane_YMF
Lowland_QURU_RO4
Mineral Soil - July 2021</v>
      </c>
      <c r="M131" s="7" t="str">
        <f>"JDG_Methane_YMF"&amp;CHAR(10)&amp;A131&amp;"_"&amp;B131&amp;"_"&amp;C131&amp;CHAR(10)&amp;"Tree Core - MethaneTraits - 2021"</f>
        <v>JDG_Methane_YMF
Lowland_QURU_RO4
Tree Core - MethaneTraits - 2021</v>
      </c>
      <c r="N131" s="7" t="str">
        <f>"JDG_Methane_YMF"&amp;CHAR(10)&amp;A131&amp;"_"&amp;B131&amp;"_"&amp;C131&amp;CHAR(10)&amp;"Tree Core - Molecular - 2021"</f>
        <v>JDG_Methane_YMF
Lowland_QURU_RO4
Tree Core - Molecular - 2021</v>
      </c>
      <c r="O131" s="7" t="str">
        <f>"JDG_Methane_YMF"&amp;CHAR(10)&amp;A131&amp;"_"&amp;B131&amp;"_"&amp;C131&amp;CHAR(10)&amp;"Organic Soil - Molecular - 2021"</f>
        <v>JDG_Methane_YMF
Lowland_QURU_RO4
Organic Soil - Molecular - 2021</v>
      </c>
      <c r="P131" s="7" t="str">
        <f>"JDG_Methane_YMF"&amp;CHAR(10)&amp;A131&amp;"_"&amp;B131&amp;"_"&amp;C131&amp;CHAR(10)&amp;"Mineral Soil - Molecular - 2021"</f>
        <v>JDG_Methane_YMF
Lowland_QURU_RO4
Mineral Soil - Molecular - 2021</v>
      </c>
      <c r="Q131" t="str">
        <f t="shared" ref="Q131:Q194" si="4">"JDG_Methane_YMF"&amp;CHAR(10)&amp;A131&amp;"_"&amp;B131&amp;"_"&amp;C131&amp;CHAR(10)&amp;"Internal Gas - #1/2 - 2021"</f>
        <v>JDG_Methane_YMF
Lowland_QURU_RO4
Internal Gas - #1/2 - 2021</v>
      </c>
      <c r="R131" t="str">
        <f t="shared" ref="R131:R194" si="5">"JDG_Methane_YMF"&amp;CHAR(10)&amp;A131&amp;"_"&amp;B131&amp;"_"&amp;C131&amp;CHAR(10)&amp;"Internal Gas - #2/2 - 2021"</f>
        <v>JDG_Methane_YMF
Lowland_QURU_RO4
Internal Gas - #2/2 - 2021</v>
      </c>
    </row>
    <row r="132" spans="1:18" x14ac:dyDescent="0.2">
      <c r="A132" s="7" t="s">
        <v>59</v>
      </c>
      <c r="B132" s="7" t="s">
        <v>22</v>
      </c>
      <c r="C132" s="7" t="s">
        <v>27</v>
      </c>
      <c r="D132" s="7"/>
      <c r="E132" s="7"/>
      <c r="F132" s="7"/>
      <c r="G132" s="7">
        <v>40.5</v>
      </c>
      <c r="H132" s="7"/>
      <c r="I132" s="7"/>
      <c r="J132" s="7" t="str">
        <f>IF(I132="No", "Yes", "No")</f>
        <v>No</v>
      </c>
      <c r="K132" s="7" t="str">
        <f>"JDG_Methane_YMF"&amp;CHAR(10)&amp;A132&amp;"_"&amp;B132&amp;"_"&amp;C132&amp;CHAR(10)&amp;"Organic Soil - July 2021"</f>
        <v>JDG_Methane_YMF
Lowland_QURU_RO5
Organic Soil - July 2021</v>
      </c>
      <c r="L132" s="7" t="str">
        <f>"JDG_Methane_YMF"&amp;CHAR(10)&amp;A132&amp;"_"&amp;B132&amp;"_"&amp;C132&amp;CHAR(10)&amp;"Mineral Soil - July 2021"</f>
        <v>JDG_Methane_YMF
Lowland_QURU_RO5
Mineral Soil - July 2021</v>
      </c>
      <c r="M132" s="7" t="str">
        <f>"JDG_Methane_YMF"&amp;CHAR(10)&amp;A132&amp;"_"&amp;B132&amp;"_"&amp;C132&amp;CHAR(10)&amp;"Tree Core - MethaneTraits - 2021"</f>
        <v>JDG_Methane_YMF
Lowland_QURU_RO5
Tree Core - MethaneTraits - 2021</v>
      </c>
      <c r="N132" s="7" t="str">
        <f>"JDG_Methane_YMF"&amp;CHAR(10)&amp;A132&amp;"_"&amp;B132&amp;"_"&amp;C132&amp;CHAR(10)&amp;"Tree Core - Molecular - 2021"</f>
        <v>JDG_Methane_YMF
Lowland_QURU_RO5
Tree Core - Molecular - 2021</v>
      </c>
      <c r="O132" s="7" t="str">
        <f>"JDG_Methane_YMF"&amp;CHAR(10)&amp;A132&amp;"_"&amp;B132&amp;"_"&amp;C132&amp;CHAR(10)&amp;"Organic Soil - Molecular - 2021"</f>
        <v>JDG_Methane_YMF
Lowland_QURU_RO5
Organic Soil - Molecular - 2021</v>
      </c>
      <c r="P132" s="7" t="str">
        <f>"JDG_Methane_YMF"&amp;CHAR(10)&amp;A132&amp;"_"&amp;B132&amp;"_"&amp;C132&amp;CHAR(10)&amp;"Mineral Soil - Molecular - 2021"</f>
        <v>JDG_Methane_YMF
Lowland_QURU_RO5
Mineral Soil - Molecular - 2021</v>
      </c>
      <c r="Q132" t="str">
        <f t="shared" si="4"/>
        <v>JDG_Methane_YMF
Lowland_QURU_RO5
Internal Gas - #1/2 - 2021</v>
      </c>
      <c r="R132" t="str">
        <f t="shared" si="5"/>
        <v>JDG_Methane_YMF
Lowland_QURU_RO5
Internal Gas - #2/2 - 2021</v>
      </c>
    </row>
    <row r="133" spans="1:18" x14ac:dyDescent="0.2">
      <c r="A133" s="7" t="s">
        <v>59</v>
      </c>
      <c r="B133" s="7" t="s">
        <v>22</v>
      </c>
      <c r="C133" s="7" t="s">
        <v>28</v>
      </c>
      <c r="D133" s="7"/>
      <c r="E133" s="7"/>
      <c r="F133" s="7"/>
      <c r="G133" s="7">
        <v>54.5</v>
      </c>
      <c r="H133" s="7"/>
      <c r="I133" s="7"/>
      <c r="J133" s="7" t="str">
        <f>IF(I133="No", "Yes", "No")</f>
        <v>No</v>
      </c>
      <c r="K133" s="7" t="str">
        <f>"JDG_Methane_YMF"&amp;CHAR(10)&amp;A133&amp;"_"&amp;B133&amp;"_"&amp;C133&amp;CHAR(10)&amp;"Organic Soil - July 2021"</f>
        <v>JDG_Methane_YMF
Lowland_QURU_RO6
Organic Soil - July 2021</v>
      </c>
      <c r="L133" s="7" t="str">
        <f>"JDG_Methane_YMF"&amp;CHAR(10)&amp;A133&amp;"_"&amp;B133&amp;"_"&amp;C133&amp;CHAR(10)&amp;"Mineral Soil - July 2021"</f>
        <v>JDG_Methane_YMF
Lowland_QURU_RO6
Mineral Soil - July 2021</v>
      </c>
      <c r="M133" s="7" t="str">
        <f>"JDG_Methane_YMF"&amp;CHAR(10)&amp;A133&amp;"_"&amp;B133&amp;"_"&amp;C133&amp;CHAR(10)&amp;"Tree Core - MethaneTraits - 2021"</f>
        <v>JDG_Methane_YMF
Lowland_QURU_RO6
Tree Core - MethaneTraits - 2021</v>
      </c>
      <c r="N133" s="7" t="str">
        <f>"JDG_Methane_YMF"&amp;CHAR(10)&amp;A133&amp;"_"&amp;B133&amp;"_"&amp;C133&amp;CHAR(10)&amp;"Tree Core - Molecular - 2021"</f>
        <v>JDG_Methane_YMF
Lowland_QURU_RO6
Tree Core - Molecular - 2021</v>
      </c>
      <c r="O133" s="7" t="str">
        <f>"JDG_Methane_YMF"&amp;CHAR(10)&amp;A133&amp;"_"&amp;B133&amp;"_"&amp;C133&amp;CHAR(10)&amp;"Organic Soil - Molecular - 2021"</f>
        <v>JDG_Methane_YMF
Lowland_QURU_RO6
Organic Soil - Molecular - 2021</v>
      </c>
      <c r="P133" s="7" t="str">
        <f>"JDG_Methane_YMF"&amp;CHAR(10)&amp;A133&amp;"_"&amp;B133&amp;"_"&amp;C133&amp;CHAR(10)&amp;"Mineral Soil - Molecular - 2021"</f>
        <v>JDG_Methane_YMF
Lowland_QURU_RO6
Mineral Soil - Molecular - 2021</v>
      </c>
      <c r="Q133" t="str">
        <f t="shared" si="4"/>
        <v>JDG_Methane_YMF
Lowland_QURU_RO6
Internal Gas - #1/2 - 2021</v>
      </c>
      <c r="R133" t="str">
        <f t="shared" si="5"/>
        <v>JDG_Methane_YMF
Lowland_QURU_RO6
Internal Gas - #2/2 - 2021</v>
      </c>
    </row>
    <row r="134" spans="1:18" x14ac:dyDescent="0.2">
      <c r="A134" s="7" t="s">
        <v>59</v>
      </c>
      <c r="B134" s="7" t="s">
        <v>22</v>
      </c>
      <c r="C134" s="7" t="s">
        <v>30</v>
      </c>
      <c r="D134" s="7"/>
      <c r="E134" s="7"/>
      <c r="F134" s="7"/>
      <c r="G134" s="7">
        <v>33.5</v>
      </c>
      <c r="H134" s="7"/>
      <c r="I134" s="7"/>
      <c r="J134" s="7" t="str">
        <f>IF(I134="No", "Yes", "No")</f>
        <v>No</v>
      </c>
      <c r="K134" s="7" t="str">
        <f>"JDG_Methane_YMF"&amp;CHAR(10)&amp;A134&amp;"_"&amp;B134&amp;"_"&amp;C134&amp;CHAR(10)&amp;"Organic Soil - July 2021"</f>
        <v>JDG_Methane_YMF
Lowland_QURU_RO7
Organic Soil - July 2021</v>
      </c>
      <c r="L134" s="7" t="str">
        <f>"JDG_Methane_YMF"&amp;CHAR(10)&amp;A134&amp;"_"&amp;B134&amp;"_"&amp;C134&amp;CHAR(10)&amp;"Mineral Soil - July 2021"</f>
        <v>JDG_Methane_YMF
Lowland_QURU_RO7
Mineral Soil - July 2021</v>
      </c>
      <c r="M134" s="7" t="str">
        <f>"JDG_Methane_YMF"&amp;CHAR(10)&amp;A134&amp;"_"&amp;B134&amp;"_"&amp;C134&amp;CHAR(10)&amp;"Tree Core - MethaneTraits - 2021"</f>
        <v>JDG_Methane_YMF
Lowland_QURU_RO7
Tree Core - MethaneTraits - 2021</v>
      </c>
      <c r="N134" s="7" t="str">
        <f>"JDG_Methane_YMF"&amp;CHAR(10)&amp;A134&amp;"_"&amp;B134&amp;"_"&amp;C134&amp;CHAR(10)&amp;"Tree Core - Molecular - 2021"</f>
        <v>JDG_Methane_YMF
Lowland_QURU_RO7
Tree Core - Molecular - 2021</v>
      </c>
      <c r="O134" s="7" t="str">
        <f>"JDG_Methane_YMF"&amp;CHAR(10)&amp;A134&amp;"_"&amp;B134&amp;"_"&amp;C134&amp;CHAR(10)&amp;"Organic Soil - Molecular - 2021"</f>
        <v>JDG_Methane_YMF
Lowland_QURU_RO7
Organic Soil - Molecular - 2021</v>
      </c>
      <c r="P134" s="7" t="str">
        <f>"JDG_Methane_YMF"&amp;CHAR(10)&amp;A134&amp;"_"&amp;B134&amp;"_"&amp;C134&amp;CHAR(10)&amp;"Mineral Soil - Molecular - 2021"</f>
        <v>JDG_Methane_YMF
Lowland_QURU_RO7
Mineral Soil - Molecular - 2021</v>
      </c>
      <c r="Q134" t="str">
        <f t="shared" si="4"/>
        <v>JDG_Methane_YMF
Lowland_QURU_RO7
Internal Gas - #1/2 - 2021</v>
      </c>
      <c r="R134" t="str">
        <f t="shared" si="5"/>
        <v>JDG_Methane_YMF
Lowland_QURU_RO7
Internal Gas - #2/2 - 2021</v>
      </c>
    </row>
    <row r="135" spans="1:18" x14ac:dyDescent="0.2">
      <c r="A135" s="7" t="s">
        <v>59</v>
      </c>
      <c r="B135" s="7" t="s">
        <v>22</v>
      </c>
      <c r="C135" s="7" t="s">
        <v>31</v>
      </c>
      <c r="D135" s="7"/>
      <c r="E135" s="7"/>
      <c r="F135" s="7"/>
      <c r="G135" s="7">
        <v>39</v>
      </c>
      <c r="H135" s="7"/>
      <c r="I135" s="7"/>
      <c r="J135" s="7" t="str">
        <f>IF(I135="No", "Yes", "No")</f>
        <v>No</v>
      </c>
      <c r="K135" s="7" t="str">
        <f>"JDG_Methane_YMF"&amp;CHAR(10)&amp;A135&amp;"_"&amp;B135&amp;"_"&amp;C135&amp;CHAR(10)&amp;"Organic Soil - July 2021"</f>
        <v>JDG_Methane_YMF
Lowland_QURU_RO8
Organic Soil - July 2021</v>
      </c>
      <c r="L135" s="7" t="str">
        <f>"JDG_Methane_YMF"&amp;CHAR(10)&amp;A135&amp;"_"&amp;B135&amp;"_"&amp;C135&amp;CHAR(10)&amp;"Mineral Soil - July 2021"</f>
        <v>JDG_Methane_YMF
Lowland_QURU_RO8
Mineral Soil - July 2021</v>
      </c>
      <c r="M135" s="7" t="str">
        <f>"JDG_Methane_YMF"&amp;CHAR(10)&amp;A135&amp;"_"&amp;B135&amp;"_"&amp;C135&amp;CHAR(10)&amp;"Tree Core - MethaneTraits - 2021"</f>
        <v>JDG_Methane_YMF
Lowland_QURU_RO8
Tree Core - MethaneTraits - 2021</v>
      </c>
      <c r="N135" s="7" t="str">
        <f>"JDG_Methane_YMF"&amp;CHAR(10)&amp;A135&amp;"_"&amp;B135&amp;"_"&amp;C135&amp;CHAR(10)&amp;"Tree Core - Molecular - 2021"</f>
        <v>JDG_Methane_YMF
Lowland_QURU_RO8
Tree Core - Molecular - 2021</v>
      </c>
      <c r="O135" s="7" t="str">
        <f>"JDG_Methane_YMF"&amp;CHAR(10)&amp;A135&amp;"_"&amp;B135&amp;"_"&amp;C135&amp;CHAR(10)&amp;"Organic Soil - Molecular - 2021"</f>
        <v>JDG_Methane_YMF
Lowland_QURU_RO8
Organic Soil - Molecular - 2021</v>
      </c>
      <c r="P135" s="7" t="str">
        <f>"JDG_Methane_YMF"&amp;CHAR(10)&amp;A135&amp;"_"&amp;B135&amp;"_"&amp;C135&amp;CHAR(10)&amp;"Mineral Soil - Molecular - 2021"</f>
        <v>JDG_Methane_YMF
Lowland_QURU_RO8
Mineral Soil - Molecular - 2021</v>
      </c>
      <c r="Q135" t="str">
        <f t="shared" si="4"/>
        <v>JDG_Methane_YMF
Lowland_QURU_RO8
Internal Gas - #1/2 - 2021</v>
      </c>
      <c r="R135" t="str">
        <f t="shared" si="5"/>
        <v>JDG_Methane_YMF
Lowland_QURU_RO8
Internal Gas - #2/2 - 2021</v>
      </c>
    </row>
    <row r="136" spans="1:18" x14ac:dyDescent="0.2">
      <c r="A136" s="7" t="s">
        <v>59</v>
      </c>
      <c r="B136" s="7" t="s">
        <v>22</v>
      </c>
      <c r="C136" s="7" t="s">
        <v>29</v>
      </c>
      <c r="D136" s="7"/>
      <c r="E136" s="7"/>
      <c r="F136" s="7"/>
      <c r="G136" s="7">
        <v>47</v>
      </c>
      <c r="H136" s="7"/>
      <c r="I136" s="7"/>
      <c r="J136" s="7" t="str">
        <f>IF(I136="No", "Yes", "No")</f>
        <v>No</v>
      </c>
      <c r="K136" s="7" t="str">
        <f>"JDG_Methane_YMF"&amp;CHAR(10)&amp;A136&amp;"_"&amp;B136&amp;"_"&amp;C136&amp;CHAR(10)&amp;"Organic Soil - July 2021"</f>
        <v>JDG_Methane_YMF
Lowland_QURU_RO9
Organic Soil - July 2021</v>
      </c>
      <c r="L136" s="7" t="str">
        <f>"JDG_Methane_YMF"&amp;CHAR(10)&amp;A136&amp;"_"&amp;B136&amp;"_"&amp;C136&amp;CHAR(10)&amp;"Mineral Soil - July 2021"</f>
        <v>JDG_Methane_YMF
Lowland_QURU_RO9
Mineral Soil - July 2021</v>
      </c>
      <c r="M136" s="7" t="str">
        <f>"JDG_Methane_YMF"&amp;CHAR(10)&amp;A136&amp;"_"&amp;B136&amp;"_"&amp;C136&amp;CHAR(10)&amp;"Tree Core - MethaneTraits - 2021"</f>
        <v>JDG_Methane_YMF
Lowland_QURU_RO9
Tree Core - MethaneTraits - 2021</v>
      </c>
      <c r="N136" s="7" t="str">
        <f>"JDG_Methane_YMF"&amp;CHAR(10)&amp;A136&amp;"_"&amp;B136&amp;"_"&amp;C136&amp;CHAR(10)&amp;"Tree Core - Molecular - 2021"</f>
        <v>JDG_Methane_YMF
Lowland_QURU_RO9
Tree Core - Molecular - 2021</v>
      </c>
      <c r="O136" s="7" t="str">
        <f>"JDG_Methane_YMF"&amp;CHAR(10)&amp;A136&amp;"_"&amp;B136&amp;"_"&amp;C136&amp;CHAR(10)&amp;"Organic Soil - Molecular - 2021"</f>
        <v>JDG_Methane_YMF
Lowland_QURU_RO9
Organic Soil - Molecular - 2021</v>
      </c>
      <c r="P136" s="7" t="str">
        <f>"JDG_Methane_YMF"&amp;CHAR(10)&amp;A136&amp;"_"&amp;B136&amp;"_"&amp;C136&amp;CHAR(10)&amp;"Mineral Soil - Molecular - 2021"</f>
        <v>JDG_Methane_YMF
Lowland_QURU_RO9
Mineral Soil - Molecular - 2021</v>
      </c>
      <c r="Q136" t="str">
        <f t="shared" si="4"/>
        <v>JDG_Methane_YMF
Lowland_QURU_RO9
Internal Gas - #1/2 - 2021</v>
      </c>
      <c r="R136" t="str">
        <f t="shared" si="5"/>
        <v>JDG_Methane_YMF
Lowland_QURU_RO9
Internal Gas - #2/2 - 2021</v>
      </c>
    </row>
    <row r="137" spans="1:18" x14ac:dyDescent="0.2">
      <c r="A137" s="7" t="s">
        <v>59</v>
      </c>
      <c r="B137" s="7" t="s">
        <v>191</v>
      </c>
      <c r="C137" s="7" t="s">
        <v>193</v>
      </c>
      <c r="D137" s="7"/>
      <c r="E137" s="7"/>
      <c r="F137" s="7"/>
      <c r="G137" s="7">
        <v>37</v>
      </c>
      <c r="H137" s="7"/>
      <c r="I137" s="7"/>
      <c r="J137" s="7" t="str">
        <f>IF(I137="No", "Yes", "No")</f>
        <v>No</v>
      </c>
      <c r="K137" s="7" t="str">
        <f>"JDG_Methane_YMF"&amp;CHAR(10)&amp;A137&amp;"_"&amp;B137&amp;"_"&amp;C137&amp;CHAR(10)&amp;"Organic Soil - July 2021"</f>
        <v>JDG_Methane_YMF
Lowland_QUVE_BO1
Organic Soil - July 2021</v>
      </c>
      <c r="L137" s="7" t="str">
        <f>"JDG_Methane_YMF"&amp;CHAR(10)&amp;A137&amp;"_"&amp;B137&amp;"_"&amp;C137&amp;CHAR(10)&amp;"Mineral Soil - July 2021"</f>
        <v>JDG_Methane_YMF
Lowland_QUVE_BO1
Mineral Soil - July 2021</v>
      </c>
      <c r="M137" s="7" t="str">
        <f>"JDG_Methane_YMF"&amp;CHAR(10)&amp;A137&amp;"_"&amp;B137&amp;"_"&amp;C137&amp;CHAR(10)&amp;"Tree Core - MethaneTraits - 2021"</f>
        <v>JDG_Methane_YMF
Lowland_QUVE_BO1
Tree Core - MethaneTraits - 2021</v>
      </c>
      <c r="N137" s="7" t="str">
        <f>"JDG_Methane_YMF"&amp;CHAR(10)&amp;A137&amp;"_"&amp;B137&amp;"_"&amp;C137&amp;CHAR(10)&amp;"Tree Core - Molecular - 2021"</f>
        <v>JDG_Methane_YMF
Lowland_QUVE_BO1
Tree Core - Molecular - 2021</v>
      </c>
      <c r="O137" s="7" t="str">
        <f>"JDG_Methane_YMF"&amp;CHAR(10)&amp;A137&amp;"_"&amp;B137&amp;"_"&amp;C137&amp;CHAR(10)&amp;"Organic Soil - Molecular - 2021"</f>
        <v>JDG_Methane_YMF
Lowland_QUVE_BO1
Organic Soil - Molecular - 2021</v>
      </c>
      <c r="P137" s="7" t="str">
        <f>"JDG_Methane_YMF"&amp;CHAR(10)&amp;A137&amp;"_"&amp;B137&amp;"_"&amp;C137&amp;CHAR(10)&amp;"Mineral Soil - Molecular - 2021"</f>
        <v>JDG_Methane_YMF
Lowland_QUVE_BO1
Mineral Soil - Molecular - 2021</v>
      </c>
      <c r="Q137" t="str">
        <f t="shared" si="4"/>
        <v>JDG_Methane_YMF
Lowland_QUVE_BO1
Internal Gas - #1/2 - 2021</v>
      </c>
      <c r="R137" t="str">
        <f t="shared" si="5"/>
        <v>JDG_Methane_YMF
Lowland_QUVE_BO1
Internal Gas - #2/2 - 2021</v>
      </c>
    </row>
    <row r="138" spans="1:18" x14ac:dyDescent="0.2">
      <c r="A138" s="7" t="s">
        <v>59</v>
      </c>
      <c r="B138" s="7" t="s">
        <v>191</v>
      </c>
      <c r="C138" s="7" t="s">
        <v>195</v>
      </c>
      <c r="D138" s="7"/>
      <c r="E138" s="7"/>
      <c r="F138" s="7"/>
      <c r="G138" s="7">
        <v>38</v>
      </c>
      <c r="H138" s="7"/>
      <c r="I138" s="7"/>
      <c r="J138" s="7" t="str">
        <f>IF(I138="No", "Yes", "No")</f>
        <v>No</v>
      </c>
      <c r="K138" s="7" t="str">
        <f>"JDG_Methane_YMF"&amp;CHAR(10)&amp;A138&amp;"_"&amp;B138&amp;"_"&amp;C138&amp;CHAR(10)&amp;"Organic Soil - July 2021"</f>
        <v>JDG_Methane_YMF
Lowland_QUVE_BO2
Organic Soil - July 2021</v>
      </c>
      <c r="L138" s="7" t="str">
        <f>"JDG_Methane_YMF"&amp;CHAR(10)&amp;A138&amp;"_"&amp;B138&amp;"_"&amp;C138&amp;CHAR(10)&amp;"Mineral Soil - July 2021"</f>
        <v>JDG_Methane_YMF
Lowland_QUVE_BO2
Mineral Soil - July 2021</v>
      </c>
      <c r="M138" s="7" t="str">
        <f>"JDG_Methane_YMF"&amp;CHAR(10)&amp;A138&amp;"_"&amp;B138&amp;"_"&amp;C138&amp;CHAR(10)&amp;"Tree Core - MethaneTraits - 2021"</f>
        <v>JDG_Methane_YMF
Lowland_QUVE_BO2
Tree Core - MethaneTraits - 2021</v>
      </c>
      <c r="N138" s="7" t="str">
        <f>"JDG_Methane_YMF"&amp;CHAR(10)&amp;A138&amp;"_"&amp;B138&amp;"_"&amp;C138&amp;CHAR(10)&amp;"Tree Core - Molecular - 2021"</f>
        <v>JDG_Methane_YMF
Lowland_QUVE_BO2
Tree Core - Molecular - 2021</v>
      </c>
      <c r="O138" s="7" t="str">
        <f>"JDG_Methane_YMF"&amp;CHAR(10)&amp;A138&amp;"_"&amp;B138&amp;"_"&amp;C138&amp;CHAR(10)&amp;"Organic Soil - Molecular - 2021"</f>
        <v>JDG_Methane_YMF
Lowland_QUVE_BO2
Organic Soil - Molecular - 2021</v>
      </c>
      <c r="P138" s="7" t="str">
        <f>"JDG_Methane_YMF"&amp;CHAR(10)&amp;A138&amp;"_"&amp;B138&amp;"_"&amp;C138&amp;CHAR(10)&amp;"Mineral Soil - Molecular - 2021"</f>
        <v>JDG_Methane_YMF
Lowland_QUVE_BO2
Mineral Soil - Molecular - 2021</v>
      </c>
      <c r="Q138" t="str">
        <f t="shared" si="4"/>
        <v>JDG_Methane_YMF
Lowland_QUVE_BO2
Internal Gas - #1/2 - 2021</v>
      </c>
      <c r="R138" t="str">
        <f t="shared" si="5"/>
        <v>JDG_Methane_YMF
Lowland_QUVE_BO2
Internal Gas - #2/2 - 2021</v>
      </c>
    </row>
    <row r="139" spans="1:18" x14ac:dyDescent="0.2">
      <c r="A139" s="7" t="s">
        <v>59</v>
      </c>
      <c r="B139" s="7" t="s">
        <v>191</v>
      </c>
      <c r="C139" s="7" t="s">
        <v>196</v>
      </c>
      <c r="D139" s="7"/>
      <c r="E139" s="7"/>
      <c r="F139" s="7"/>
      <c r="G139" s="7" t="s">
        <v>201</v>
      </c>
      <c r="H139" s="7"/>
      <c r="I139" s="7"/>
      <c r="J139" s="7" t="str">
        <f>IF(I139="No", "Yes", "No")</f>
        <v>No</v>
      </c>
      <c r="K139" s="7" t="str">
        <f>"JDG_Methane_YMF"&amp;CHAR(10)&amp;A139&amp;"_"&amp;B139&amp;"_"&amp;C139&amp;CHAR(10)&amp;"Organic Soil - July 2021"</f>
        <v>JDG_Methane_YMF
Lowland_QUVE_BO3
Organic Soil - July 2021</v>
      </c>
      <c r="L139" s="7" t="str">
        <f>"JDG_Methane_YMF"&amp;CHAR(10)&amp;A139&amp;"_"&amp;B139&amp;"_"&amp;C139&amp;CHAR(10)&amp;"Mineral Soil - July 2021"</f>
        <v>JDG_Methane_YMF
Lowland_QUVE_BO3
Mineral Soil - July 2021</v>
      </c>
      <c r="M139" s="7" t="str">
        <f>"JDG_Methane_YMF"&amp;CHAR(10)&amp;A139&amp;"_"&amp;B139&amp;"_"&amp;C139&amp;CHAR(10)&amp;"Tree Core - MethaneTraits - 2021"</f>
        <v>JDG_Methane_YMF
Lowland_QUVE_BO3
Tree Core - MethaneTraits - 2021</v>
      </c>
      <c r="N139" s="7" t="str">
        <f>"JDG_Methane_YMF"&amp;CHAR(10)&amp;A139&amp;"_"&amp;B139&amp;"_"&amp;C139&amp;CHAR(10)&amp;"Tree Core - Molecular - 2021"</f>
        <v>JDG_Methane_YMF
Lowland_QUVE_BO3
Tree Core - Molecular - 2021</v>
      </c>
      <c r="O139" s="7" t="str">
        <f>"JDG_Methane_YMF"&amp;CHAR(10)&amp;A139&amp;"_"&amp;B139&amp;"_"&amp;C139&amp;CHAR(10)&amp;"Organic Soil - Molecular - 2021"</f>
        <v>JDG_Methane_YMF
Lowland_QUVE_BO3
Organic Soil - Molecular - 2021</v>
      </c>
      <c r="P139" s="7" t="str">
        <f>"JDG_Methane_YMF"&amp;CHAR(10)&amp;A139&amp;"_"&amp;B139&amp;"_"&amp;C139&amp;CHAR(10)&amp;"Mineral Soil - Molecular - 2021"</f>
        <v>JDG_Methane_YMF
Lowland_QUVE_BO3
Mineral Soil - Molecular - 2021</v>
      </c>
      <c r="Q139" t="str">
        <f t="shared" si="4"/>
        <v>JDG_Methane_YMF
Lowland_QUVE_BO3
Internal Gas - #1/2 - 2021</v>
      </c>
      <c r="R139" t="str">
        <f t="shared" si="5"/>
        <v>JDG_Methane_YMF
Lowland_QUVE_BO3
Internal Gas - #2/2 - 2021</v>
      </c>
    </row>
    <row r="140" spans="1:18" x14ac:dyDescent="0.2">
      <c r="A140" s="7" t="s">
        <v>59</v>
      </c>
      <c r="B140" s="7" t="s">
        <v>151</v>
      </c>
      <c r="C140" s="7" t="s">
        <v>158</v>
      </c>
      <c r="D140" s="7"/>
      <c r="E140" s="7"/>
      <c r="F140" s="7"/>
      <c r="G140" s="7">
        <v>30</v>
      </c>
      <c r="H140" s="7"/>
      <c r="I140" s="7"/>
      <c r="J140" s="7" t="str">
        <f>IF(I140="No", "Yes", "No")</f>
        <v>No</v>
      </c>
      <c r="K140" s="7" t="str">
        <f>"JDG_Methane_YMF"&amp;CHAR(10)&amp;A140&amp;"_"&amp;B140&amp;"_"&amp;C140&amp;CHAR(10)&amp;"Organic Soil - July 2021"</f>
        <v>JDG_Methane_YMF
Lowland_TSCA_H1
Organic Soil - July 2021</v>
      </c>
      <c r="L140" s="7" t="str">
        <f>"JDG_Methane_YMF"&amp;CHAR(10)&amp;A140&amp;"_"&amp;B140&amp;"_"&amp;C140&amp;CHAR(10)&amp;"Mineral Soil - July 2021"</f>
        <v>JDG_Methane_YMF
Lowland_TSCA_H1
Mineral Soil - July 2021</v>
      </c>
      <c r="M140" s="7" t="str">
        <f>"JDG_Methane_YMF"&amp;CHAR(10)&amp;A140&amp;"_"&amp;B140&amp;"_"&amp;C140&amp;CHAR(10)&amp;"Tree Core - MethaneTraits - 2021"</f>
        <v>JDG_Methane_YMF
Lowland_TSCA_H1
Tree Core - MethaneTraits - 2021</v>
      </c>
      <c r="N140" s="7" t="str">
        <f>"JDG_Methane_YMF"&amp;CHAR(10)&amp;A140&amp;"_"&amp;B140&amp;"_"&amp;C140&amp;CHAR(10)&amp;"Tree Core - Molecular - 2021"</f>
        <v>JDG_Methane_YMF
Lowland_TSCA_H1
Tree Core - Molecular - 2021</v>
      </c>
      <c r="O140" s="7" t="str">
        <f>"JDG_Methane_YMF"&amp;CHAR(10)&amp;A140&amp;"_"&amp;B140&amp;"_"&amp;C140&amp;CHAR(10)&amp;"Organic Soil - Molecular - 2021"</f>
        <v>JDG_Methane_YMF
Lowland_TSCA_H1
Organic Soil - Molecular - 2021</v>
      </c>
      <c r="P140" s="7" t="str">
        <f>"JDG_Methane_YMF"&amp;CHAR(10)&amp;A140&amp;"_"&amp;B140&amp;"_"&amp;C140&amp;CHAR(10)&amp;"Mineral Soil - Molecular - 2021"</f>
        <v>JDG_Methane_YMF
Lowland_TSCA_H1
Mineral Soil - Molecular - 2021</v>
      </c>
      <c r="Q140" t="str">
        <f t="shared" si="4"/>
        <v>JDG_Methane_YMF
Lowland_TSCA_H1
Internal Gas - #1/2 - 2021</v>
      </c>
      <c r="R140" t="str">
        <f t="shared" si="5"/>
        <v>JDG_Methane_YMF
Lowland_TSCA_H1
Internal Gas - #2/2 - 2021</v>
      </c>
    </row>
    <row r="141" spans="1:18" x14ac:dyDescent="0.2">
      <c r="A141" s="7" t="s">
        <v>59</v>
      </c>
      <c r="B141" s="7" t="s">
        <v>151</v>
      </c>
      <c r="C141" s="7" t="s">
        <v>172</v>
      </c>
      <c r="D141" s="7"/>
      <c r="E141" s="7"/>
      <c r="F141" s="7"/>
      <c r="G141" s="7">
        <v>44</v>
      </c>
      <c r="H141" s="7"/>
      <c r="I141" s="7"/>
      <c r="J141" s="7" t="str">
        <f>IF(I141="No", "Yes", "No")</f>
        <v>No</v>
      </c>
      <c r="K141" s="7" t="str">
        <f>"JDG_Methane_YMF"&amp;CHAR(10)&amp;A141&amp;"_"&amp;B141&amp;"_"&amp;C141&amp;CHAR(10)&amp;"Organic Soil - July 2021"</f>
        <v>JDG_Methane_YMF
Lowland_TSCA_H10
Organic Soil - July 2021</v>
      </c>
      <c r="L141" s="7" t="str">
        <f>"JDG_Methane_YMF"&amp;CHAR(10)&amp;A141&amp;"_"&amp;B141&amp;"_"&amp;C141&amp;CHAR(10)&amp;"Mineral Soil - July 2021"</f>
        <v>JDG_Methane_YMF
Lowland_TSCA_H10
Mineral Soil - July 2021</v>
      </c>
      <c r="M141" s="7" t="str">
        <f>"JDG_Methane_YMF"&amp;CHAR(10)&amp;A141&amp;"_"&amp;B141&amp;"_"&amp;C141&amp;CHAR(10)&amp;"Tree Core - MethaneTraits - 2021"</f>
        <v>JDG_Methane_YMF
Lowland_TSCA_H10
Tree Core - MethaneTraits - 2021</v>
      </c>
      <c r="N141" s="7" t="str">
        <f>"JDG_Methane_YMF"&amp;CHAR(10)&amp;A141&amp;"_"&amp;B141&amp;"_"&amp;C141&amp;CHAR(10)&amp;"Tree Core - Molecular - 2021"</f>
        <v>JDG_Methane_YMF
Lowland_TSCA_H10
Tree Core - Molecular - 2021</v>
      </c>
      <c r="O141" s="7" t="str">
        <f>"JDG_Methane_YMF"&amp;CHAR(10)&amp;A141&amp;"_"&amp;B141&amp;"_"&amp;C141&amp;CHAR(10)&amp;"Organic Soil - Molecular - 2021"</f>
        <v>JDG_Methane_YMF
Lowland_TSCA_H10
Organic Soil - Molecular - 2021</v>
      </c>
      <c r="P141" s="7" t="str">
        <f>"JDG_Methane_YMF"&amp;CHAR(10)&amp;A141&amp;"_"&amp;B141&amp;"_"&amp;C141&amp;CHAR(10)&amp;"Mineral Soil - Molecular - 2021"</f>
        <v>JDG_Methane_YMF
Lowland_TSCA_H10
Mineral Soil - Molecular - 2021</v>
      </c>
      <c r="Q141" t="str">
        <f t="shared" si="4"/>
        <v>JDG_Methane_YMF
Lowland_TSCA_H10
Internal Gas - #1/2 - 2021</v>
      </c>
      <c r="R141" t="str">
        <f t="shared" si="5"/>
        <v>JDG_Methane_YMF
Lowland_TSCA_H10
Internal Gas - #2/2 - 2021</v>
      </c>
    </row>
    <row r="142" spans="1:18" x14ac:dyDescent="0.2">
      <c r="A142" s="7" t="s">
        <v>59</v>
      </c>
      <c r="B142" s="7" t="s">
        <v>151</v>
      </c>
      <c r="C142" s="7" t="s">
        <v>171</v>
      </c>
      <c r="D142" s="7"/>
      <c r="E142" s="7"/>
      <c r="F142" s="7"/>
      <c r="G142" s="7">
        <v>38</v>
      </c>
      <c r="H142" s="7"/>
      <c r="I142" s="7"/>
      <c r="J142" s="7" t="str">
        <f>IF(I142="No", "Yes", "No")</f>
        <v>No</v>
      </c>
      <c r="K142" s="7" t="str">
        <f>"JDG_Methane_YMF"&amp;CHAR(10)&amp;A142&amp;"_"&amp;B142&amp;"_"&amp;C142&amp;CHAR(10)&amp;"Organic Soil - July 2021"</f>
        <v>JDG_Methane_YMF
Lowland_TSCA_H11
Organic Soil - July 2021</v>
      </c>
      <c r="L142" s="7" t="str">
        <f>"JDG_Methane_YMF"&amp;CHAR(10)&amp;A142&amp;"_"&amp;B142&amp;"_"&amp;C142&amp;CHAR(10)&amp;"Mineral Soil - July 2021"</f>
        <v>JDG_Methane_YMF
Lowland_TSCA_H11
Mineral Soil - July 2021</v>
      </c>
      <c r="M142" s="7" t="str">
        <f>"JDG_Methane_YMF"&amp;CHAR(10)&amp;A142&amp;"_"&amp;B142&amp;"_"&amp;C142&amp;CHAR(10)&amp;"Tree Core - MethaneTraits - 2021"</f>
        <v>JDG_Methane_YMF
Lowland_TSCA_H11
Tree Core - MethaneTraits - 2021</v>
      </c>
      <c r="N142" s="7" t="str">
        <f>"JDG_Methane_YMF"&amp;CHAR(10)&amp;A142&amp;"_"&amp;B142&amp;"_"&amp;C142&amp;CHAR(10)&amp;"Tree Core - Molecular - 2021"</f>
        <v>JDG_Methane_YMF
Lowland_TSCA_H11
Tree Core - Molecular - 2021</v>
      </c>
      <c r="O142" s="7" t="str">
        <f>"JDG_Methane_YMF"&amp;CHAR(10)&amp;A142&amp;"_"&amp;B142&amp;"_"&amp;C142&amp;CHAR(10)&amp;"Organic Soil - Molecular - 2021"</f>
        <v>JDG_Methane_YMF
Lowland_TSCA_H11
Organic Soil - Molecular - 2021</v>
      </c>
      <c r="P142" s="7" t="str">
        <f>"JDG_Methane_YMF"&amp;CHAR(10)&amp;A142&amp;"_"&amp;B142&amp;"_"&amp;C142&amp;CHAR(10)&amp;"Mineral Soil - Molecular - 2021"</f>
        <v>JDG_Methane_YMF
Lowland_TSCA_H11
Mineral Soil - Molecular - 2021</v>
      </c>
      <c r="Q142" t="str">
        <f t="shared" si="4"/>
        <v>JDG_Methane_YMF
Lowland_TSCA_H11
Internal Gas - #1/2 - 2021</v>
      </c>
      <c r="R142" t="str">
        <f t="shared" si="5"/>
        <v>JDG_Methane_YMF
Lowland_TSCA_H11
Internal Gas - #2/2 - 2021</v>
      </c>
    </row>
    <row r="143" spans="1:18" x14ac:dyDescent="0.2">
      <c r="A143" s="7" t="s">
        <v>59</v>
      </c>
      <c r="B143" s="7" t="s">
        <v>151</v>
      </c>
      <c r="C143" s="7" t="s">
        <v>169</v>
      </c>
      <c r="D143" s="7"/>
      <c r="E143" s="7"/>
      <c r="F143" s="7"/>
      <c r="G143" s="7">
        <v>49</v>
      </c>
      <c r="H143" s="7"/>
      <c r="I143" s="7"/>
      <c r="J143" s="7" t="str">
        <f>IF(I143="No", "Yes", "No")</f>
        <v>No</v>
      </c>
      <c r="K143" s="7" t="str">
        <f>"JDG_Methane_YMF"&amp;CHAR(10)&amp;A143&amp;"_"&amp;B143&amp;"_"&amp;C143&amp;CHAR(10)&amp;"Organic Soil - July 2021"</f>
        <v>JDG_Methane_YMF
Lowland_TSCA_H12
Organic Soil - July 2021</v>
      </c>
      <c r="L143" s="7" t="str">
        <f>"JDG_Methane_YMF"&amp;CHAR(10)&amp;A143&amp;"_"&amp;B143&amp;"_"&amp;C143&amp;CHAR(10)&amp;"Mineral Soil - July 2021"</f>
        <v>JDG_Methane_YMF
Lowland_TSCA_H12
Mineral Soil - July 2021</v>
      </c>
      <c r="M143" s="7" t="str">
        <f>"JDG_Methane_YMF"&amp;CHAR(10)&amp;A143&amp;"_"&amp;B143&amp;"_"&amp;C143&amp;CHAR(10)&amp;"Tree Core - MethaneTraits - 2021"</f>
        <v>JDG_Methane_YMF
Lowland_TSCA_H12
Tree Core - MethaneTraits - 2021</v>
      </c>
      <c r="N143" s="7" t="str">
        <f>"JDG_Methane_YMF"&amp;CHAR(10)&amp;A143&amp;"_"&amp;B143&amp;"_"&amp;C143&amp;CHAR(10)&amp;"Tree Core - Molecular - 2021"</f>
        <v>JDG_Methane_YMF
Lowland_TSCA_H12
Tree Core - Molecular - 2021</v>
      </c>
      <c r="O143" s="7" t="str">
        <f>"JDG_Methane_YMF"&amp;CHAR(10)&amp;A143&amp;"_"&amp;B143&amp;"_"&amp;C143&amp;CHAR(10)&amp;"Organic Soil - Molecular - 2021"</f>
        <v>JDG_Methane_YMF
Lowland_TSCA_H12
Organic Soil - Molecular - 2021</v>
      </c>
      <c r="P143" s="7" t="str">
        <f>"JDG_Methane_YMF"&amp;CHAR(10)&amp;A143&amp;"_"&amp;B143&amp;"_"&amp;C143&amp;CHAR(10)&amp;"Mineral Soil - Molecular - 2021"</f>
        <v>JDG_Methane_YMF
Lowland_TSCA_H12
Mineral Soil - Molecular - 2021</v>
      </c>
      <c r="Q143" t="str">
        <f t="shared" si="4"/>
        <v>JDG_Methane_YMF
Lowland_TSCA_H12
Internal Gas - #1/2 - 2021</v>
      </c>
      <c r="R143" t="str">
        <f t="shared" si="5"/>
        <v>JDG_Methane_YMF
Lowland_TSCA_H12
Internal Gas - #2/2 - 2021</v>
      </c>
    </row>
    <row r="144" spans="1:18" x14ac:dyDescent="0.2">
      <c r="A144" s="7" t="s">
        <v>59</v>
      </c>
      <c r="B144" s="7" t="s">
        <v>151</v>
      </c>
      <c r="C144" s="7" t="s">
        <v>170</v>
      </c>
      <c r="D144" s="7"/>
      <c r="E144" s="7"/>
      <c r="F144" s="7"/>
      <c r="G144" s="7">
        <v>26</v>
      </c>
      <c r="H144" s="7"/>
      <c r="I144" s="7"/>
      <c r="J144" s="7" t="str">
        <f>IF(I144="No", "Yes", "No")</f>
        <v>No</v>
      </c>
      <c r="K144" s="7" t="str">
        <f>"JDG_Methane_YMF"&amp;CHAR(10)&amp;A144&amp;"_"&amp;B144&amp;"_"&amp;C144&amp;CHAR(10)&amp;"Organic Soil - July 2021"</f>
        <v>JDG_Methane_YMF
Lowland_TSCA_H12'
Organic Soil - July 2021</v>
      </c>
      <c r="L144" s="7" t="str">
        <f>"JDG_Methane_YMF"&amp;CHAR(10)&amp;A144&amp;"_"&amp;B144&amp;"_"&amp;C144&amp;CHAR(10)&amp;"Mineral Soil - July 2021"</f>
        <v>JDG_Methane_YMF
Lowland_TSCA_H12'
Mineral Soil - July 2021</v>
      </c>
      <c r="M144" s="7" t="str">
        <f>"JDG_Methane_YMF"&amp;CHAR(10)&amp;A144&amp;"_"&amp;B144&amp;"_"&amp;C144&amp;CHAR(10)&amp;"Tree Core - MethaneTraits - 2021"</f>
        <v>JDG_Methane_YMF
Lowland_TSCA_H12'
Tree Core - MethaneTraits - 2021</v>
      </c>
      <c r="N144" s="7" t="str">
        <f>"JDG_Methane_YMF"&amp;CHAR(10)&amp;A144&amp;"_"&amp;B144&amp;"_"&amp;C144&amp;CHAR(10)&amp;"Tree Core - Molecular - 2021"</f>
        <v>JDG_Methane_YMF
Lowland_TSCA_H12'
Tree Core - Molecular - 2021</v>
      </c>
      <c r="O144" s="7" t="str">
        <f>"JDG_Methane_YMF"&amp;CHAR(10)&amp;A144&amp;"_"&amp;B144&amp;"_"&amp;C144&amp;CHAR(10)&amp;"Organic Soil - Molecular - 2021"</f>
        <v>JDG_Methane_YMF
Lowland_TSCA_H12'
Organic Soil - Molecular - 2021</v>
      </c>
      <c r="P144" s="7" t="str">
        <f>"JDG_Methane_YMF"&amp;CHAR(10)&amp;A144&amp;"_"&amp;B144&amp;"_"&amp;C144&amp;CHAR(10)&amp;"Mineral Soil - Molecular - 2021"</f>
        <v>JDG_Methane_YMF
Lowland_TSCA_H12'
Mineral Soil - Molecular - 2021</v>
      </c>
      <c r="Q144" t="str">
        <f t="shared" si="4"/>
        <v>JDG_Methane_YMF
Lowland_TSCA_H12'
Internal Gas - #1/2 - 2021</v>
      </c>
      <c r="R144" t="str">
        <f t="shared" si="5"/>
        <v>JDG_Methane_YMF
Lowland_TSCA_H12'
Internal Gas - #2/2 - 2021</v>
      </c>
    </row>
    <row r="145" spans="1:18" x14ac:dyDescent="0.2">
      <c r="A145" s="7" t="s">
        <v>59</v>
      </c>
      <c r="B145" s="7" t="s">
        <v>151</v>
      </c>
      <c r="C145" s="7" t="s">
        <v>167</v>
      </c>
      <c r="D145" s="7"/>
      <c r="E145" s="7"/>
      <c r="F145" s="7"/>
      <c r="G145" s="7">
        <v>30</v>
      </c>
      <c r="H145" s="7"/>
      <c r="I145" s="7"/>
      <c r="J145" s="7" t="str">
        <f>IF(I145="No", "Yes", "No")</f>
        <v>No</v>
      </c>
      <c r="K145" s="7" t="str">
        <f>"JDG_Methane_YMF"&amp;CHAR(10)&amp;A145&amp;"_"&amp;B145&amp;"_"&amp;C145&amp;CHAR(10)&amp;"Organic Soil - July 2021"</f>
        <v>JDG_Methane_YMF
Lowland_TSCA_H14
Organic Soil - July 2021</v>
      </c>
      <c r="L145" s="7" t="str">
        <f>"JDG_Methane_YMF"&amp;CHAR(10)&amp;A145&amp;"_"&amp;B145&amp;"_"&amp;C145&amp;CHAR(10)&amp;"Mineral Soil - July 2021"</f>
        <v>JDG_Methane_YMF
Lowland_TSCA_H14
Mineral Soil - July 2021</v>
      </c>
      <c r="M145" s="7" t="str">
        <f>"JDG_Methane_YMF"&amp;CHAR(10)&amp;A145&amp;"_"&amp;B145&amp;"_"&amp;C145&amp;CHAR(10)&amp;"Tree Core - MethaneTraits - 2021"</f>
        <v>JDG_Methane_YMF
Lowland_TSCA_H14
Tree Core - MethaneTraits - 2021</v>
      </c>
      <c r="N145" s="7" t="str">
        <f>"JDG_Methane_YMF"&amp;CHAR(10)&amp;A145&amp;"_"&amp;B145&amp;"_"&amp;C145&amp;CHAR(10)&amp;"Tree Core - Molecular - 2021"</f>
        <v>JDG_Methane_YMF
Lowland_TSCA_H14
Tree Core - Molecular - 2021</v>
      </c>
      <c r="O145" s="7" t="str">
        <f>"JDG_Methane_YMF"&amp;CHAR(10)&amp;A145&amp;"_"&amp;B145&amp;"_"&amp;C145&amp;CHAR(10)&amp;"Organic Soil - Molecular - 2021"</f>
        <v>JDG_Methane_YMF
Lowland_TSCA_H14
Organic Soil - Molecular - 2021</v>
      </c>
      <c r="P145" s="7" t="str">
        <f>"JDG_Methane_YMF"&amp;CHAR(10)&amp;A145&amp;"_"&amp;B145&amp;"_"&amp;C145&amp;CHAR(10)&amp;"Mineral Soil - Molecular - 2021"</f>
        <v>JDG_Methane_YMF
Lowland_TSCA_H14
Mineral Soil - Molecular - 2021</v>
      </c>
      <c r="Q145" t="str">
        <f t="shared" si="4"/>
        <v>JDG_Methane_YMF
Lowland_TSCA_H14
Internal Gas - #1/2 - 2021</v>
      </c>
      <c r="R145" t="str">
        <f t="shared" si="5"/>
        <v>JDG_Methane_YMF
Lowland_TSCA_H14
Internal Gas - #2/2 - 2021</v>
      </c>
    </row>
    <row r="146" spans="1:18" x14ac:dyDescent="0.2">
      <c r="A146" s="7" t="s">
        <v>59</v>
      </c>
      <c r="B146" s="7" t="s">
        <v>151</v>
      </c>
      <c r="C146" s="7" t="s">
        <v>167</v>
      </c>
      <c r="D146" s="7"/>
      <c r="E146" s="7"/>
      <c r="F146" s="7"/>
      <c r="G146" s="7">
        <v>36</v>
      </c>
      <c r="H146" s="7"/>
      <c r="I146" s="7"/>
      <c r="J146" s="7" t="str">
        <f>IF(I146="No", "Yes", "No")</f>
        <v>No</v>
      </c>
      <c r="K146" s="7" t="str">
        <f>"JDG_Methane_YMF"&amp;CHAR(10)&amp;A146&amp;"_"&amp;B146&amp;"_"&amp;C146&amp;CHAR(10)&amp;"Organic Soil - July 2021"</f>
        <v>JDG_Methane_YMF
Lowland_TSCA_H14
Organic Soil - July 2021</v>
      </c>
      <c r="L146" s="7" t="str">
        <f>"JDG_Methane_YMF"&amp;CHAR(10)&amp;A146&amp;"_"&amp;B146&amp;"_"&amp;C146&amp;CHAR(10)&amp;"Mineral Soil - July 2021"</f>
        <v>JDG_Methane_YMF
Lowland_TSCA_H14
Mineral Soil - July 2021</v>
      </c>
      <c r="M146" s="7" t="str">
        <f>"JDG_Methane_YMF"&amp;CHAR(10)&amp;A146&amp;"_"&amp;B146&amp;"_"&amp;C146&amp;CHAR(10)&amp;"Tree Core - MethaneTraits - 2021"</f>
        <v>JDG_Methane_YMF
Lowland_TSCA_H14
Tree Core - MethaneTraits - 2021</v>
      </c>
      <c r="N146" s="7" t="str">
        <f>"JDG_Methane_YMF"&amp;CHAR(10)&amp;A146&amp;"_"&amp;B146&amp;"_"&amp;C146&amp;CHAR(10)&amp;"Tree Core - Molecular - 2021"</f>
        <v>JDG_Methane_YMF
Lowland_TSCA_H14
Tree Core - Molecular - 2021</v>
      </c>
      <c r="O146" s="7" t="str">
        <f>"JDG_Methane_YMF"&amp;CHAR(10)&amp;A146&amp;"_"&amp;B146&amp;"_"&amp;C146&amp;CHAR(10)&amp;"Organic Soil - Molecular - 2021"</f>
        <v>JDG_Methane_YMF
Lowland_TSCA_H14
Organic Soil - Molecular - 2021</v>
      </c>
      <c r="P146" s="7" t="str">
        <f>"JDG_Methane_YMF"&amp;CHAR(10)&amp;A146&amp;"_"&amp;B146&amp;"_"&amp;C146&amp;CHAR(10)&amp;"Mineral Soil - Molecular - 2021"</f>
        <v>JDG_Methane_YMF
Lowland_TSCA_H14
Mineral Soil - Molecular - 2021</v>
      </c>
      <c r="Q146" t="str">
        <f t="shared" si="4"/>
        <v>JDG_Methane_YMF
Lowland_TSCA_H14
Internal Gas - #1/2 - 2021</v>
      </c>
      <c r="R146" t="str">
        <f t="shared" si="5"/>
        <v>JDG_Methane_YMF
Lowland_TSCA_H14
Internal Gas - #2/2 - 2021</v>
      </c>
    </row>
    <row r="147" spans="1:18" x14ac:dyDescent="0.2">
      <c r="A147" s="7" t="s">
        <v>59</v>
      </c>
      <c r="B147" s="7" t="s">
        <v>151</v>
      </c>
      <c r="C147" s="7" t="s">
        <v>168</v>
      </c>
      <c r="D147" s="7"/>
      <c r="E147" s="7"/>
      <c r="F147" s="7"/>
      <c r="G147" s="7">
        <v>47</v>
      </c>
      <c r="H147" s="7"/>
      <c r="I147" s="7"/>
      <c r="J147" s="7" t="str">
        <f>IF(I147="No", "Yes", "No")</f>
        <v>No</v>
      </c>
      <c r="K147" s="7" t="str">
        <f>"JDG_Methane_YMF"&amp;CHAR(10)&amp;A147&amp;"_"&amp;B147&amp;"_"&amp;C147&amp;CHAR(10)&amp;"Organic Soil - July 2021"</f>
        <v>JDG_Methane_YMF
Lowland_TSCA_H15
Organic Soil - July 2021</v>
      </c>
      <c r="L147" s="7" t="str">
        <f>"JDG_Methane_YMF"&amp;CHAR(10)&amp;A147&amp;"_"&amp;B147&amp;"_"&amp;C147&amp;CHAR(10)&amp;"Mineral Soil - July 2021"</f>
        <v>JDG_Methane_YMF
Lowland_TSCA_H15
Mineral Soil - July 2021</v>
      </c>
      <c r="M147" s="7" t="str">
        <f>"JDG_Methane_YMF"&amp;CHAR(10)&amp;A147&amp;"_"&amp;B147&amp;"_"&amp;C147&amp;CHAR(10)&amp;"Tree Core - MethaneTraits - 2021"</f>
        <v>JDG_Methane_YMF
Lowland_TSCA_H15
Tree Core - MethaneTraits - 2021</v>
      </c>
      <c r="N147" s="7" t="str">
        <f>"JDG_Methane_YMF"&amp;CHAR(10)&amp;A147&amp;"_"&amp;B147&amp;"_"&amp;C147&amp;CHAR(10)&amp;"Tree Core - Molecular - 2021"</f>
        <v>JDG_Methane_YMF
Lowland_TSCA_H15
Tree Core - Molecular - 2021</v>
      </c>
      <c r="O147" s="7" t="str">
        <f>"JDG_Methane_YMF"&amp;CHAR(10)&amp;A147&amp;"_"&amp;B147&amp;"_"&amp;C147&amp;CHAR(10)&amp;"Organic Soil - Molecular - 2021"</f>
        <v>JDG_Methane_YMF
Lowland_TSCA_H15
Organic Soil - Molecular - 2021</v>
      </c>
      <c r="P147" s="7" t="str">
        <f>"JDG_Methane_YMF"&amp;CHAR(10)&amp;A147&amp;"_"&amp;B147&amp;"_"&amp;C147&amp;CHAR(10)&amp;"Mineral Soil - Molecular - 2021"</f>
        <v>JDG_Methane_YMF
Lowland_TSCA_H15
Mineral Soil - Molecular - 2021</v>
      </c>
      <c r="Q147" t="str">
        <f t="shared" si="4"/>
        <v>JDG_Methane_YMF
Lowland_TSCA_H15
Internal Gas - #1/2 - 2021</v>
      </c>
      <c r="R147" t="str">
        <f t="shared" si="5"/>
        <v>JDG_Methane_YMF
Lowland_TSCA_H15
Internal Gas - #2/2 - 2021</v>
      </c>
    </row>
    <row r="148" spans="1:18" x14ac:dyDescent="0.2">
      <c r="A148" s="7" t="s">
        <v>59</v>
      </c>
      <c r="B148" s="7" t="s">
        <v>151</v>
      </c>
      <c r="C148" s="7" t="s">
        <v>161</v>
      </c>
      <c r="D148" s="7"/>
      <c r="E148" s="7"/>
      <c r="F148" s="7"/>
      <c r="G148" s="7">
        <v>40.5</v>
      </c>
      <c r="H148" s="7"/>
      <c r="I148" s="7"/>
      <c r="J148" s="7" t="str">
        <f>IF(I148="No", "Yes", "No")</f>
        <v>No</v>
      </c>
      <c r="K148" s="7" t="str">
        <f>"JDG_Methane_YMF"&amp;CHAR(10)&amp;A148&amp;"_"&amp;B148&amp;"_"&amp;C148&amp;CHAR(10)&amp;"Organic Soil - July 2021"</f>
        <v>JDG_Methane_YMF
Lowland_TSCA_H2
Organic Soil - July 2021</v>
      </c>
      <c r="L148" s="7" t="str">
        <f>"JDG_Methane_YMF"&amp;CHAR(10)&amp;A148&amp;"_"&amp;B148&amp;"_"&amp;C148&amp;CHAR(10)&amp;"Mineral Soil - July 2021"</f>
        <v>JDG_Methane_YMF
Lowland_TSCA_H2
Mineral Soil - July 2021</v>
      </c>
      <c r="M148" s="7" t="str">
        <f>"JDG_Methane_YMF"&amp;CHAR(10)&amp;A148&amp;"_"&amp;B148&amp;"_"&amp;C148&amp;CHAR(10)&amp;"Tree Core - MethaneTraits - 2021"</f>
        <v>JDG_Methane_YMF
Lowland_TSCA_H2
Tree Core - MethaneTraits - 2021</v>
      </c>
      <c r="N148" s="7" t="str">
        <f>"JDG_Methane_YMF"&amp;CHAR(10)&amp;A148&amp;"_"&amp;B148&amp;"_"&amp;C148&amp;CHAR(10)&amp;"Tree Core - Molecular - 2021"</f>
        <v>JDG_Methane_YMF
Lowland_TSCA_H2
Tree Core - Molecular - 2021</v>
      </c>
      <c r="O148" s="7" t="str">
        <f>"JDG_Methane_YMF"&amp;CHAR(10)&amp;A148&amp;"_"&amp;B148&amp;"_"&amp;C148&amp;CHAR(10)&amp;"Organic Soil - Molecular - 2021"</f>
        <v>JDG_Methane_YMF
Lowland_TSCA_H2
Organic Soil - Molecular - 2021</v>
      </c>
      <c r="P148" s="7" t="str">
        <f>"JDG_Methane_YMF"&amp;CHAR(10)&amp;A148&amp;"_"&amp;B148&amp;"_"&amp;C148&amp;CHAR(10)&amp;"Mineral Soil - Molecular - 2021"</f>
        <v>JDG_Methane_YMF
Lowland_TSCA_H2
Mineral Soil - Molecular - 2021</v>
      </c>
      <c r="Q148" t="str">
        <f t="shared" si="4"/>
        <v>JDG_Methane_YMF
Lowland_TSCA_H2
Internal Gas - #1/2 - 2021</v>
      </c>
      <c r="R148" t="str">
        <f t="shared" si="5"/>
        <v>JDG_Methane_YMF
Lowland_TSCA_H2
Internal Gas - #2/2 - 2021</v>
      </c>
    </row>
    <row r="149" spans="1:18" x14ac:dyDescent="0.2">
      <c r="A149" s="7" t="s">
        <v>59</v>
      </c>
      <c r="B149" s="7" t="s">
        <v>151</v>
      </c>
      <c r="C149" s="7" t="s">
        <v>160</v>
      </c>
      <c r="D149" s="7"/>
      <c r="E149" s="7"/>
      <c r="F149" s="7"/>
      <c r="G149" s="7">
        <v>31</v>
      </c>
      <c r="H149" s="7"/>
      <c r="I149" s="7"/>
      <c r="J149" s="7" t="str">
        <f>IF(I149="No", "Yes", "No")</f>
        <v>No</v>
      </c>
      <c r="K149" s="7" t="str">
        <f>"JDG_Methane_YMF"&amp;CHAR(10)&amp;A149&amp;"_"&amp;B149&amp;"_"&amp;C149&amp;CHAR(10)&amp;"Organic Soil - July 2021"</f>
        <v>JDG_Methane_YMF
Lowland_TSCA_H3
Organic Soil - July 2021</v>
      </c>
      <c r="L149" s="7" t="str">
        <f>"JDG_Methane_YMF"&amp;CHAR(10)&amp;A149&amp;"_"&amp;B149&amp;"_"&amp;C149&amp;CHAR(10)&amp;"Mineral Soil - July 2021"</f>
        <v>JDG_Methane_YMF
Lowland_TSCA_H3
Mineral Soil - July 2021</v>
      </c>
      <c r="M149" s="7" t="str">
        <f>"JDG_Methane_YMF"&amp;CHAR(10)&amp;A149&amp;"_"&amp;B149&amp;"_"&amp;C149&amp;CHAR(10)&amp;"Tree Core - MethaneTraits - 2021"</f>
        <v>JDG_Methane_YMF
Lowland_TSCA_H3
Tree Core - MethaneTraits - 2021</v>
      </c>
      <c r="N149" s="7" t="str">
        <f>"JDG_Methane_YMF"&amp;CHAR(10)&amp;A149&amp;"_"&amp;B149&amp;"_"&amp;C149&amp;CHAR(10)&amp;"Tree Core - Molecular - 2021"</f>
        <v>JDG_Methane_YMF
Lowland_TSCA_H3
Tree Core - Molecular - 2021</v>
      </c>
      <c r="O149" s="7" t="str">
        <f>"JDG_Methane_YMF"&amp;CHAR(10)&amp;A149&amp;"_"&amp;B149&amp;"_"&amp;C149&amp;CHAR(10)&amp;"Organic Soil - Molecular - 2021"</f>
        <v>JDG_Methane_YMF
Lowland_TSCA_H3
Organic Soil - Molecular - 2021</v>
      </c>
      <c r="P149" s="7" t="str">
        <f>"JDG_Methane_YMF"&amp;CHAR(10)&amp;A149&amp;"_"&amp;B149&amp;"_"&amp;C149&amp;CHAR(10)&amp;"Mineral Soil - Molecular - 2021"</f>
        <v>JDG_Methane_YMF
Lowland_TSCA_H3
Mineral Soil - Molecular - 2021</v>
      </c>
      <c r="Q149" t="str">
        <f t="shared" si="4"/>
        <v>JDG_Methane_YMF
Lowland_TSCA_H3
Internal Gas - #1/2 - 2021</v>
      </c>
      <c r="R149" t="str">
        <f t="shared" si="5"/>
        <v>JDG_Methane_YMF
Lowland_TSCA_H3
Internal Gas - #2/2 - 2021</v>
      </c>
    </row>
    <row r="150" spans="1:18" x14ac:dyDescent="0.2">
      <c r="A150" s="7" t="s">
        <v>59</v>
      </c>
      <c r="B150" s="7" t="s">
        <v>151</v>
      </c>
      <c r="C150" s="7" t="s">
        <v>159</v>
      </c>
      <c r="D150" s="7"/>
      <c r="E150" s="7"/>
      <c r="F150" s="7"/>
      <c r="G150" s="7">
        <v>33</v>
      </c>
      <c r="H150" s="7"/>
      <c r="I150" s="7"/>
      <c r="J150" s="7" t="str">
        <f>IF(I150="No", "Yes", "No")</f>
        <v>No</v>
      </c>
      <c r="K150" s="7" t="str">
        <f>"JDG_Methane_YMF"&amp;CHAR(10)&amp;A150&amp;"_"&amp;B150&amp;"_"&amp;C150&amp;CHAR(10)&amp;"Organic Soil - July 2021"</f>
        <v>JDG_Methane_YMF
Lowland_TSCA_H4
Organic Soil - July 2021</v>
      </c>
      <c r="L150" s="7" t="str">
        <f>"JDG_Methane_YMF"&amp;CHAR(10)&amp;A150&amp;"_"&amp;B150&amp;"_"&amp;C150&amp;CHAR(10)&amp;"Mineral Soil - July 2021"</f>
        <v>JDG_Methane_YMF
Lowland_TSCA_H4
Mineral Soil - July 2021</v>
      </c>
      <c r="M150" s="7" t="str">
        <f>"JDG_Methane_YMF"&amp;CHAR(10)&amp;A150&amp;"_"&amp;B150&amp;"_"&amp;C150&amp;CHAR(10)&amp;"Tree Core - MethaneTraits - 2021"</f>
        <v>JDG_Methane_YMF
Lowland_TSCA_H4
Tree Core - MethaneTraits - 2021</v>
      </c>
      <c r="N150" s="7" t="str">
        <f>"JDG_Methane_YMF"&amp;CHAR(10)&amp;A150&amp;"_"&amp;B150&amp;"_"&amp;C150&amp;CHAR(10)&amp;"Tree Core - Molecular - 2021"</f>
        <v>JDG_Methane_YMF
Lowland_TSCA_H4
Tree Core - Molecular - 2021</v>
      </c>
      <c r="O150" s="7" t="str">
        <f>"JDG_Methane_YMF"&amp;CHAR(10)&amp;A150&amp;"_"&amp;B150&amp;"_"&amp;C150&amp;CHAR(10)&amp;"Organic Soil - Molecular - 2021"</f>
        <v>JDG_Methane_YMF
Lowland_TSCA_H4
Organic Soil - Molecular - 2021</v>
      </c>
      <c r="P150" s="7" t="str">
        <f>"JDG_Methane_YMF"&amp;CHAR(10)&amp;A150&amp;"_"&amp;B150&amp;"_"&amp;C150&amp;CHAR(10)&amp;"Mineral Soil - Molecular - 2021"</f>
        <v>JDG_Methane_YMF
Lowland_TSCA_H4
Mineral Soil - Molecular - 2021</v>
      </c>
      <c r="Q150" t="str">
        <f t="shared" si="4"/>
        <v>JDG_Methane_YMF
Lowland_TSCA_H4
Internal Gas - #1/2 - 2021</v>
      </c>
      <c r="R150" t="str">
        <f t="shared" si="5"/>
        <v>JDG_Methane_YMF
Lowland_TSCA_H4
Internal Gas - #2/2 - 2021</v>
      </c>
    </row>
    <row r="151" spans="1:18" x14ac:dyDescent="0.2">
      <c r="A151" s="7" t="s">
        <v>59</v>
      </c>
      <c r="B151" s="7" t="s">
        <v>151</v>
      </c>
      <c r="C151" s="7" t="s">
        <v>162</v>
      </c>
      <c r="D151" s="7"/>
      <c r="E151" s="7"/>
      <c r="F151" s="7"/>
      <c r="G151" s="7">
        <v>45</v>
      </c>
      <c r="H151" s="7"/>
      <c r="I151" s="7"/>
      <c r="J151" s="7" t="str">
        <f>IF(I151="No", "Yes", "No")</f>
        <v>No</v>
      </c>
      <c r="K151" s="7" t="str">
        <f>"JDG_Methane_YMF"&amp;CHAR(10)&amp;A151&amp;"_"&amp;B151&amp;"_"&amp;C151&amp;CHAR(10)&amp;"Organic Soil - July 2021"</f>
        <v>JDG_Methane_YMF
Lowland_TSCA_H5
Organic Soil - July 2021</v>
      </c>
      <c r="L151" s="7" t="str">
        <f>"JDG_Methane_YMF"&amp;CHAR(10)&amp;A151&amp;"_"&amp;B151&amp;"_"&amp;C151&amp;CHAR(10)&amp;"Mineral Soil - July 2021"</f>
        <v>JDG_Methane_YMF
Lowland_TSCA_H5
Mineral Soil - July 2021</v>
      </c>
      <c r="M151" s="7" t="str">
        <f>"JDG_Methane_YMF"&amp;CHAR(10)&amp;A151&amp;"_"&amp;B151&amp;"_"&amp;C151&amp;CHAR(10)&amp;"Tree Core - MethaneTraits - 2021"</f>
        <v>JDG_Methane_YMF
Lowland_TSCA_H5
Tree Core - MethaneTraits - 2021</v>
      </c>
      <c r="N151" s="7" t="str">
        <f>"JDG_Methane_YMF"&amp;CHAR(10)&amp;A151&amp;"_"&amp;B151&amp;"_"&amp;C151&amp;CHAR(10)&amp;"Tree Core - Molecular - 2021"</f>
        <v>JDG_Methane_YMF
Lowland_TSCA_H5
Tree Core - Molecular - 2021</v>
      </c>
      <c r="O151" s="7" t="str">
        <f>"JDG_Methane_YMF"&amp;CHAR(10)&amp;A151&amp;"_"&amp;B151&amp;"_"&amp;C151&amp;CHAR(10)&amp;"Organic Soil - Molecular - 2021"</f>
        <v>JDG_Methane_YMF
Lowland_TSCA_H5
Organic Soil - Molecular - 2021</v>
      </c>
      <c r="P151" s="7" t="str">
        <f>"JDG_Methane_YMF"&amp;CHAR(10)&amp;A151&amp;"_"&amp;B151&amp;"_"&amp;C151&amp;CHAR(10)&amp;"Mineral Soil - Molecular - 2021"</f>
        <v>JDG_Methane_YMF
Lowland_TSCA_H5
Mineral Soil - Molecular - 2021</v>
      </c>
      <c r="Q151" t="str">
        <f t="shared" si="4"/>
        <v>JDG_Methane_YMF
Lowland_TSCA_H5
Internal Gas - #1/2 - 2021</v>
      </c>
      <c r="R151" t="str">
        <f t="shared" si="5"/>
        <v>JDG_Methane_YMF
Lowland_TSCA_H5
Internal Gas - #2/2 - 2021</v>
      </c>
    </row>
    <row r="152" spans="1:18" x14ac:dyDescent="0.2">
      <c r="A152" s="7" t="s">
        <v>59</v>
      </c>
      <c r="B152" s="7" t="s">
        <v>151</v>
      </c>
      <c r="C152" s="7" t="s">
        <v>163</v>
      </c>
      <c r="D152" s="7"/>
      <c r="E152" s="7"/>
      <c r="F152" s="7"/>
      <c r="G152" s="7">
        <v>40.5</v>
      </c>
      <c r="H152" s="7"/>
      <c r="I152" s="7"/>
      <c r="J152" s="7" t="str">
        <f>IF(I152="No", "Yes", "No")</f>
        <v>No</v>
      </c>
      <c r="K152" s="7" t="str">
        <f>"JDG_Methane_YMF"&amp;CHAR(10)&amp;A152&amp;"_"&amp;B152&amp;"_"&amp;C152&amp;CHAR(10)&amp;"Organic Soil - July 2021"</f>
        <v>JDG_Methane_YMF
Lowland_TSCA_H6
Organic Soil - July 2021</v>
      </c>
      <c r="L152" s="7" t="str">
        <f>"JDG_Methane_YMF"&amp;CHAR(10)&amp;A152&amp;"_"&amp;B152&amp;"_"&amp;C152&amp;CHAR(10)&amp;"Mineral Soil - July 2021"</f>
        <v>JDG_Methane_YMF
Lowland_TSCA_H6
Mineral Soil - July 2021</v>
      </c>
      <c r="M152" s="7" t="str">
        <f>"JDG_Methane_YMF"&amp;CHAR(10)&amp;A152&amp;"_"&amp;B152&amp;"_"&amp;C152&amp;CHAR(10)&amp;"Tree Core - MethaneTraits - 2021"</f>
        <v>JDG_Methane_YMF
Lowland_TSCA_H6
Tree Core - MethaneTraits - 2021</v>
      </c>
      <c r="N152" s="7" t="str">
        <f>"JDG_Methane_YMF"&amp;CHAR(10)&amp;A152&amp;"_"&amp;B152&amp;"_"&amp;C152&amp;CHAR(10)&amp;"Tree Core - Molecular - 2021"</f>
        <v>JDG_Methane_YMF
Lowland_TSCA_H6
Tree Core - Molecular - 2021</v>
      </c>
      <c r="O152" s="7" t="str">
        <f>"JDG_Methane_YMF"&amp;CHAR(10)&amp;A152&amp;"_"&amp;B152&amp;"_"&amp;C152&amp;CHAR(10)&amp;"Organic Soil - Molecular - 2021"</f>
        <v>JDG_Methane_YMF
Lowland_TSCA_H6
Organic Soil - Molecular - 2021</v>
      </c>
      <c r="P152" s="7" t="str">
        <f>"JDG_Methane_YMF"&amp;CHAR(10)&amp;A152&amp;"_"&amp;B152&amp;"_"&amp;C152&amp;CHAR(10)&amp;"Mineral Soil - Molecular - 2021"</f>
        <v>JDG_Methane_YMF
Lowland_TSCA_H6
Mineral Soil - Molecular - 2021</v>
      </c>
      <c r="Q152" t="str">
        <f t="shared" si="4"/>
        <v>JDG_Methane_YMF
Lowland_TSCA_H6
Internal Gas - #1/2 - 2021</v>
      </c>
      <c r="R152" t="str">
        <f t="shared" si="5"/>
        <v>JDG_Methane_YMF
Lowland_TSCA_H6
Internal Gas - #2/2 - 2021</v>
      </c>
    </row>
    <row r="153" spans="1:18" x14ac:dyDescent="0.2">
      <c r="A153" s="7" t="s">
        <v>59</v>
      </c>
      <c r="B153" s="7" t="s">
        <v>151</v>
      </c>
      <c r="C153" s="7" t="s">
        <v>164</v>
      </c>
      <c r="D153" s="7"/>
      <c r="E153" s="7"/>
      <c r="F153" s="7"/>
      <c r="G153" s="7">
        <v>32.5</v>
      </c>
      <c r="H153" s="7"/>
      <c r="I153" s="7"/>
      <c r="J153" s="7" t="str">
        <f>IF(I153="No", "Yes", "No")</f>
        <v>No</v>
      </c>
      <c r="K153" s="7" t="str">
        <f>"JDG_Methane_YMF"&amp;CHAR(10)&amp;A153&amp;"_"&amp;B153&amp;"_"&amp;C153&amp;CHAR(10)&amp;"Organic Soil - July 2021"</f>
        <v>JDG_Methane_YMF
Lowland_TSCA_H7
Organic Soil - July 2021</v>
      </c>
      <c r="L153" s="7" t="str">
        <f>"JDG_Methane_YMF"&amp;CHAR(10)&amp;A153&amp;"_"&amp;B153&amp;"_"&amp;C153&amp;CHAR(10)&amp;"Mineral Soil - July 2021"</f>
        <v>JDG_Methane_YMF
Lowland_TSCA_H7
Mineral Soil - July 2021</v>
      </c>
      <c r="M153" s="7" t="str">
        <f>"JDG_Methane_YMF"&amp;CHAR(10)&amp;A153&amp;"_"&amp;B153&amp;"_"&amp;C153&amp;CHAR(10)&amp;"Tree Core - MethaneTraits - 2021"</f>
        <v>JDG_Methane_YMF
Lowland_TSCA_H7
Tree Core - MethaneTraits - 2021</v>
      </c>
      <c r="N153" s="7" t="str">
        <f>"JDG_Methane_YMF"&amp;CHAR(10)&amp;A153&amp;"_"&amp;B153&amp;"_"&amp;C153&amp;CHAR(10)&amp;"Tree Core - Molecular - 2021"</f>
        <v>JDG_Methane_YMF
Lowland_TSCA_H7
Tree Core - Molecular - 2021</v>
      </c>
      <c r="O153" s="7" t="str">
        <f>"JDG_Methane_YMF"&amp;CHAR(10)&amp;A153&amp;"_"&amp;B153&amp;"_"&amp;C153&amp;CHAR(10)&amp;"Organic Soil - Molecular - 2021"</f>
        <v>JDG_Methane_YMF
Lowland_TSCA_H7
Organic Soil - Molecular - 2021</v>
      </c>
      <c r="P153" s="7" t="str">
        <f>"JDG_Methane_YMF"&amp;CHAR(10)&amp;A153&amp;"_"&amp;B153&amp;"_"&amp;C153&amp;CHAR(10)&amp;"Mineral Soil - Molecular - 2021"</f>
        <v>JDG_Methane_YMF
Lowland_TSCA_H7
Mineral Soil - Molecular - 2021</v>
      </c>
      <c r="Q153" t="str">
        <f t="shared" si="4"/>
        <v>JDG_Methane_YMF
Lowland_TSCA_H7
Internal Gas - #1/2 - 2021</v>
      </c>
      <c r="R153" t="str">
        <f t="shared" si="5"/>
        <v>JDG_Methane_YMF
Lowland_TSCA_H7
Internal Gas - #2/2 - 2021</v>
      </c>
    </row>
    <row r="154" spans="1:18" x14ac:dyDescent="0.2">
      <c r="A154" s="7" t="s">
        <v>59</v>
      </c>
      <c r="B154" s="7" t="s">
        <v>151</v>
      </c>
      <c r="C154" s="7" t="s">
        <v>165</v>
      </c>
      <c r="D154" s="7"/>
      <c r="E154" s="7"/>
      <c r="F154" s="7"/>
      <c r="G154" s="7">
        <v>33.799999999999997</v>
      </c>
      <c r="H154" s="7"/>
      <c r="I154" s="7"/>
      <c r="J154" s="7" t="str">
        <f>IF(I154="No", "Yes", "No")</f>
        <v>No</v>
      </c>
      <c r="K154" s="7" t="str">
        <f>"JDG_Methane_YMF"&amp;CHAR(10)&amp;A154&amp;"_"&amp;B154&amp;"_"&amp;C154&amp;CHAR(10)&amp;"Organic Soil - July 2021"</f>
        <v>JDG_Methane_YMF
Lowland_TSCA_H8
Organic Soil - July 2021</v>
      </c>
      <c r="L154" s="7" t="str">
        <f>"JDG_Methane_YMF"&amp;CHAR(10)&amp;A154&amp;"_"&amp;B154&amp;"_"&amp;C154&amp;CHAR(10)&amp;"Mineral Soil - July 2021"</f>
        <v>JDG_Methane_YMF
Lowland_TSCA_H8
Mineral Soil - July 2021</v>
      </c>
      <c r="M154" s="7" t="str">
        <f>"JDG_Methane_YMF"&amp;CHAR(10)&amp;A154&amp;"_"&amp;B154&amp;"_"&amp;C154&amp;CHAR(10)&amp;"Tree Core - MethaneTraits - 2021"</f>
        <v>JDG_Methane_YMF
Lowland_TSCA_H8
Tree Core - MethaneTraits - 2021</v>
      </c>
      <c r="N154" s="7" t="str">
        <f>"JDG_Methane_YMF"&amp;CHAR(10)&amp;A154&amp;"_"&amp;B154&amp;"_"&amp;C154&amp;CHAR(10)&amp;"Tree Core - Molecular - 2021"</f>
        <v>JDG_Methane_YMF
Lowland_TSCA_H8
Tree Core - Molecular - 2021</v>
      </c>
      <c r="O154" s="7" t="str">
        <f>"JDG_Methane_YMF"&amp;CHAR(10)&amp;A154&amp;"_"&amp;B154&amp;"_"&amp;C154&amp;CHAR(10)&amp;"Organic Soil - Molecular - 2021"</f>
        <v>JDG_Methane_YMF
Lowland_TSCA_H8
Organic Soil - Molecular - 2021</v>
      </c>
      <c r="P154" s="7" t="str">
        <f>"JDG_Methane_YMF"&amp;CHAR(10)&amp;A154&amp;"_"&amp;B154&amp;"_"&amp;C154&amp;CHAR(10)&amp;"Mineral Soil - Molecular - 2021"</f>
        <v>JDG_Methane_YMF
Lowland_TSCA_H8
Mineral Soil - Molecular - 2021</v>
      </c>
      <c r="Q154" t="str">
        <f t="shared" si="4"/>
        <v>JDG_Methane_YMF
Lowland_TSCA_H8
Internal Gas - #1/2 - 2021</v>
      </c>
      <c r="R154" t="str">
        <f t="shared" si="5"/>
        <v>JDG_Methane_YMF
Lowland_TSCA_H8
Internal Gas - #2/2 - 2021</v>
      </c>
    </row>
    <row r="155" spans="1:18" x14ac:dyDescent="0.2">
      <c r="A155" s="7" t="s">
        <v>59</v>
      </c>
      <c r="B155" s="7" t="s">
        <v>151</v>
      </c>
      <c r="C155" s="7" t="s">
        <v>166</v>
      </c>
      <c r="D155" s="7"/>
      <c r="E155" s="7"/>
      <c r="F155" s="7"/>
      <c r="G155" s="7">
        <v>31</v>
      </c>
      <c r="H155" s="7"/>
      <c r="I155" s="7"/>
      <c r="J155" s="7" t="str">
        <f>IF(I155="No", "Yes", "No")</f>
        <v>No</v>
      </c>
      <c r="K155" s="7" t="str">
        <f>"JDG_Methane_YMF"&amp;CHAR(10)&amp;A155&amp;"_"&amp;B155&amp;"_"&amp;C155&amp;CHAR(10)&amp;"Organic Soil - July 2021"</f>
        <v>JDG_Methane_YMF
Lowland_TSCA_H9
Organic Soil - July 2021</v>
      </c>
      <c r="L155" s="7" t="str">
        <f>"JDG_Methane_YMF"&amp;CHAR(10)&amp;A155&amp;"_"&amp;B155&amp;"_"&amp;C155&amp;CHAR(10)&amp;"Mineral Soil - July 2021"</f>
        <v>JDG_Methane_YMF
Lowland_TSCA_H9
Mineral Soil - July 2021</v>
      </c>
      <c r="M155" s="7" t="str">
        <f>"JDG_Methane_YMF"&amp;CHAR(10)&amp;A155&amp;"_"&amp;B155&amp;"_"&amp;C155&amp;CHAR(10)&amp;"Tree Core - MethaneTraits - 2021"</f>
        <v>JDG_Methane_YMF
Lowland_TSCA_H9
Tree Core - MethaneTraits - 2021</v>
      </c>
      <c r="N155" s="7" t="str">
        <f>"JDG_Methane_YMF"&amp;CHAR(10)&amp;A155&amp;"_"&amp;B155&amp;"_"&amp;C155&amp;CHAR(10)&amp;"Tree Core - Molecular - 2021"</f>
        <v>JDG_Methane_YMF
Lowland_TSCA_H9
Tree Core - Molecular - 2021</v>
      </c>
      <c r="O155" s="7" t="str">
        <f>"JDG_Methane_YMF"&amp;CHAR(10)&amp;A155&amp;"_"&amp;B155&amp;"_"&amp;C155&amp;CHAR(10)&amp;"Organic Soil - Molecular - 2021"</f>
        <v>JDG_Methane_YMF
Lowland_TSCA_H9
Organic Soil - Molecular - 2021</v>
      </c>
      <c r="P155" s="7" t="str">
        <f>"JDG_Methane_YMF"&amp;CHAR(10)&amp;A155&amp;"_"&amp;B155&amp;"_"&amp;C155&amp;CHAR(10)&amp;"Mineral Soil - Molecular - 2021"</f>
        <v>JDG_Methane_YMF
Lowland_TSCA_H9
Mineral Soil - Molecular - 2021</v>
      </c>
      <c r="Q155" t="str">
        <f t="shared" si="4"/>
        <v>JDG_Methane_YMF
Lowland_TSCA_H9
Internal Gas - #1/2 - 2021</v>
      </c>
      <c r="R155" t="str">
        <f t="shared" si="5"/>
        <v>JDG_Methane_YMF
Lowland_TSCA_H9
Internal Gas - #2/2 - 2021</v>
      </c>
    </row>
    <row r="156" spans="1:18" x14ac:dyDescent="0.2">
      <c r="A156" s="7" t="s">
        <v>59</v>
      </c>
      <c r="B156" s="7" t="s">
        <v>151</v>
      </c>
      <c r="C156" s="7" t="s">
        <v>57</v>
      </c>
      <c r="D156" s="7"/>
      <c r="E156" s="7"/>
      <c r="F156" s="7"/>
      <c r="G156" s="7">
        <v>26</v>
      </c>
      <c r="H156" s="7" t="s">
        <v>149</v>
      </c>
      <c r="I156" s="7"/>
      <c r="J156" s="7" t="str">
        <f>IF(I156="No", "Yes", "No")</f>
        <v>No</v>
      </c>
      <c r="K156" s="7" t="str">
        <f>"JDG_Methane_YMF"&amp;CHAR(10)&amp;A156&amp;"_"&amp;B156&amp;"_"&amp;C156&amp;CHAR(10)&amp;"Organic Soil - July 2021"</f>
        <v>JDG_Methane_YMF
Lowland_TSCA_Untagged
Organic Soil - July 2021</v>
      </c>
      <c r="L156" s="7" t="str">
        <f>"JDG_Methane_YMF"&amp;CHAR(10)&amp;A156&amp;"_"&amp;B156&amp;"_"&amp;C156&amp;CHAR(10)&amp;"Mineral Soil - July 2021"</f>
        <v>JDG_Methane_YMF
Lowland_TSCA_Untagged
Mineral Soil - July 2021</v>
      </c>
      <c r="M156" s="7" t="str">
        <f>"JDG_Methane_YMF"&amp;CHAR(10)&amp;A156&amp;"_"&amp;B156&amp;"_"&amp;C156&amp;CHAR(10)&amp;"Tree Core - MethaneTraits - 2021"</f>
        <v>JDG_Methane_YMF
Lowland_TSCA_Untagged
Tree Core - MethaneTraits - 2021</v>
      </c>
      <c r="N156" s="7" t="str">
        <f>"JDG_Methane_YMF"&amp;CHAR(10)&amp;A156&amp;"_"&amp;B156&amp;"_"&amp;C156&amp;CHAR(10)&amp;"Tree Core - Molecular - 2021"</f>
        <v>JDG_Methane_YMF
Lowland_TSCA_Untagged
Tree Core - Molecular - 2021</v>
      </c>
      <c r="O156" s="7" t="str">
        <f>"JDG_Methane_YMF"&amp;CHAR(10)&amp;A156&amp;"_"&amp;B156&amp;"_"&amp;C156&amp;CHAR(10)&amp;"Organic Soil - Molecular - 2021"</f>
        <v>JDG_Methane_YMF
Lowland_TSCA_Untagged
Organic Soil - Molecular - 2021</v>
      </c>
      <c r="P156" s="7" t="str">
        <f>"JDG_Methane_YMF"&amp;CHAR(10)&amp;A156&amp;"_"&amp;B156&amp;"_"&amp;C156&amp;CHAR(10)&amp;"Mineral Soil - Molecular - 2021"</f>
        <v>JDG_Methane_YMF
Lowland_TSCA_Untagged
Mineral Soil - Molecular - 2021</v>
      </c>
      <c r="Q156" t="str">
        <f t="shared" si="4"/>
        <v>JDG_Methane_YMF
Lowland_TSCA_Untagged
Internal Gas - #1/2 - 2021</v>
      </c>
      <c r="R156" t="str">
        <f t="shared" si="5"/>
        <v>JDG_Methane_YMF
Lowland_TSCA_Untagged
Internal Gas - #2/2 - 2021</v>
      </c>
    </row>
    <row r="157" spans="1:18" x14ac:dyDescent="0.2">
      <c r="A157" s="7" t="s">
        <v>59</v>
      </c>
      <c r="B157" s="7" t="s">
        <v>151</v>
      </c>
      <c r="C157" s="7" t="s">
        <v>57</v>
      </c>
      <c r="D157" s="7"/>
      <c r="E157" s="7"/>
      <c r="F157" s="7"/>
      <c r="G157" s="7">
        <v>59.5</v>
      </c>
      <c r="H157" s="7" t="s">
        <v>149</v>
      </c>
      <c r="I157" s="7"/>
      <c r="J157" s="7" t="str">
        <f>IF(I157="No", "Yes", "No")</f>
        <v>No</v>
      </c>
      <c r="K157" s="7" t="str">
        <f>"JDG_Methane_YMF"&amp;CHAR(10)&amp;A157&amp;"_"&amp;B157&amp;"_"&amp;C157&amp;CHAR(10)&amp;"Organic Soil - July 2021"</f>
        <v>JDG_Methane_YMF
Lowland_TSCA_Untagged
Organic Soil - July 2021</v>
      </c>
      <c r="L157" s="7" t="str">
        <f>"JDG_Methane_YMF"&amp;CHAR(10)&amp;A157&amp;"_"&amp;B157&amp;"_"&amp;C157&amp;CHAR(10)&amp;"Mineral Soil - July 2021"</f>
        <v>JDG_Methane_YMF
Lowland_TSCA_Untagged
Mineral Soil - July 2021</v>
      </c>
      <c r="M157" s="7" t="str">
        <f>"JDG_Methane_YMF"&amp;CHAR(10)&amp;A157&amp;"_"&amp;B157&amp;"_"&amp;C157&amp;CHAR(10)&amp;"Tree Core - MethaneTraits - 2021"</f>
        <v>JDG_Methane_YMF
Lowland_TSCA_Untagged
Tree Core - MethaneTraits - 2021</v>
      </c>
      <c r="N157" s="7" t="str">
        <f>"JDG_Methane_YMF"&amp;CHAR(10)&amp;A157&amp;"_"&amp;B157&amp;"_"&amp;C157&amp;CHAR(10)&amp;"Tree Core - Molecular - 2021"</f>
        <v>JDG_Methane_YMF
Lowland_TSCA_Untagged
Tree Core - Molecular - 2021</v>
      </c>
      <c r="O157" s="7" t="str">
        <f>"JDG_Methane_YMF"&amp;CHAR(10)&amp;A157&amp;"_"&amp;B157&amp;"_"&amp;C157&amp;CHAR(10)&amp;"Organic Soil - Molecular - 2021"</f>
        <v>JDG_Methane_YMF
Lowland_TSCA_Untagged
Organic Soil - Molecular - 2021</v>
      </c>
      <c r="P157" s="7" t="str">
        <f>"JDG_Methane_YMF"&amp;CHAR(10)&amp;A157&amp;"_"&amp;B157&amp;"_"&amp;C157&amp;CHAR(10)&amp;"Mineral Soil - Molecular - 2021"</f>
        <v>JDG_Methane_YMF
Lowland_TSCA_Untagged
Mineral Soil - Molecular - 2021</v>
      </c>
      <c r="Q157" t="str">
        <f t="shared" si="4"/>
        <v>JDG_Methane_YMF
Lowland_TSCA_Untagged
Internal Gas - #1/2 - 2021</v>
      </c>
      <c r="R157" t="str">
        <f t="shared" si="5"/>
        <v>JDG_Methane_YMF
Lowland_TSCA_Untagged
Internal Gas - #2/2 - 2021</v>
      </c>
    </row>
    <row r="158" spans="1:18" x14ac:dyDescent="0.2">
      <c r="A158" s="7" t="s">
        <v>21</v>
      </c>
      <c r="B158" s="7" t="s">
        <v>5</v>
      </c>
      <c r="C158" s="7" t="s">
        <v>57</v>
      </c>
      <c r="D158" s="7"/>
      <c r="E158" s="7"/>
      <c r="F158" s="7"/>
      <c r="G158" s="7">
        <v>21</v>
      </c>
      <c r="H158" s="7"/>
      <c r="I158" s="7" t="s">
        <v>225</v>
      </c>
      <c r="J158" s="7" t="str">
        <f>IF(I158="No", "Yes", "No")</f>
        <v>Yes</v>
      </c>
      <c r="K158" s="7" t="str">
        <f>"JDG_Methane_YMF"&amp;CHAR(10)&amp;A158&amp;"_"&amp;B158&amp;"_"&amp;C158&amp;CHAR(10)&amp;"Organic Soil - July 2021"</f>
        <v>JDG_Methane_YMF
Ridge_ACRU_Untagged
Organic Soil - July 2021</v>
      </c>
      <c r="L158" s="7" t="str">
        <f>"JDG_Methane_YMF"&amp;CHAR(10)&amp;A158&amp;"_"&amp;B158&amp;"_"&amp;C158&amp;CHAR(10)&amp;"Mineral Soil - July 2021"</f>
        <v>JDG_Methane_YMF
Ridge_ACRU_Untagged
Mineral Soil - July 2021</v>
      </c>
      <c r="M158" s="7" t="str">
        <f>"JDG_Methane_YMF"&amp;CHAR(10)&amp;A158&amp;"_"&amp;B158&amp;"_"&amp;C158&amp;CHAR(10)&amp;"Tree Core - MethaneTraits - 2021"</f>
        <v>JDG_Methane_YMF
Ridge_ACRU_Untagged
Tree Core - MethaneTraits - 2021</v>
      </c>
      <c r="N158" s="7" t="str">
        <f>"JDG_Methane_YMF"&amp;CHAR(10)&amp;A158&amp;"_"&amp;B158&amp;"_"&amp;C158&amp;CHAR(10)&amp;"Tree Core - Molecular - 2021"</f>
        <v>JDG_Methane_YMF
Ridge_ACRU_Untagged
Tree Core - Molecular - 2021</v>
      </c>
      <c r="O158" s="7" t="str">
        <f>"JDG_Methane_YMF"&amp;CHAR(10)&amp;A158&amp;"_"&amp;B158&amp;"_"&amp;C158&amp;CHAR(10)&amp;"Organic Soil - Molecular - 2021"</f>
        <v>JDG_Methane_YMF
Ridge_ACRU_Untagged
Organic Soil - Molecular - 2021</v>
      </c>
      <c r="P158" s="7" t="str">
        <f>"JDG_Methane_YMF"&amp;CHAR(10)&amp;A158&amp;"_"&amp;B158&amp;"_"&amp;C158&amp;CHAR(10)&amp;"Mineral Soil - Molecular - 2021"</f>
        <v>JDG_Methane_YMF
Ridge_ACRU_Untagged
Mineral Soil - Molecular - 2021</v>
      </c>
      <c r="Q158" t="str">
        <f t="shared" si="4"/>
        <v>JDG_Methane_YMF
Ridge_ACRU_Untagged
Internal Gas - #1/2 - 2021</v>
      </c>
      <c r="R158" t="str">
        <f t="shared" si="5"/>
        <v>JDG_Methane_YMF
Ridge_ACRU_Untagged
Internal Gas - #2/2 - 2021</v>
      </c>
    </row>
    <row r="159" spans="1:18" x14ac:dyDescent="0.2">
      <c r="A159" s="7" t="s">
        <v>21</v>
      </c>
      <c r="B159" s="7" t="s">
        <v>5</v>
      </c>
      <c r="C159" s="7" t="s">
        <v>57</v>
      </c>
      <c r="D159" s="7"/>
      <c r="E159" s="7"/>
      <c r="F159" s="7"/>
      <c r="G159" s="7">
        <v>23.5</v>
      </c>
      <c r="H159" s="7"/>
      <c r="I159" s="7" t="s">
        <v>225</v>
      </c>
      <c r="J159" s="7" t="str">
        <f>IF(I159="No", "Yes", "No")</f>
        <v>Yes</v>
      </c>
      <c r="K159" s="7" t="str">
        <f>"JDG_Methane_YMF"&amp;CHAR(10)&amp;A159&amp;"_"&amp;B159&amp;"_"&amp;C159&amp;CHAR(10)&amp;"Organic Soil - July 2021"</f>
        <v>JDG_Methane_YMF
Ridge_ACRU_Untagged
Organic Soil - July 2021</v>
      </c>
      <c r="L159" s="7" t="str">
        <f>"JDG_Methane_YMF"&amp;CHAR(10)&amp;A159&amp;"_"&amp;B159&amp;"_"&amp;C159&amp;CHAR(10)&amp;"Mineral Soil - July 2021"</f>
        <v>JDG_Methane_YMF
Ridge_ACRU_Untagged
Mineral Soil - July 2021</v>
      </c>
      <c r="M159" s="7" t="str">
        <f>"JDG_Methane_YMF"&amp;CHAR(10)&amp;A159&amp;"_"&amp;B159&amp;"_"&amp;C159&amp;CHAR(10)&amp;"Tree Core - MethaneTraits - 2021"</f>
        <v>JDG_Methane_YMF
Ridge_ACRU_Untagged
Tree Core - MethaneTraits - 2021</v>
      </c>
      <c r="N159" s="7" t="str">
        <f>"JDG_Methane_YMF"&amp;CHAR(10)&amp;A159&amp;"_"&amp;B159&amp;"_"&amp;C159&amp;CHAR(10)&amp;"Tree Core - Molecular - 2021"</f>
        <v>JDG_Methane_YMF
Ridge_ACRU_Untagged
Tree Core - Molecular - 2021</v>
      </c>
      <c r="O159" s="7" t="str">
        <f>"JDG_Methane_YMF"&amp;CHAR(10)&amp;A159&amp;"_"&amp;B159&amp;"_"&amp;C159&amp;CHAR(10)&amp;"Organic Soil - Molecular - 2021"</f>
        <v>JDG_Methane_YMF
Ridge_ACRU_Untagged
Organic Soil - Molecular - 2021</v>
      </c>
      <c r="P159" s="7" t="str">
        <f>"JDG_Methane_YMF"&amp;CHAR(10)&amp;A159&amp;"_"&amp;B159&amp;"_"&amp;C159&amp;CHAR(10)&amp;"Mineral Soil - Molecular - 2021"</f>
        <v>JDG_Methane_YMF
Ridge_ACRU_Untagged
Mineral Soil - Molecular - 2021</v>
      </c>
      <c r="Q159" t="str">
        <f t="shared" si="4"/>
        <v>JDG_Methane_YMF
Ridge_ACRU_Untagged
Internal Gas - #1/2 - 2021</v>
      </c>
      <c r="R159" t="str">
        <f t="shared" si="5"/>
        <v>JDG_Methane_YMF
Ridge_ACRU_Untagged
Internal Gas - #2/2 - 2021</v>
      </c>
    </row>
    <row r="160" spans="1:18" x14ac:dyDescent="0.2">
      <c r="A160" s="7" t="s">
        <v>21</v>
      </c>
      <c r="B160" s="7" t="s">
        <v>5</v>
      </c>
      <c r="C160" s="7" t="s">
        <v>57</v>
      </c>
      <c r="D160" s="7"/>
      <c r="E160" s="7"/>
      <c r="F160" s="7"/>
      <c r="G160" s="7">
        <v>24</v>
      </c>
      <c r="H160" s="7"/>
      <c r="I160" s="7" t="s">
        <v>225</v>
      </c>
      <c r="J160" s="7" t="str">
        <f>IF(I160="No", "Yes", "No")</f>
        <v>Yes</v>
      </c>
      <c r="K160" s="7" t="str">
        <f>"JDG_Methane_YMF"&amp;CHAR(10)&amp;A160&amp;"_"&amp;B160&amp;"_"&amp;C160&amp;CHAR(10)&amp;"Organic Soil - July 2021"</f>
        <v>JDG_Methane_YMF
Ridge_ACRU_Untagged
Organic Soil - July 2021</v>
      </c>
      <c r="L160" s="7" t="str">
        <f>"JDG_Methane_YMF"&amp;CHAR(10)&amp;A160&amp;"_"&amp;B160&amp;"_"&amp;C160&amp;CHAR(10)&amp;"Mineral Soil - July 2021"</f>
        <v>JDG_Methane_YMF
Ridge_ACRU_Untagged
Mineral Soil - July 2021</v>
      </c>
      <c r="M160" s="7" t="str">
        <f>"JDG_Methane_YMF"&amp;CHAR(10)&amp;A160&amp;"_"&amp;B160&amp;"_"&amp;C160&amp;CHAR(10)&amp;"Tree Core - MethaneTraits - 2021"</f>
        <v>JDG_Methane_YMF
Ridge_ACRU_Untagged
Tree Core - MethaneTraits - 2021</v>
      </c>
      <c r="N160" s="7" t="str">
        <f>"JDG_Methane_YMF"&amp;CHAR(10)&amp;A160&amp;"_"&amp;B160&amp;"_"&amp;C160&amp;CHAR(10)&amp;"Tree Core - Molecular - 2021"</f>
        <v>JDG_Methane_YMF
Ridge_ACRU_Untagged
Tree Core - Molecular - 2021</v>
      </c>
      <c r="O160" s="7" t="str">
        <f>"JDG_Methane_YMF"&amp;CHAR(10)&amp;A160&amp;"_"&amp;B160&amp;"_"&amp;C160&amp;CHAR(10)&amp;"Organic Soil - Molecular - 2021"</f>
        <v>JDG_Methane_YMF
Ridge_ACRU_Untagged
Organic Soil - Molecular - 2021</v>
      </c>
      <c r="P160" s="7" t="str">
        <f>"JDG_Methane_YMF"&amp;CHAR(10)&amp;A160&amp;"_"&amp;B160&amp;"_"&amp;C160&amp;CHAR(10)&amp;"Mineral Soil - Molecular - 2021"</f>
        <v>JDG_Methane_YMF
Ridge_ACRU_Untagged
Mineral Soil - Molecular - 2021</v>
      </c>
      <c r="Q160" t="str">
        <f t="shared" si="4"/>
        <v>JDG_Methane_YMF
Ridge_ACRU_Untagged
Internal Gas - #1/2 - 2021</v>
      </c>
      <c r="R160" t="str">
        <f t="shared" si="5"/>
        <v>JDG_Methane_YMF
Ridge_ACRU_Untagged
Internal Gas - #2/2 - 2021</v>
      </c>
    </row>
    <row r="161" spans="1:18" x14ac:dyDescent="0.2">
      <c r="A161" s="7" t="s">
        <v>21</v>
      </c>
      <c r="B161" s="7" t="s">
        <v>5</v>
      </c>
      <c r="C161" s="7" t="s">
        <v>57</v>
      </c>
      <c r="D161" s="7"/>
      <c r="E161" s="7"/>
      <c r="F161" s="7"/>
      <c r="G161" s="7">
        <v>28</v>
      </c>
      <c r="H161" s="7"/>
      <c r="I161" s="7" t="s">
        <v>225</v>
      </c>
      <c r="J161" s="7" t="str">
        <f>IF(I161="No", "Yes", "No")</f>
        <v>Yes</v>
      </c>
      <c r="K161" s="7" t="str">
        <f>"JDG_Methane_YMF"&amp;CHAR(10)&amp;A161&amp;"_"&amp;B161&amp;"_"&amp;C161&amp;CHAR(10)&amp;"Organic Soil - July 2021"</f>
        <v>JDG_Methane_YMF
Ridge_ACRU_Untagged
Organic Soil - July 2021</v>
      </c>
      <c r="L161" s="7" t="str">
        <f>"JDG_Methane_YMF"&amp;CHAR(10)&amp;A161&amp;"_"&amp;B161&amp;"_"&amp;C161&amp;CHAR(10)&amp;"Mineral Soil - July 2021"</f>
        <v>JDG_Methane_YMF
Ridge_ACRU_Untagged
Mineral Soil - July 2021</v>
      </c>
      <c r="M161" s="7" t="str">
        <f>"JDG_Methane_YMF"&amp;CHAR(10)&amp;A161&amp;"_"&amp;B161&amp;"_"&amp;C161&amp;CHAR(10)&amp;"Tree Core - MethaneTraits - 2021"</f>
        <v>JDG_Methane_YMF
Ridge_ACRU_Untagged
Tree Core - MethaneTraits - 2021</v>
      </c>
      <c r="N161" s="7" t="str">
        <f>"JDG_Methane_YMF"&amp;CHAR(10)&amp;A161&amp;"_"&amp;B161&amp;"_"&amp;C161&amp;CHAR(10)&amp;"Tree Core - Molecular - 2021"</f>
        <v>JDG_Methane_YMF
Ridge_ACRU_Untagged
Tree Core - Molecular - 2021</v>
      </c>
      <c r="O161" s="7" t="str">
        <f>"JDG_Methane_YMF"&amp;CHAR(10)&amp;A161&amp;"_"&amp;B161&amp;"_"&amp;C161&amp;CHAR(10)&amp;"Organic Soil - Molecular - 2021"</f>
        <v>JDG_Methane_YMF
Ridge_ACRU_Untagged
Organic Soil - Molecular - 2021</v>
      </c>
      <c r="P161" s="7" t="str">
        <f>"JDG_Methane_YMF"&amp;CHAR(10)&amp;A161&amp;"_"&amp;B161&amp;"_"&amp;C161&amp;CHAR(10)&amp;"Mineral Soil - Molecular - 2021"</f>
        <v>JDG_Methane_YMF
Ridge_ACRU_Untagged
Mineral Soil - Molecular - 2021</v>
      </c>
      <c r="Q161" t="str">
        <f t="shared" si="4"/>
        <v>JDG_Methane_YMF
Ridge_ACRU_Untagged
Internal Gas - #1/2 - 2021</v>
      </c>
      <c r="R161" t="str">
        <f t="shared" si="5"/>
        <v>JDG_Methane_YMF
Ridge_ACRU_Untagged
Internal Gas - #2/2 - 2021</v>
      </c>
    </row>
    <row r="162" spans="1:18" x14ac:dyDescent="0.2">
      <c r="A162" s="7" t="s">
        <v>21</v>
      </c>
      <c r="B162" s="7" t="s">
        <v>5</v>
      </c>
      <c r="C162" s="7" t="s">
        <v>57</v>
      </c>
      <c r="D162" s="7"/>
      <c r="E162" s="7"/>
      <c r="F162" s="7"/>
      <c r="G162" s="7">
        <v>29</v>
      </c>
      <c r="H162" s="7"/>
      <c r="I162" s="7" t="s">
        <v>225</v>
      </c>
      <c r="J162" s="7" t="str">
        <f>IF(I162="No", "Yes", "No")</f>
        <v>Yes</v>
      </c>
      <c r="K162" s="7" t="str">
        <f>"JDG_Methane_YMF"&amp;CHAR(10)&amp;A162&amp;"_"&amp;B162&amp;"_"&amp;C162&amp;CHAR(10)&amp;"Organic Soil - July 2021"</f>
        <v>JDG_Methane_YMF
Ridge_ACRU_Untagged
Organic Soil - July 2021</v>
      </c>
      <c r="L162" s="7" t="str">
        <f>"JDG_Methane_YMF"&amp;CHAR(10)&amp;A162&amp;"_"&amp;B162&amp;"_"&amp;C162&amp;CHAR(10)&amp;"Mineral Soil - July 2021"</f>
        <v>JDG_Methane_YMF
Ridge_ACRU_Untagged
Mineral Soil - July 2021</v>
      </c>
      <c r="M162" s="7" t="str">
        <f>"JDG_Methane_YMF"&amp;CHAR(10)&amp;A162&amp;"_"&amp;B162&amp;"_"&amp;C162&amp;CHAR(10)&amp;"Tree Core - MethaneTraits - 2021"</f>
        <v>JDG_Methane_YMF
Ridge_ACRU_Untagged
Tree Core - MethaneTraits - 2021</v>
      </c>
      <c r="N162" s="7" t="str">
        <f>"JDG_Methane_YMF"&amp;CHAR(10)&amp;A162&amp;"_"&amp;B162&amp;"_"&amp;C162&amp;CHAR(10)&amp;"Tree Core - Molecular - 2021"</f>
        <v>JDG_Methane_YMF
Ridge_ACRU_Untagged
Tree Core - Molecular - 2021</v>
      </c>
      <c r="O162" s="7" t="str">
        <f>"JDG_Methane_YMF"&amp;CHAR(10)&amp;A162&amp;"_"&amp;B162&amp;"_"&amp;C162&amp;CHAR(10)&amp;"Organic Soil - Molecular - 2021"</f>
        <v>JDG_Methane_YMF
Ridge_ACRU_Untagged
Organic Soil - Molecular - 2021</v>
      </c>
      <c r="P162" s="7" t="str">
        <f>"JDG_Methane_YMF"&amp;CHAR(10)&amp;A162&amp;"_"&amp;B162&amp;"_"&amp;C162&amp;CHAR(10)&amp;"Mineral Soil - Molecular - 2021"</f>
        <v>JDG_Methane_YMF
Ridge_ACRU_Untagged
Mineral Soil - Molecular - 2021</v>
      </c>
      <c r="Q162" t="str">
        <f t="shared" si="4"/>
        <v>JDG_Methane_YMF
Ridge_ACRU_Untagged
Internal Gas - #1/2 - 2021</v>
      </c>
      <c r="R162" t="str">
        <f t="shared" si="5"/>
        <v>JDG_Methane_YMF
Ridge_ACRU_Untagged
Internal Gas - #2/2 - 2021</v>
      </c>
    </row>
    <row r="163" spans="1:18" x14ac:dyDescent="0.2">
      <c r="A163" s="7" t="s">
        <v>21</v>
      </c>
      <c r="B163" s="7" t="s">
        <v>41</v>
      </c>
      <c r="C163" s="7" t="s">
        <v>63</v>
      </c>
      <c r="D163" s="7"/>
      <c r="E163" s="7"/>
      <c r="F163" s="7"/>
      <c r="G163" s="7">
        <v>41</v>
      </c>
      <c r="H163" s="7" t="s">
        <v>21</v>
      </c>
      <c r="I163" s="7" t="s">
        <v>225</v>
      </c>
      <c r="J163" s="7" t="str">
        <f>IF(I163="No", "Yes", "No")</f>
        <v>Yes</v>
      </c>
      <c r="K163" s="7" t="str">
        <f>"JDG_Methane_YMF"&amp;CHAR(10)&amp;A163&amp;"_"&amp;B163&amp;"_"&amp;C163&amp;CHAR(10)&amp;"Organic Soil - July 2021"</f>
        <v>JDG_Methane_YMF
Ridge_ACSA_SMR1
Organic Soil - July 2021</v>
      </c>
      <c r="L163" s="7" t="str">
        <f>"JDG_Methane_YMF"&amp;CHAR(10)&amp;A163&amp;"_"&amp;B163&amp;"_"&amp;C163&amp;CHAR(10)&amp;"Mineral Soil - July 2021"</f>
        <v>JDG_Methane_YMF
Ridge_ACSA_SMR1
Mineral Soil - July 2021</v>
      </c>
      <c r="M163" s="7" t="str">
        <f>"JDG_Methane_YMF"&amp;CHAR(10)&amp;A163&amp;"_"&amp;B163&amp;"_"&amp;C163&amp;CHAR(10)&amp;"Tree Core - MethaneTraits - 2021"</f>
        <v>JDG_Methane_YMF
Ridge_ACSA_SMR1
Tree Core - MethaneTraits - 2021</v>
      </c>
      <c r="N163" s="7" t="str">
        <f>"JDG_Methane_YMF"&amp;CHAR(10)&amp;A163&amp;"_"&amp;B163&amp;"_"&amp;C163&amp;CHAR(10)&amp;"Tree Core - Molecular - 2021"</f>
        <v>JDG_Methane_YMF
Ridge_ACSA_SMR1
Tree Core - Molecular - 2021</v>
      </c>
      <c r="O163" s="7" t="str">
        <f>"JDG_Methane_YMF"&amp;CHAR(10)&amp;A163&amp;"_"&amp;B163&amp;"_"&amp;C163&amp;CHAR(10)&amp;"Organic Soil - Molecular - 2021"</f>
        <v>JDG_Methane_YMF
Ridge_ACSA_SMR1
Organic Soil - Molecular - 2021</v>
      </c>
      <c r="P163" s="7" t="str">
        <f>"JDG_Methane_YMF"&amp;CHAR(10)&amp;A163&amp;"_"&amp;B163&amp;"_"&amp;C163&amp;CHAR(10)&amp;"Mineral Soil - Molecular - 2021"</f>
        <v>JDG_Methane_YMF
Ridge_ACSA_SMR1
Mineral Soil - Molecular - 2021</v>
      </c>
      <c r="Q163" t="str">
        <f t="shared" si="4"/>
        <v>JDG_Methane_YMF
Ridge_ACSA_SMR1
Internal Gas - #1/2 - 2021</v>
      </c>
      <c r="R163" t="str">
        <f t="shared" si="5"/>
        <v>JDG_Methane_YMF
Ridge_ACSA_SMR1
Internal Gas - #2/2 - 2021</v>
      </c>
    </row>
    <row r="164" spans="1:18" x14ac:dyDescent="0.2">
      <c r="A164" s="7" t="s">
        <v>21</v>
      </c>
      <c r="B164" s="7" t="s">
        <v>64</v>
      </c>
      <c r="C164" s="7" t="s">
        <v>79</v>
      </c>
      <c r="D164" s="7"/>
      <c r="E164" s="7"/>
      <c r="F164" s="7"/>
      <c r="G164" s="7">
        <v>28.5</v>
      </c>
      <c r="H164" s="7"/>
      <c r="I164" s="7" t="s">
        <v>224</v>
      </c>
      <c r="J164" s="7" t="str">
        <f>IF(I164="No", "Yes", "No")</f>
        <v>No</v>
      </c>
      <c r="K164" s="7" t="str">
        <f>"JDG_Methane_YMF"&amp;CHAR(10)&amp;A164&amp;"_"&amp;B164&amp;"_"&amp;C164&amp;CHAR(10)&amp;"Organic Soil - July 2021"</f>
        <v>JDG_Methane_YMF
Ridge_BELE_BB10
Organic Soil - July 2021</v>
      </c>
      <c r="L164" s="7" t="str">
        <f>"JDG_Methane_YMF"&amp;CHAR(10)&amp;A164&amp;"_"&amp;B164&amp;"_"&amp;C164&amp;CHAR(10)&amp;"Mineral Soil - July 2021"</f>
        <v>JDG_Methane_YMF
Ridge_BELE_BB10
Mineral Soil - July 2021</v>
      </c>
      <c r="M164" s="7" t="str">
        <f>"JDG_Methane_YMF"&amp;CHAR(10)&amp;A164&amp;"_"&amp;B164&amp;"_"&amp;C164&amp;CHAR(10)&amp;"Tree Core - MethaneTraits - 2021"</f>
        <v>JDG_Methane_YMF
Ridge_BELE_BB10
Tree Core - MethaneTraits - 2021</v>
      </c>
      <c r="N164" s="7" t="str">
        <f>"JDG_Methane_YMF"&amp;CHAR(10)&amp;A164&amp;"_"&amp;B164&amp;"_"&amp;C164&amp;CHAR(10)&amp;"Tree Core - Molecular - 2021"</f>
        <v>JDG_Methane_YMF
Ridge_BELE_BB10
Tree Core - Molecular - 2021</v>
      </c>
      <c r="O164" s="7" t="str">
        <f>"JDG_Methane_YMF"&amp;CHAR(10)&amp;A164&amp;"_"&amp;B164&amp;"_"&amp;C164&amp;CHAR(10)&amp;"Organic Soil - Molecular - 2021"</f>
        <v>JDG_Methane_YMF
Ridge_BELE_BB10
Organic Soil - Molecular - 2021</v>
      </c>
      <c r="P164" s="7" t="str">
        <f>"JDG_Methane_YMF"&amp;CHAR(10)&amp;A164&amp;"_"&amp;B164&amp;"_"&amp;C164&amp;CHAR(10)&amp;"Mineral Soil - Molecular - 2021"</f>
        <v>JDG_Methane_YMF
Ridge_BELE_BB10
Mineral Soil - Molecular - 2021</v>
      </c>
      <c r="Q164" t="str">
        <f t="shared" si="4"/>
        <v>JDG_Methane_YMF
Ridge_BELE_BB10
Internal Gas - #1/2 - 2021</v>
      </c>
      <c r="R164" t="str">
        <f t="shared" si="5"/>
        <v>JDG_Methane_YMF
Ridge_BELE_BB10
Internal Gas - #2/2 - 2021</v>
      </c>
    </row>
    <row r="165" spans="1:18" x14ac:dyDescent="0.2">
      <c r="A165" s="7" t="s">
        <v>21</v>
      </c>
      <c r="B165" s="7" t="s">
        <v>64</v>
      </c>
      <c r="C165" s="7" t="s">
        <v>80</v>
      </c>
      <c r="D165" s="7"/>
      <c r="E165" s="7"/>
      <c r="F165" s="7"/>
      <c r="G165" s="7">
        <v>29</v>
      </c>
      <c r="H165" s="7"/>
      <c r="I165" s="7" t="s">
        <v>225</v>
      </c>
      <c r="J165" s="7" t="str">
        <f>IF(I165="No", "Yes", "No")</f>
        <v>Yes</v>
      </c>
      <c r="K165" s="7" t="str">
        <f>"JDG_Methane_YMF"&amp;CHAR(10)&amp;A165&amp;"_"&amp;B165&amp;"_"&amp;C165&amp;CHAR(10)&amp;"Organic Soil - July 2021"</f>
        <v>JDG_Methane_YMF
Ridge_BELE_BB10'
Organic Soil - July 2021</v>
      </c>
      <c r="L165" s="7" t="str">
        <f>"JDG_Methane_YMF"&amp;CHAR(10)&amp;A165&amp;"_"&amp;B165&amp;"_"&amp;C165&amp;CHAR(10)&amp;"Mineral Soil - July 2021"</f>
        <v>JDG_Methane_YMF
Ridge_BELE_BB10'
Mineral Soil - July 2021</v>
      </c>
      <c r="M165" s="7" t="str">
        <f>"JDG_Methane_YMF"&amp;CHAR(10)&amp;A165&amp;"_"&amp;B165&amp;"_"&amp;C165&amp;CHAR(10)&amp;"Tree Core - MethaneTraits - 2021"</f>
        <v>JDG_Methane_YMF
Ridge_BELE_BB10'
Tree Core - MethaneTraits - 2021</v>
      </c>
      <c r="N165" s="7" t="str">
        <f>"JDG_Methane_YMF"&amp;CHAR(10)&amp;A165&amp;"_"&amp;B165&amp;"_"&amp;C165&amp;CHAR(10)&amp;"Tree Core - Molecular - 2021"</f>
        <v>JDG_Methane_YMF
Ridge_BELE_BB10'
Tree Core - Molecular - 2021</v>
      </c>
      <c r="O165" s="7" t="str">
        <f>"JDG_Methane_YMF"&amp;CHAR(10)&amp;A165&amp;"_"&amp;B165&amp;"_"&amp;C165&amp;CHAR(10)&amp;"Organic Soil - Molecular - 2021"</f>
        <v>JDG_Methane_YMF
Ridge_BELE_BB10'
Organic Soil - Molecular - 2021</v>
      </c>
      <c r="P165" s="7" t="str">
        <f>"JDG_Methane_YMF"&amp;CHAR(10)&amp;A165&amp;"_"&amp;B165&amp;"_"&amp;C165&amp;CHAR(10)&amp;"Mineral Soil - Molecular - 2021"</f>
        <v>JDG_Methane_YMF
Ridge_BELE_BB10'
Mineral Soil - Molecular - 2021</v>
      </c>
      <c r="Q165" t="str">
        <f t="shared" si="4"/>
        <v>JDG_Methane_YMF
Ridge_BELE_BB10'
Internal Gas - #1/2 - 2021</v>
      </c>
      <c r="R165" t="str">
        <f t="shared" si="5"/>
        <v>JDG_Methane_YMF
Ridge_BELE_BB10'
Internal Gas - #2/2 - 2021</v>
      </c>
    </row>
    <row r="166" spans="1:18" x14ac:dyDescent="0.2">
      <c r="A166" s="7" t="s">
        <v>21</v>
      </c>
      <c r="B166" s="7" t="s">
        <v>64</v>
      </c>
      <c r="C166" s="7" t="s">
        <v>81</v>
      </c>
      <c r="D166" s="7"/>
      <c r="E166" s="7"/>
      <c r="F166" s="7"/>
      <c r="G166" s="7">
        <v>31.5</v>
      </c>
      <c r="H166" s="7"/>
      <c r="I166" s="7" t="s">
        <v>225</v>
      </c>
      <c r="J166" s="7" t="str">
        <f>IF(I166="No", "Yes", "No")</f>
        <v>Yes</v>
      </c>
      <c r="K166" s="7" t="str">
        <f>"JDG_Methane_YMF"&amp;CHAR(10)&amp;A166&amp;"_"&amp;B166&amp;"_"&amp;C166&amp;CHAR(10)&amp;"Organic Soil - July 2021"</f>
        <v>JDG_Methane_YMF
Ridge_BELE_BB11
Organic Soil - July 2021</v>
      </c>
      <c r="L166" s="7" t="str">
        <f>"JDG_Methane_YMF"&amp;CHAR(10)&amp;A166&amp;"_"&amp;B166&amp;"_"&amp;C166&amp;CHAR(10)&amp;"Mineral Soil - July 2021"</f>
        <v>JDG_Methane_YMF
Ridge_BELE_BB11
Mineral Soil - July 2021</v>
      </c>
      <c r="M166" s="7" t="str">
        <f>"JDG_Methane_YMF"&amp;CHAR(10)&amp;A166&amp;"_"&amp;B166&amp;"_"&amp;C166&amp;CHAR(10)&amp;"Tree Core - MethaneTraits - 2021"</f>
        <v>JDG_Methane_YMF
Ridge_BELE_BB11
Tree Core - MethaneTraits - 2021</v>
      </c>
      <c r="N166" s="7" t="str">
        <f>"JDG_Methane_YMF"&amp;CHAR(10)&amp;A166&amp;"_"&amp;B166&amp;"_"&amp;C166&amp;CHAR(10)&amp;"Tree Core - Molecular - 2021"</f>
        <v>JDG_Methane_YMF
Ridge_BELE_BB11
Tree Core - Molecular - 2021</v>
      </c>
      <c r="O166" s="7" t="str">
        <f>"JDG_Methane_YMF"&amp;CHAR(10)&amp;A166&amp;"_"&amp;B166&amp;"_"&amp;C166&amp;CHAR(10)&amp;"Organic Soil - Molecular - 2021"</f>
        <v>JDG_Methane_YMF
Ridge_BELE_BB11
Organic Soil - Molecular - 2021</v>
      </c>
      <c r="P166" s="7" t="str">
        <f>"JDG_Methane_YMF"&amp;CHAR(10)&amp;A166&amp;"_"&amp;B166&amp;"_"&amp;C166&amp;CHAR(10)&amp;"Mineral Soil - Molecular - 2021"</f>
        <v>JDG_Methane_YMF
Ridge_BELE_BB11
Mineral Soil - Molecular - 2021</v>
      </c>
      <c r="Q166" t="str">
        <f t="shared" si="4"/>
        <v>JDG_Methane_YMF
Ridge_BELE_BB11
Internal Gas - #1/2 - 2021</v>
      </c>
      <c r="R166" t="str">
        <f t="shared" si="5"/>
        <v>JDG_Methane_YMF
Ridge_BELE_BB11
Internal Gas - #2/2 - 2021</v>
      </c>
    </row>
    <row r="167" spans="1:18" x14ac:dyDescent="0.2">
      <c r="A167" s="7" t="s">
        <v>21</v>
      </c>
      <c r="B167" s="7" t="s">
        <v>64</v>
      </c>
      <c r="C167" s="7" t="s">
        <v>82</v>
      </c>
      <c r="D167" s="7"/>
      <c r="E167" s="7"/>
      <c r="F167" s="7"/>
      <c r="G167" s="7">
        <v>26.5</v>
      </c>
      <c r="H167" s="7"/>
      <c r="I167" s="7" t="s">
        <v>225</v>
      </c>
      <c r="J167" s="7" t="str">
        <f>IF(I167="No", "Yes", "No")</f>
        <v>Yes</v>
      </c>
      <c r="K167" s="7" t="str">
        <f>"JDG_Methane_YMF"&amp;CHAR(10)&amp;A167&amp;"_"&amp;B167&amp;"_"&amp;C167&amp;CHAR(10)&amp;"Organic Soil - July 2021"</f>
        <v>JDG_Methane_YMF
Ridge_BELE_BB12
Organic Soil - July 2021</v>
      </c>
      <c r="L167" s="7" t="str">
        <f>"JDG_Methane_YMF"&amp;CHAR(10)&amp;A167&amp;"_"&amp;B167&amp;"_"&amp;C167&amp;CHAR(10)&amp;"Mineral Soil - July 2021"</f>
        <v>JDG_Methane_YMF
Ridge_BELE_BB12
Mineral Soil - July 2021</v>
      </c>
      <c r="M167" s="7" t="str">
        <f>"JDG_Methane_YMF"&amp;CHAR(10)&amp;A167&amp;"_"&amp;B167&amp;"_"&amp;C167&amp;CHAR(10)&amp;"Tree Core - MethaneTraits - 2021"</f>
        <v>JDG_Methane_YMF
Ridge_BELE_BB12
Tree Core - MethaneTraits - 2021</v>
      </c>
      <c r="N167" s="7" t="str">
        <f>"JDG_Methane_YMF"&amp;CHAR(10)&amp;A167&amp;"_"&amp;B167&amp;"_"&amp;C167&amp;CHAR(10)&amp;"Tree Core - Molecular - 2021"</f>
        <v>JDG_Methane_YMF
Ridge_BELE_BB12
Tree Core - Molecular - 2021</v>
      </c>
      <c r="O167" s="7" t="str">
        <f>"JDG_Methane_YMF"&amp;CHAR(10)&amp;A167&amp;"_"&amp;B167&amp;"_"&amp;C167&amp;CHAR(10)&amp;"Organic Soil - Molecular - 2021"</f>
        <v>JDG_Methane_YMF
Ridge_BELE_BB12
Organic Soil - Molecular - 2021</v>
      </c>
      <c r="P167" s="7" t="str">
        <f>"JDG_Methane_YMF"&amp;CHAR(10)&amp;A167&amp;"_"&amp;B167&amp;"_"&amp;C167&amp;CHAR(10)&amp;"Mineral Soil - Molecular - 2021"</f>
        <v>JDG_Methane_YMF
Ridge_BELE_BB12
Mineral Soil - Molecular - 2021</v>
      </c>
      <c r="Q167" t="str">
        <f t="shared" si="4"/>
        <v>JDG_Methane_YMF
Ridge_BELE_BB12
Internal Gas - #1/2 - 2021</v>
      </c>
      <c r="R167" t="str">
        <f t="shared" si="5"/>
        <v>JDG_Methane_YMF
Ridge_BELE_BB12
Internal Gas - #2/2 - 2021</v>
      </c>
    </row>
    <row r="168" spans="1:18" x14ac:dyDescent="0.2">
      <c r="A168" s="7" t="s">
        <v>21</v>
      </c>
      <c r="B168" s="7" t="s">
        <v>64</v>
      </c>
      <c r="C168" s="7" t="s">
        <v>83</v>
      </c>
      <c r="D168" s="7"/>
      <c r="E168" s="7"/>
      <c r="F168" s="7"/>
      <c r="G168" s="7">
        <v>31</v>
      </c>
      <c r="H168" s="7"/>
      <c r="I168" s="7" t="s">
        <v>224</v>
      </c>
      <c r="J168" s="7" t="str">
        <f>IF(I168="No", "Yes", "No")</f>
        <v>No</v>
      </c>
      <c r="K168" s="7" t="str">
        <f>"JDG_Methane_YMF"&amp;CHAR(10)&amp;A168&amp;"_"&amp;B168&amp;"_"&amp;C168&amp;CHAR(10)&amp;"Organic Soil - July 2021"</f>
        <v>JDG_Methane_YMF
Ridge_BELE_BB13
Organic Soil - July 2021</v>
      </c>
      <c r="L168" s="7" t="str">
        <f>"JDG_Methane_YMF"&amp;CHAR(10)&amp;A168&amp;"_"&amp;B168&amp;"_"&amp;C168&amp;CHAR(10)&amp;"Mineral Soil - July 2021"</f>
        <v>JDG_Methane_YMF
Ridge_BELE_BB13
Mineral Soil - July 2021</v>
      </c>
      <c r="M168" s="7" t="str">
        <f>"JDG_Methane_YMF"&amp;CHAR(10)&amp;A168&amp;"_"&amp;B168&amp;"_"&amp;C168&amp;CHAR(10)&amp;"Tree Core - MethaneTraits - 2021"</f>
        <v>JDG_Methane_YMF
Ridge_BELE_BB13
Tree Core - MethaneTraits - 2021</v>
      </c>
      <c r="N168" s="7" t="str">
        <f>"JDG_Methane_YMF"&amp;CHAR(10)&amp;A168&amp;"_"&amp;B168&amp;"_"&amp;C168&amp;CHAR(10)&amp;"Tree Core - Molecular - 2021"</f>
        <v>JDG_Methane_YMF
Ridge_BELE_BB13
Tree Core - Molecular - 2021</v>
      </c>
      <c r="O168" s="7" t="str">
        <f>"JDG_Methane_YMF"&amp;CHAR(10)&amp;A168&amp;"_"&amp;B168&amp;"_"&amp;C168&amp;CHAR(10)&amp;"Organic Soil - Molecular - 2021"</f>
        <v>JDG_Methane_YMF
Ridge_BELE_BB13
Organic Soil - Molecular - 2021</v>
      </c>
      <c r="P168" s="7" t="str">
        <f>"JDG_Methane_YMF"&amp;CHAR(10)&amp;A168&amp;"_"&amp;B168&amp;"_"&amp;C168&amp;CHAR(10)&amp;"Mineral Soil - Molecular - 2021"</f>
        <v>JDG_Methane_YMF
Ridge_BELE_BB13
Mineral Soil - Molecular - 2021</v>
      </c>
      <c r="Q168" t="str">
        <f t="shared" si="4"/>
        <v>JDG_Methane_YMF
Ridge_BELE_BB13
Internal Gas - #1/2 - 2021</v>
      </c>
      <c r="R168" t="str">
        <f t="shared" si="5"/>
        <v>JDG_Methane_YMF
Ridge_BELE_BB13
Internal Gas - #2/2 - 2021</v>
      </c>
    </row>
    <row r="169" spans="1:18" x14ac:dyDescent="0.2">
      <c r="A169" s="7" t="s">
        <v>21</v>
      </c>
      <c r="B169" s="7" t="s">
        <v>64</v>
      </c>
      <c r="C169" s="7" t="s">
        <v>84</v>
      </c>
      <c r="D169" s="7"/>
      <c r="E169" s="7"/>
      <c r="F169" s="7"/>
      <c r="G169" s="7">
        <v>24.5</v>
      </c>
      <c r="H169" s="7"/>
      <c r="I169" s="7" t="s">
        <v>225</v>
      </c>
      <c r="J169" s="7" t="str">
        <f>IF(I169="No", "Yes", "No")</f>
        <v>Yes</v>
      </c>
      <c r="K169" s="7" t="str">
        <f>"JDG_Methane_YMF"&amp;CHAR(10)&amp;A169&amp;"_"&amp;B169&amp;"_"&amp;C169&amp;CHAR(10)&amp;"Organic Soil - July 2021"</f>
        <v>JDG_Methane_YMF
Ridge_BELE_BB14
Organic Soil - July 2021</v>
      </c>
      <c r="L169" s="7" t="str">
        <f>"JDG_Methane_YMF"&amp;CHAR(10)&amp;A169&amp;"_"&amp;B169&amp;"_"&amp;C169&amp;CHAR(10)&amp;"Mineral Soil - July 2021"</f>
        <v>JDG_Methane_YMF
Ridge_BELE_BB14
Mineral Soil - July 2021</v>
      </c>
      <c r="M169" s="7" t="str">
        <f>"JDG_Methane_YMF"&amp;CHAR(10)&amp;A169&amp;"_"&amp;B169&amp;"_"&amp;C169&amp;CHAR(10)&amp;"Tree Core - MethaneTraits - 2021"</f>
        <v>JDG_Methane_YMF
Ridge_BELE_BB14
Tree Core - MethaneTraits - 2021</v>
      </c>
      <c r="N169" s="7" t="str">
        <f>"JDG_Methane_YMF"&amp;CHAR(10)&amp;A169&amp;"_"&amp;B169&amp;"_"&amp;C169&amp;CHAR(10)&amp;"Tree Core - Molecular - 2021"</f>
        <v>JDG_Methane_YMF
Ridge_BELE_BB14
Tree Core - Molecular - 2021</v>
      </c>
      <c r="O169" s="7" t="str">
        <f>"JDG_Methane_YMF"&amp;CHAR(10)&amp;A169&amp;"_"&amp;B169&amp;"_"&amp;C169&amp;CHAR(10)&amp;"Organic Soil - Molecular - 2021"</f>
        <v>JDG_Methane_YMF
Ridge_BELE_BB14
Organic Soil - Molecular - 2021</v>
      </c>
      <c r="P169" s="7" t="str">
        <f>"JDG_Methane_YMF"&amp;CHAR(10)&amp;A169&amp;"_"&amp;B169&amp;"_"&amp;C169&amp;CHAR(10)&amp;"Mineral Soil - Molecular - 2021"</f>
        <v>JDG_Methane_YMF
Ridge_BELE_BB14
Mineral Soil - Molecular - 2021</v>
      </c>
      <c r="Q169" t="str">
        <f t="shared" si="4"/>
        <v>JDG_Methane_YMF
Ridge_BELE_BB14
Internal Gas - #1/2 - 2021</v>
      </c>
      <c r="R169" t="str">
        <f t="shared" si="5"/>
        <v>JDG_Methane_YMF
Ridge_BELE_BB14
Internal Gas - #2/2 - 2021</v>
      </c>
    </row>
    <row r="170" spans="1:18" x14ac:dyDescent="0.2">
      <c r="A170" s="7" t="s">
        <v>21</v>
      </c>
      <c r="B170" s="7" t="s">
        <v>64</v>
      </c>
      <c r="C170" s="7" t="s">
        <v>85</v>
      </c>
      <c r="D170" s="7"/>
      <c r="E170" s="7"/>
      <c r="F170" s="7"/>
      <c r="G170" s="7">
        <v>33.5</v>
      </c>
      <c r="H170" s="7"/>
      <c r="I170" s="7" t="s">
        <v>225</v>
      </c>
      <c r="J170" s="7" t="str">
        <f>IF(I170="No", "Yes", "No")</f>
        <v>Yes</v>
      </c>
      <c r="K170" s="7" t="str">
        <f>"JDG_Methane_YMF"&amp;CHAR(10)&amp;A170&amp;"_"&amp;B170&amp;"_"&amp;C170&amp;CHAR(10)&amp;"Organic Soil - July 2021"</f>
        <v>JDG_Methane_YMF
Ridge_BELE_BB16
Organic Soil - July 2021</v>
      </c>
      <c r="L170" s="7" t="str">
        <f>"JDG_Methane_YMF"&amp;CHAR(10)&amp;A170&amp;"_"&amp;B170&amp;"_"&amp;C170&amp;CHAR(10)&amp;"Mineral Soil - July 2021"</f>
        <v>JDG_Methane_YMF
Ridge_BELE_BB16
Mineral Soil - July 2021</v>
      </c>
      <c r="M170" s="7" t="str">
        <f>"JDG_Methane_YMF"&amp;CHAR(10)&amp;A170&amp;"_"&amp;B170&amp;"_"&amp;C170&amp;CHAR(10)&amp;"Tree Core - MethaneTraits - 2021"</f>
        <v>JDG_Methane_YMF
Ridge_BELE_BB16
Tree Core - MethaneTraits - 2021</v>
      </c>
      <c r="N170" s="7" t="str">
        <f>"JDG_Methane_YMF"&amp;CHAR(10)&amp;A170&amp;"_"&amp;B170&amp;"_"&amp;C170&amp;CHAR(10)&amp;"Tree Core - Molecular - 2021"</f>
        <v>JDG_Methane_YMF
Ridge_BELE_BB16
Tree Core - Molecular - 2021</v>
      </c>
      <c r="O170" s="7" t="str">
        <f>"JDG_Methane_YMF"&amp;CHAR(10)&amp;A170&amp;"_"&amp;B170&amp;"_"&amp;C170&amp;CHAR(10)&amp;"Organic Soil - Molecular - 2021"</f>
        <v>JDG_Methane_YMF
Ridge_BELE_BB16
Organic Soil - Molecular - 2021</v>
      </c>
      <c r="P170" s="7" t="str">
        <f>"JDG_Methane_YMF"&amp;CHAR(10)&amp;A170&amp;"_"&amp;B170&amp;"_"&amp;C170&amp;CHAR(10)&amp;"Mineral Soil - Molecular - 2021"</f>
        <v>JDG_Methane_YMF
Ridge_BELE_BB16
Mineral Soil - Molecular - 2021</v>
      </c>
      <c r="Q170" t="str">
        <f t="shared" si="4"/>
        <v>JDG_Methane_YMF
Ridge_BELE_BB16
Internal Gas - #1/2 - 2021</v>
      </c>
      <c r="R170" t="str">
        <f t="shared" si="5"/>
        <v>JDG_Methane_YMF
Ridge_BELE_BB16
Internal Gas - #2/2 - 2021</v>
      </c>
    </row>
    <row r="171" spans="1:18" x14ac:dyDescent="0.2">
      <c r="A171" s="7" t="s">
        <v>21</v>
      </c>
      <c r="B171" s="7" t="s">
        <v>64</v>
      </c>
      <c r="C171" s="7" t="s">
        <v>86</v>
      </c>
      <c r="D171" s="7"/>
      <c r="E171" s="7"/>
      <c r="F171" s="7"/>
      <c r="G171" s="7">
        <v>25</v>
      </c>
      <c r="H171" s="7"/>
      <c r="I171" s="7" t="s">
        <v>224</v>
      </c>
      <c r="J171" s="7" t="str">
        <f>IF(I171="No", "Yes", "No")</f>
        <v>No</v>
      </c>
      <c r="K171" s="7" t="str">
        <f>"JDG_Methane_YMF"&amp;CHAR(10)&amp;A171&amp;"_"&amp;B171&amp;"_"&amp;C171&amp;CHAR(10)&amp;"Organic Soil - July 2021"</f>
        <v>JDG_Methane_YMF
Ridge_BELE_BB16'
Organic Soil - July 2021</v>
      </c>
      <c r="L171" s="7" t="str">
        <f>"JDG_Methane_YMF"&amp;CHAR(10)&amp;A171&amp;"_"&amp;B171&amp;"_"&amp;C171&amp;CHAR(10)&amp;"Mineral Soil - July 2021"</f>
        <v>JDG_Methane_YMF
Ridge_BELE_BB16'
Mineral Soil - July 2021</v>
      </c>
      <c r="M171" s="7" t="str">
        <f>"JDG_Methane_YMF"&amp;CHAR(10)&amp;A171&amp;"_"&amp;B171&amp;"_"&amp;C171&amp;CHAR(10)&amp;"Tree Core - MethaneTraits - 2021"</f>
        <v>JDG_Methane_YMF
Ridge_BELE_BB16'
Tree Core - MethaneTraits - 2021</v>
      </c>
      <c r="N171" s="7" t="str">
        <f>"JDG_Methane_YMF"&amp;CHAR(10)&amp;A171&amp;"_"&amp;B171&amp;"_"&amp;C171&amp;CHAR(10)&amp;"Tree Core - Molecular - 2021"</f>
        <v>JDG_Methane_YMF
Ridge_BELE_BB16'
Tree Core - Molecular - 2021</v>
      </c>
      <c r="O171" s="7" t="str">
        <f>"JDG_Methane_YMF"&amp;CHAR(10)&amp;A171&amp;"_"&amp;B171&amp;"_"&amp;C171&amp;CHAR(10)&amp;"Organic Soil - Molecular - 2021"</f>
        <v>JDG_Methane_YMF
Ridge_BELE_BB16'
Organic Soil - Molecular - 2021</v>
      </c>
      <c r="P171" s="7" t="str">
        <f>"JDG_Methane_YMF"&amp;CHAR(10)&amp;A171&amp;"_"&amp;B171&amp;"_"&amp;C171&amp;CHAR(10)&amp;"Mineral Soil - Molecular - 2021"</f>
        <v>JDG_Methane_YMF
Ridge_BELE_BB16'
Mineral Soil - Molecular - 2021</v>
      </c>
      <c r="Q171" t="str">
        <f t="shared" si="4"/>
        <v>JDG_Methane_YMF
Ridge_BELE_BB16'
Internal Gas - #1/2 - 2021</v>
      </c>
      <c r="R171" t="str">
        <f t="shared" si="5"/>
        <v>JDG_Methane_YMF
Ridge_BELE_BB16'
Internal Gas - #2/2 - 2021</v>
      </c>
    </row>
    <row r="172" spans="1:18" x14ac:dyDescent="0.2">
      <c r="A172" s="7" t="s">
        <v>21</v>
      </c>
      <c r="B172" s="7" t="s">
        <v>64</v>
      </c>
      <c r="C172" s="7" t="s">
        <v>78</v>
      </c>
      <c r="D172" s="7"/>
      <c r="E172" s="7"/>
      <c r="F172" s="7"/>
      <c r="G172" s="7">
        <v>31.5</v>
      </c>
      <c r="H172" s="7"/>
      <c r="I172" s="7" t="s">
        <v>224</v>
      </c>
      <c r="J172" s="7" t="str">
        <f>IF(I172="No", "Yes", "No")</f>
        <v>No</v>
      </c>
      <c r="K172" s="7" t="str">
        <f>"JDG_Methane_YMF"&amp;CHAR(10)&amp;A172&amp;"_"&amp;B172&amp;"_"&amp;C172&amp;CHAR(10)&amp;"Organic Soil - July 2021"</f>
        <v>JDG_Methane_YMF
Ridge_BELE_BB5
Organic Soil - July 2021</v>
      </c>
      <c r="L172" s="7" t="str">
        <f>"JDG_Methane_YMF"&amp;CHAR(10)&amp;A172&amp;"_"&amp;B172&amp;"_"&amp;C172&amp;CHAR(10)&amp;"Mineral Soil - July 2021"</f>
        <v>JDG_Methane_YMF
Ridge_BELE_BB5
Mineral Soil - July 2021</v>
      </c>
      <c r="M172" s="7" t="str">
        <f>"JDG_Methane_YMF"&amp;CHAR(10)&amp;A172&amp;"_"&amp;B172&amp;"_"&amp;C172&amp;CHAR(10)&amp;"Tree Core - MethaneTraits - 2021"</f>
        <v>JDG_Methane_YMF
Ridge_BELE_BB5
Tree Core - MethaneTraits - 2021</v>
      </c>
      <c r="N172" s="7" t="str">
        <f>"JDG_Methane_YMF"&amp;CHAR(10)&amp;A172&amp;"_"&amp;B172&amp;"_"&amp;C172&amp;CHAR(10)&amp;"Tree Core - Molecular - 2021"</f>
        <v>JDG_Methane_YMF
Ridge_BELE_BB5
Tree Core - Molecular - 2021</v>
      </c>
      <c r="O172" s="7" t="str">
        <f>"JDG_Methane_YMF"&amp;CHAR(10)&amp;A172&amp;"_"&amp;B172&amp;"_"&amp;C172&amp;CHAR(10)&amp;"Organic Soil - Molecular - 2021"</f>
        <v>JDG_Methane_YMF
Ridge_BELE_BB5
Organic Soil - Molecular - 2021</v>
      </c>
      <c r="P172" s="7" t="str">
        <f>"JDG_Methane_YMF"&amp;CHAR(10)&amp;A172&amp;"_"&amp;B172&amp;"_"&amp;C172&amp;CHAR(10)&amp;"Mineral Soil - Molecular - 2021"</f>
        <v>JDG_Methane_YMF
Ridge_BELE_BB5
Mineral Soil - Molecular - 2021</v>
      </c>
      <c r="Q172" t="str">
        <f t="shared" si="4"/>
        <v>JDG_Methane_YMF
Ridge_BELE_BB5
Internal Gas - #1/2 - 2021</v>
      </c>
      <c r="R172" t="str">
        <f t="shared" si="5"/>
        <v>JDG_Methane_YMF
Ridge_BELE_BB5
Internal Gas - #2/2 - 2021</v>
      </c>
    </row>
    <row r="173" spans="1:18" x14ac:dyDescent="0.2">
      <c r="A173" s="7" t="s">
        <v>21</v>
      </c>
      <c r="B173" s="7" t="s">
        <v>64</v>
      </c>
      <c r="C173" s="7" t="s">
        <v>74</v>
      </c>
      <c r="D173" s="7"/>
      <c r="E173" s="7"/>
      <c r="F173" s="7"/>
      <c r="G173" s="7">
        <v>29.5</v>
      </c>
      <c r="H173" s="7"/>
      <c r="I173" s="7" t="s">
        <v>225</v>
      </c>
      <c r="J173" s="7" t="str">
        <f>IF(I173="No", "Yes", "No")</f>
        <v>Yes</v>
      </c>
      <c r="K173" s="7" t="str">
        <f>"JDG_Methane_YMF"&amp;CHAR(10)&amp;A173&amp;"_"&amp;B173&amp;"_"&amp;C173&amp;CHAR(10)&amp;"Organic Soil - July 2021"</f>
        <v>JDG_Methane_YMF
Ridge_BELE_BB6
Organic Soil - July 2021</v>
      </c>
      <c r="L173" s="7" t="str">
        <f>"JDG_Methane_YMF"&amp;CHAR(10)&amp;A173&amp;"_"&amp;B173&amp;"_"&amp;C173&amp;CHAR(10)&amp;"Mineral Soil - July 2021"</f>
        <v>JDG_Methane_YMF
Ridge_BELE_BB6
Mineral Soil - July 2021</v>
      </c>
      <c r="M173" s="7" t="str">
        <f>"JDG_Methane_YMF"&amp;CHAR(10)&amp;A173&amp;"_"&amp;B173&amp;"_"&amp;C173&amp;CHAR(10)&amp;"Tree Core - MethaneTraits - 2021"</f>
        <v>JDG_Methane_YMF
Ridge_BELE_BB6
Tree Core - MethaneTraits - 2021</v>
      </c>
      <c r="N173" s="7" t="str">
        <f>"JDG_Methane_YMF"&amp;CHAR(10)&amp;A173&amp;"_"&amp;B173&amp;"_"&amp;C173&amp;CHAR(10)&amp;"Tree Core - Molecular - 2021"</f>
        <v>JDG_Methane_YMF
Ridge_BELE_BB6
Tree Core - Molecular - 2021</v>
      </c>
      <c r="O173" s="7" t="str">
        <f>"JDG_Methane_YMF"&amp;CHAR(10)&amp;A173&amp;"_"&amp;B173&amp;"_"&amp;C173&amp;CHAR(10)&amp;"Organic Soil - Molecular - 2021"</f>
        <v>JDG_Methane_YMF
Ridge_BELE_BB6
Organic Soil - Molecular - 2021</v>
      </c>
      <c r="P173" s="7" t="str">
        <f>"JDG_Methane_YMF"&amp;CHAR(10)&amp;A173&amp;"_"&amp;B173&amp;"_"&amp;C173&amp;CHAR(10)&amp;"Mineral Soil - Molecular - 2021"</f>
        <v>JDG_Methane_YMF
Ridge_BELE_BB6
Mineral Soil - Molecular - 2021</v>
      </c>
      <c r="Q173" t="str">
        <f t="shared" si="4"/>
        <v>JDG_Methane_YMF
Ridge_BELE_BB6
Internal Gas - #1/2 - 2021</v>
      </c>
      <c r="R173" t="str">
        <f t="shared" si="5"/>
        <v>JDG_Methane_YMF
Ridge_BELE_BB6
Internal Gas - #2/2 - 2021</v>
      </c>
    </row>
    <row r="174" spans="1:18" x14ac:dyDescent="0.2">
      <c r="A174" s="7" t="s">
        <v>21</v>
      </c>
      <c r="B174" s="7" t="s">
        <v>64</v>
      </c>
      <c r="C174" s="7" t="s">
        <v>76</v>
      </c>
      <c r="D174" s="7"/>
      <c r="E174" s="7"/>
      <c r="F174" s="7"/>
      <c r="G174" s="7">
        <v>32</v>
      </c>
      <c r="H174" s="7"/>
      <c r="I174" s="7" t="s">
        <v>224</v>
      </c>
      <c r="J174" s="7" t="str">
        <f>IF(I174="No", "Yes", "No")</f>
        <v>No</v>
      </c>
      <c r="K174" s="7" t="str">
        <f>"JDG_Methane_YMF"&amp;CHAR(10)&amp;A174&amp;"_"&amp;B174&amp;"_"&amp;C174&amp;CHAR(10)&amp;"Organic Soil - July 2021"</f>
        <v>JDG_Methane_YMF
Ridge_BELE_BB7
Organic Soil - July 2021</v>
      </c>
      <c r="L174" s="7" t="str">
        <f>"JDG_Methane_YMF"&amp;CHAR(10)&amp;A174&amp;"_"&amp;B174&amp;"_"&amp;C174&amp;CHAR(10)&amp;"Mineral Soil - July 2021"</f>
        <v>JDG_Methane_YMF
Ridge_BELE_BB7
Mineral Soil - July 2021</v>
      </c>
      <c r="M174" s="7" t="str">
        <f>"JDG_Methane_YMF"&amp;CHAR(10)&amp;A174&amp;"_"&amp;B174&amp;"_"&amp;C174&amp;CHAR(10)&amp;"Tree Core - MethaneTraits - 2021"</f>
        <v>JDG_Methane_YMF
Ridge_BELE_BB7
Tree Core - MethaneTraits - 2021</v>
      </c>
      <c r="N174" s="7" t="str">
        <f>"JDG_Methane_YMF"&amp;CHAR(10)&amp;A174&amp;"_"&amp;B174&amp;"_"&amp;C174&amp;CHAR(10)&amp;"Tree Core - Molecular - 2021"</f>
        <v>JDG_Methane_YMF
Ridge_BELE_BB7
Tree Core - Molecular - 2021</v>
      </c>
      <c r="O174" s="7" t="str">
        <f>"JDG_Methane_YMF"&amp;CHAR(10)&amp;A174&amp;"_"&amp;B174&amp;"_"&amp;C174&amp;CHAR(10)&amp;"Organic Soil - Molecular - 2021"</f>
        <v>JDG_Methane_YMF
Ridge_BELE_BB7
Organic Soil - Molecular - 2021</v>
      </c>
      <c r="P174" s="7" t="str">
        <f>"JDG_Methane_YMF"&amp;CHAR(10)&amp;A174&amp;"_"&amp;B174&amp;"_"&amp;C174&amp;CHAR(10)&amp;"Mineral Soil - Molecular - 2021"</f>
        <v>JDG_Methane_YMF
Ridge_BELE_BB7
Mineral Soil - Molecular - 2021</v>
      </c>
      <c r="Q174" t="str">
        <f t="shared" si="4"/>
        <v>JDG_Methane_YMF
Ridge_BELE_BB7
Internal Gas - #1/2 - 2021</v>
      </c>
      <c r="R174" t="str">
        <f t="shared" si="5"/>
        <v>JDG_Methane_YMF
Ridge_BELE_BB7
Internal Gas - #2/2 - 2021</v>
      </c>
    </row>
    <row r="175" spans="1:18" x14ac:dyDescent="0.2">
      <c r="A175" s="7" t="s">
        <v>21</v>
      </c>
      <c r="B175" s="7" t="s">
        <v>64</v>
      </c>
      <c r="C175" s="7" t="s">
        <v>75</v>
      </c>
      <c r="D175" s="7"/>
      <c r="E175" s="7"/>
      <c r="F175" s="7"/>
      <c r="G175" s="7">
        <v>22.5</v>
      </c>
      <c r="H175" s="7"/>
      <c r="I175" s="7" t="s">
        <v>225</v>
      </c>
      <c r="J175" s="7" t="str">
        <f>IF(I175="No", "Yes", "No")</f>
        <v>Yes</v>
      </c>
      <c r="K175" s="7" t="str">
        <f>"JDG_Methane_YMF"&amp;CHAR(10)&amp;A175&amp;"_"&amp;B175&amp;"_"&amp;C175&amp;CHAR(10)&amp;"Organic Soil - July 2021"</f>
        <v>JDG_Methane_YMF
Ridge_BELE_BB8
Organic Soil - July 2021</v>
      </c>
      <c r="L175" s="7" t="str">
        <f>"JDG_Methane_YMF"&amp;CHAR(10)&amp;A175&amp;"_"&amp;B175&amp;"_"&amp;C175&amp;CHAR(10)&amp;"Mineral Soil - July 2021"</f>
        <v>JDG_Methane_YMF
Ridge_BELE_BB8
Mineral Soil - July 2021</v>
      </c>
      <c r="M175" s="7" t="str">
        <f>"JDG_Methane_YMF"&amp;CHAR(10)&amp;A175&amp;"_"&amp;B175&amp;"_"&amp;C175&amp;CHAR(10)&amp;"Tree Core - MethaneTraits - 2021"</f>
        <v>JDG_Methane_YMF
Ridge_BELE_BB8
Tree Core - MethaneTraits - 2021</v>
      </c>
      <c r="N175" s="7" t="str">
        <f>"JDG_Methane_YMF"&amp;CHAR(10)&amp;A175&amp;"_"&amp;B175&amp;"_"&amp;C175&amp;CHAR(10)&amp;"Tree Core - Molecular - 2021"</f>
        <v>JDG_Methane_YMF
Ridge_BELE_BB8
Tree Core - Molecular - 2021</v>
      </c>
      <c r="O175" s="7" t="str">
        <f>"JDG_Methane_YMF"&amp;CHAR(10)&amp;A175&amp;"_"&amp;B175&amp;"_"&amp;C175&amp;CHAR(10)&amp;"Organic Soil - Molecular - 2021"</f>
        <v>JDG_Methane_YMF
Ridge_BELE_BB8
Organic Soil - Molecular - 2021</v>
      </c>
      <c r="P175" s="7" t="str">
        <f>"JDG_Methane_YMF"&amp;CHAR(10)&amp;A175&amp;"_"&amp;B175&amp;"_"&amp;C175&amp;CHAR(10)&amp;"Mineral Soil - Molecular - 2021"</f>
        <v>JDG_Methane_YMF
Ridge_BELE_BB8
Mineral Soil - Molecular - 2021</v>
      </c>
      <c r="Q175" t="str">
        <f t="shared" si="4"/>
        <v>JDG_Methane_YMF
Ridge_BELE_BB8
Internal Gas - #1/2 - 2021</v>
      </c>
      <c r="R175" t="str">
        <f t="shared" si="5"/>
        <v>JDG_Methane_YMF
Ridge_BELE_BB8
Internal Gas - #2/2 - 2021</v>
      </c>
    </row>
    <row r="176" spans="1:18" x14ac:dyDescent="0.2">
      <c r="A176" s="7" t="s">
        <v>21</v>
      </c>
      <c r="B176" s="7" t="s">
        <v>64</v>
      </c>
      <c r="C176" s="7" t="s">
        <v>77</v>
      </c>
      <c r="D176" s="7"/>
      <c r="E176" s="7"/>
      <c r="F176" s="7"/>
      <c r="G176" s="7">
        <v>34</v>
      </c>
      <c r="H176" s="7"/>
      <c r="I176" s="7" t="s">
        <v>225</v>
      </c>
      <c r="J176" s="7" t="str">
        <f>IF(I176="No", "Yes", "No")</f>
        <v>Yes</v>
      </c>
      <c r="K176" s="7" t="str">
        <f>"JDG_Methane_YMF"&amp;CHAR(10)&amp;A176&amp;"_"&amp;B176&amp;"_"&amp;C176&amp;CHAR(10)&amp;"Organic Soil - July 2021"</f>
        <v>JDG_Methane_YMF
Ridge_BELE_BB9
Organic Soil - July 2021</v>
      </c>
      <c r="L176" s="7" t="str">
        <f>"JDG_Methane_YMF"&amp;CHAR(10)&amp;A176&amp;"_"&amp;B176&amp;"_"&amp;C176&amp;CHAR(10)&amp;"Mineral Soil - July 2021"</f>
        <v>JDG_Methane_YMF
Ridge_BELE_BB9
Mineral Soil - July 2021</v>
      </c>
      <c r="M176" s="7" t="str">
        <f>"JDG_Methane_YMF"&amp;CHAR(10)&amp;A176&amp;"_"&amp;B176&amp;"_"&amp;C176&amp;CHAR(10)&amp;"Tree Core - MethaneTraits - 2021"</f>
        <v>JDG_Methane_YMF
Ridge_BELE_BB9
Tree Core - MethaneTraits - 2021</v>
      </c>
      <c r="N176" s="7" t="str">
        <f>"JDG_Methane_YMF"&amp;CHAR(10)&amp;A176&amp;"_"&amp;B176&amp;"_"&amp;C176&amp;CHAR(10)&amp;"Tree Core - Molecular - 2021"</f>
        <v>JDG_Methane_YMF
Ridge_BELE_BB9
Tree Core - Molecular - 2021</v>
      </c>
      <c r="O176" s="7" t="str">
        <f>"JDG_Methane_YMF"&amp;CHAR(10)&amp;A176&amp;"_"&amp;B176&amp;"_"&amp;C176&amp;CHAR(10)&amp;"Organic Soil - Molecular - 2021"</f>
        <v>JDG_Methane_YMF
Ridge_BELE_BB9
Organic Soil - Molecular - 2021</v>
      </c>
      <c r="P176" s="7" t="str">
        <f>"JDG_Methane_YMF"&amp;CHAR(10)&amp;A176&amp;"_"&amp;B176&amp;"_"&amp;C176&amp;CHAR(10)&amp;"Mineral Soil - Molecular - 2021"</f>
        <v>JDG_Methane_YMF
Ridge_BELE_BB9
Mineral Soil - Molecular - 2021</v>
      </c>
      <c r="Q176" t="str">
        <f t="shared" si="4"/>
        <v>JDG_Methane_YMF
Ridge_BELE_BB9
Internal Gas - #1/2 - 2021</v>
      </c>
      <c r="R176" t="str">
        <f t="shared" si="5"/>
        <v>JDG_Methane_YMF
Ridge_BELE_BB9
Internal Gas - #2/2 - 2021</v>
      </c>
    </row>
    <row r="177" spans="1:18" x14ac:dyDescent="0.2">
      <c r="A177" s="7" t="s">
        <v>21</v>
      </c>
      <c r="B177" s="7" t="s">
        <v>112</v>
      </c>
      <c r="C177" s="7" t="s">
        <v>120</v>
      </c>
      <c r="D177" s="7"/>
      <c r="E177" s="7"/>
      <c r="F177" s="7"/>
      <c r="G177" s="7">
        <v>20</v>
      </c>
      <c r="H177" s="7"/>
      <c r="I177" s="7"/>
      <c r="J177" s="7" t="str">
        <f>IF(I177="No", "Yes", "No")</f>
        <v>No</v>
      </c>
      <c r="K177" s="7" t="str">
        <f>"JDG_Methane_YMF"&amp;CHAR(10)&amp;A177&amp;"_"&amp;B177&amp;"_"&amp;C177&amp;CHAR(10)&amp;"Organic Soil - July 2021"</f>
        <v>JDG_Methane_YMF
Ridge_FAGR_AB10
Organic Soil - July 2021</v>
      </c>
      <c r="L177" s="7" t="str">
        <f>"JDG_Methane_YMF"&amp;CHAR(10)&amp;A177&amp;"_"&amp;B177&amp;"_"&amp;C177&amp;CHAR(10)&amp;"Mineral Soil - July 2021"</f>
        <v>JDG_Methane_YMF
Ridge_FAGR_AB10
Mineral Soil - July 2021</v>
      </c>
      <c r="M177" s="7" t="str">
        <f>"JDG_Methane_YMF"&amp;CHAR(10)&amp;A177&amp;"_"&amp;B177&amp;"_"&amp;C177&amp;CHAR(10)&amp;"Tree Core - MethaneTraits - 2021"</f>
        <v>JDG_Methane_YMF
Ridge_FAGR_AB10
Tree Core - MethaneTraits - 2021</v>
      </c>
      <c r="N177" s="7" t="str">
        <f>"JDG_Methane_YMF"&amp;CHAR(10)&amp;A177&amp;"_"&amp;B177&amp;"_"&amp;C177&amp;CHAR(10)&amp;"Tree Core - Molecular - 2021"</f>
        <v>JDG_Methane_YMF
Ridge_FAGR_AB10
Tree Core - Molecular - 2021</v>
      </c>
      <c r="O177" s="7" t="str">
        <f>"JDG_Methane_YMF"&amp;CHAR(10)&amp;A177&amp;"_"&amp;B177&amp;"_"&amp;C177&amp;CHAR(10)&amp;"Organic Soil - Molecular - 2021"</f>
        <v>JDG_Methane_YMF
Ridge_FAGR_AB10
Organic Soil - Molecular - 2021</v>
      </c>
      <c r="P177" s="7" t="str">
        <f>"JDG_Methane_YMF"&amp;CHAR(10)&amp;A177&amp;"_"&amp;B177&amp;"_"&amp;C177&amp;CHAR(10)&amp;"Mineral Soil - Molecular - 2021"</f>
        <v>JDG_Methane_YMF
Ridge_FAGR_AB10
Mineral Soil - Molecular - 2021</v>
      </c>
      <c r="Q177" t="str">
        <f t="shared" si="4"/>
        <v>JDG_Methane_YMF
Ridge_FAGR_AB10
Internal Gas - #1/2 - 2021</v>
      </c>
      <c r="R177" t="str">
        <f t="shared" si="5"/>
        <v>JDG_Methane_YMF
Ridge_FAGR_AB10
Internal Gas - #2/2 - 2021</v>
      </c>
    </row>
    <row r="178" spans="1:18" x14ac:dyDescent="0.2">
      <c r="A178" s="7" t="s">
        <v>21</v>
      </c>
      <c r="B178" s="7" t="s">
        <v>112</v>
      </c>
      <c r="C178" s="7" t="s">
        <v>124</v>
      </c>
      <c r="D178" s="7"/>
      <c r="E178" s="7"/>
      <c r="F178" s="7"/>
      <c r="G178" s="7">
        <v>25.5</v>
      </c>
      <c r="H178" s="7"/>
      <c r="I178" s="7"/>
      <c r="J178" s="7" t="str">
        <f>IF(I178="No", "Yes", "No")</f>
        <v>No</v>
      </c>
      <c r="K178" s="7" t="str">
        <f>"JDG_Methane_YMF"&amp;CHAR(10)&amp;A178&amp;"_"&amp;B178&amp;"_"&amp;C178&amp;CHAR(10)&amp;"Organic Soil - July 2021"</f>
        <v>JDG_Methane_YMF
Ridge_FAGR_AB11
Organic Soil - July 2021</v>
      </c>
      <c r="L178" s="7" t="str">
        <f>"JDG_Methane_YMF"&amp;CHAR(10)&amp;A178&amp;"_"&amp;B178&amp;"_"&amp;C178&amp;CHAR(10)&amp;"Mineral Soil - July 2021"</f>
        <v>JDG_Methane_YMF
Ridge_FAGR_AB11
Mineral Soil - July 2021</v>
      </c>
      <c r="M178" s="7" t="str">
        <f>"JDG_Methane_YMF"&amp;CHAR(10)&amp;A178&amp;"_"&amp;B178&amp;"_"&amp;C178&amp;CHAR(10)&amp;"Tree Core - MethaneTraits - 2021"</f>
        <v>JDG_Methane_YMF
Ridge_FAGR_AB11
Tree Core - MethaneTraits - 2021</v>
      </c>
      <c r="N178" s="7" t="str">
        <f>"JDG_Methane_YMF"&amp;CHAR(10)&amp;A178&amp;"_"&amp;B178&amp;"_"&amp;C178&amp;CHAR(10)&amp;"Tree Core - Molecular - 2021"</f>
        <v>JDG_Methane_YMF
Ridge_FAGR_AB11
Tree Core - Molecular - 2021</v>
      </c>
      <c r="O178" s="7" t="str">
        <f>"JDG_Methane_YMF"&amp;CHAR(10)&amp;A178&amp;"_"&amp;B178&amp;"_"&amp;C178&amp;CHAR(10)&amp;"Organic Soil - Molecular - 2021"</f>
        <v>JDG_Methane_YMF
Ridge_FAGR_AB11
Organic Soil - Molecular - 2021</v>
      </c>
      <c r="P178" s="7" t="str">
        <f>"JDG_Methane_YMF"&amp;CHAR(10)&amp;A178&amp;"_"&amp;B178&amp;"_"&amp;C178&amp;CHAR(10)&amp;"Mineral Soil - Molecular - 2021"</f>
        <v>JDG_Methane_YMF
Ridge_FAGR_AB11
Mineral Soil - Molecular - 2021</v>
      </c>
      <c r="Q178" t="str">
        <f t="shared" si="4"/>
        <v>JDG_Methane_YMF
Ridge_FAGR_AB11
Internal Gas - #1/2 - 2021</v>
      </c>
      <c r="R178" t="str">
        <f t="shared" si="5"/>
        <v>JDG_Methane_YMF
Ridge_FAGR_AB11
Internal Gas - #2/2 - 2021</v>
      </c>
    </row>
    <row r="179" spans="1:18" x14ac:dyDescent="0.2">
      <c r="A179" s="7" t="s">
        <v>21</v>
      </c>
      <c r="B179" s="7" t="s">
        <v>112</v>
      </c>
      <c r="C179" s="7" t="s">
        <v>123</v>
      </c>
      <c r="D179" s="7"/>
      <c r="E179" s="7"/>
      <c r="F179" s="7"/>
      <c r="G179" s="7">
        <v>20.5</v>
      </c>
      <c r="H179" s="7"/>
      <c r="I179" s="7"/>
      <c r="J179" s="7" t="str">
        <f>IF(I179="No", "Yes", "No")</f>
        <v>No</v>
      </c>
      <c r="K179" s="7" t="str">
        <f>"JDG_Methane_YMF"&amp;CHAR(10)&amp;A179&amp;"_"&amp;B179&amp;"_"&amp;C179&amp;CHAR(10)&amp;"Organic Soil - July 2021"</f>
        <v>JDG_Methane_YMF
Ridge_FAGR_AB9
Organic Soil - July 2021</v>
      </c>
      <c r="L179" s="7" t="str">
        <f>"JDG_Methane_YMF"&amp;CHAR(10)&amp;A179&amp;"_"&amp;B179&amp;"_"&amp;C179&amp;CHAR(10)&amp;"Mineral Soil - July 2021"</f>
        <v>JDG_Methane_YMF
Ridge_FAGR_AB9
Mineral Soil - July 2021</v>
      </c>
      <c r="M179" s="7" t="str">
        <f>"JDG_Methane_YMF"&amp;CHAR(10)&amp;A179&amp;"_"&amp;B179&amp;"_"&amp;C179&amp;CHAR(10)&amp;"Tree Core - MethaneTraits - 2021"</f>
        <v>JDG_Methane_YMF
Ridge_FAGR_AB9
Tree Core - MethaneTraits - 2021</v>
      </c>
      <c r="N179" s="7" t="str">
        <f>"JDG_Methane_YMF"&amp;CHAR(10)&amp;A179&amp;"_"&amp;B179&amp;"_"&amp;C179&amp;CHAR(10)&amp;"Tree Core - Molecular - 2021"</f>
        <v>JDG_Methane_YMF
Ridge_FAGR_AB9
Tree Core - Molecular - 2021</v>
      </c>
      <c r="O179" s="7" t="str">
        <f>"JDG_Methane_YMF"&amp;CHAR(10)&amp;A179&amp;"_"&amp;B179&amp;"_"&amp;C179&amp;CHAR(10)&amp;"Organic Soil - Molecular - 2021"</f>
        <v>JDG_Methane_YMF
Ridge_FAGR_AB9
Organic Soil - Molecular - 2021</v>
      </c>
      <c r="P179" s="7" t="str">
        <f>"JDG_Methane_YMF"&amp;CHAR(10)&amp;A179&amp;"_"&amp;B179&amp;"_"&amp;C179&amp;CHAR(10)&amp;"Mineral Soil - Molecular - 2021"</f>
        <v>JDG_Methane_YMF
Ridge_FAGR_AB9
Mineral Soil - Molecular - 2021</v>
      </c>
      <c r="Q179" t="str">
        <f t="shared" si="4"/>
        <v>JDG_Methane_YMF
Ridge_FAGR_AB9
Internal Gas - #1/2 - 2021</v>
      </c>
      <c r="R179" t="str">
        <f t="shared" si="5"/>
        <v>JDG_Methane_YMF
Ridge_FAGR_AB9
Internal Gas - #2/2 - 2021</v>
      </c>
    </row>
    <row r="180" spans="1:18" x14ac:dyDescent="0.2">
      <c r="A180" s="7" t="s">
        <v>21</v>
      </c>
      <c r="B180" s="7" t="s">
        <v>136</v>
      </c>
      <c r="C180" s="7" t="s">
        <v>57</v>
      </c>
      <c r="D180" s="7"/>
      <c r="E180" s="7"/>
      <c r="F180" s="7"/>
      <c r="G180" s="7">
        <v>23</v>
      </c>
      <c r="H180" s="7"/>
      <c r="I180" s="7"/>
      <c r="J180" s="7" t="str">
        <f>IF(I180="No", "Yes", "No")</f>
        <v>No</v>
      </c>
      <c r="K180" s="7" t="str">
        <f>"JDG_Methane_YMF"&amp;CHAR(10)&amp;A180&amp;"_"&amp;B180&amp;"_"&amp;C180&amp;CHAR(10)&amp;"Organic Soil - July 2021"</f>
        <v>JDG_Methane_YMF
Ridge_PIST_Untagged
Organic Soil - July 2021</v>
      </c>
      <c r="L180" s="7" t="str">
        <f>"JDG_Methane_YMF"&amp;CHAR(10)&amp;A180&amp;"_"&amp;B180&amp;"_"&amp;C180&amp;CHAR(10)&amp;"Mineral Soil - July 2021"</f>
        <v>JDG_Methane_YMF
Ridge_PIST_Untagged
Mineral Soil - July 2021</v>
      </c>
      <c r="M180" s="7" t="str">
        <f>"JDG_Methane_YMF"&amp;CHAR(10)&amp;A180&amp;"_"&amp;B180&amp;"_"&amp;C180&amp;CHAR(10)&amp;"Tree Core - MethaneTraits - 2021"</f>
        <v>JDG_Methane_YMF
Ridge_PIST_Untagged
Tree Core - MethaneTraits - 2021</v>
      </c>
      <c r="N180" s="7" t="str">
        <f>"JDG_Methane_YMF"&amp;CHAR(10)&amp;A180&amp;"_"&amp;B180&amp;"_"&amp;C180&amp;CHAR(10)&amp;"Tree Core - Molecular - 2021"</f>
        <v>JDG_Methane_YMF
Ridge_PIST_Untagged
Tree Core - Molecular - 2021</v>
      </c>
      <c r="O180" s="7" t="str">
        <f>"JDG_Methane_YMF"&amp;CHAR(10)&amp;A180&amp;"_"&amp;B180&amp;"_"&amp;C180&amp;CHAR(10)&amp;"Organic Soil - Molecular - 2021"</f>
        <v>JDG_Methane_YMF
Ridge_PIST_Untagged
Organic Soil - Molecular - 2021</v>
      </c>
      <c r="P180" s="7" t="str">
        <f>"JDG_Methane_YMF"&amp;CHAR(10)&amp;A180&amp;"_"&amp;B180&amp;"_"&amp;C180&amp;CHAR(10)&amp;"Mineral Soil - Molecular - 2021"</f>
        <v>JDG_Methane_YMF
Ridge_PIST_Untagged
Mineral Soil - Molecular - 2021</v>
      </c>
      <c r="Q180" t="str">
        <f t="shared" si="4"/>
        <v>JDG_Methane_YMF
Ridge_PIST_Untagged
Internal Gas - #1/2 - 2021</v>
      </c>
      <c r="R180" t="str">
        <f t="shared" si="5"/>
        <v>JDG_Methane_YMF
Ridge_PIST_Untagged
Internal Gas - #2/2 - 2021</v>
      </c>
    </row>
    <row r="181" spans="1:18" x14ac:dyDescent="0.2">
      <c r="A181" s="7" t="s">
        <v>21</v>
      </c>
      <c r="B181" s="7" t="s">
        <v>136</v>
      </c>
      <c r="C181" s="7" t="s">
        <v>57</v>
      </c>
      <c r="D181" s="7"/>
      <c r="E181" s="7"/>
      <c r="F181" s="7"/>
      <c r="G181" s="7">
        <v>33.5</v>
      </c>
      <c r="H181" s="7"/>
      <c r="I181" s="7"/>
      <c r="J181" s="7" t="str">
        <f>IF(I181="No", "Yes", "No")</f>
        <v>No</v>
      </c>
      <c r="K181" s="7" t="str">
        <f>"JDG_Methane_YMF"&amp;CHAR(10)&amp;A181&amp;"_"&amp;B181&amp;"_"&amp;C181&amp;CHAR(10)&amp;"Organic Soil - July 2021"</f>
        <v>JDG_Methane_YMF
Ridge_PIST_Untagged
Organic Soil - July 2021</v>
      </c>
      <c r="L181" s="7" t="str">
        <f>"JDG_Methane_YMF"&amp;CHAR(10)&amp;A181&amp;"_"&amp;B181&amp;"_"&amp;C181&amp;CHAR(10)&amp;"Mineral Soil - July 2021"</f>
        <v>JDG_Methane_YMF
Ridge_PIST_Untagged
Mineral Soil - July 2021</v>
      </c>
      <c r="M181" s="7" t="str">
        <f>"JDG_Methane_YMF"&amp;CHAR(10)&amp;A181&amp;"_"&amp;B181&amp;"_"&amp;C181&amp;CHAR(10)&amp;"Tree Core - MethaneTraits - 2021"</f>
        <v>JDG_Methane_YMF
Ridge_PIST_Untagged
Tree Core - MethaneTraits - 2021</v>
      </c>
      <c r="N181" s="7" t="str">
        <f>"JDG_Methane_YMF"&amp;CHAR(10)&amp;A181&amp;"_"&amp;B181&amp;"_"&amp;C181&amp;CHAR(10)&amp;"Tree Core - Molecular - 2021"</f>
        <v>JDG_Methane_YMF
Ridge_PIST_Untagged
Tree Core - Molecular - 2021</v>
      </c>
      <c r="O181" s="7" t="str">
        <f>"JDG_Methane_YMF"&amp;CHAR(10)&amp;A181&amp;"_"&amp;B181&amp;"_"&amp;C181&amp;CHAR(10)&amp;"Organic Soil - Molecular - 2021"</f>
        <v>JDG_Methane_YMF
Ridge_PIST_Untagged
Organic Soil - Molecular - 2021</v>
      </c>
      <c r="P181" s="7" t="str">
        <f>"JDG_Methane_YMF"&amp;CHAR(10)&amp;A181&amp;"_"&amp;B181&amp;"_"&amp;C181&amp;CHAR(10)&amp;"Mineral Soil - Molecular - 2021"</f>
        <v>JDG_Methane_YMF
Ridge_PIST_Untagged
Mineral Soil - Molecular - 2021</v>
      </c>
      <c r="Q181" t="str">
        <f t="shared" si="4"/>
        <v>JDG_Methane_YMF
Ridge_PIST_Untagged
Internal Gas - #1/2 - 2021</v>
      </c>
      <c r="R181" t="str">
        <f t="shared" si="5"/>
        <v>JDG_Methane_YMF
Ridge_PIST_Untagged
Internal Gas - #2/2 - 2021</v>
      </c>
    </row>
    <row r="182" spans="1:18" x14ac:dyDescent="0.2">
      <c r="A182" s="7" t="s">
        <v>21</v>
      </c>
      <c r="B182" s="7" t="s">
        <v>136</v>
      </c>
      <c r="C182" s="7" t="s">
        <v>57</v>
      </c>
      <c r="D182" s="7"/>
      <c r="E182" s="7"/>
      <c r="F182" s="7"/>
      <c r="G182" s="7">
        <v>45</v>
      </c>
      <c r="H182" s="7"/>
      <c r="I182" s="7"/>
      <c r="J182" s="7" t="str">
        <f>IF(I182="No", "Yes", "No")</f>
        <v>No</v>
      </c>
      <c r="K182" s="7" t="str">
        <f>"JDG_Methane_YMF"&amp;CHAR(10)&amp;A182&amp;"_"&amp;B182&amp;"_"&amp;C182&amp;CHAR(10)&amp;"Organic Soil - July 2021"</f>
        <v>JDG_Methane_YMF
Ridge_PIST_Untagged
Organic Soil - July 2021</v>
      </c>
      <c r="L182" s="7" t="str">
        <f>"JDG_Methane_YMF"&amp;CHAR(10)&amp;A182&amp;"_"&amp;B182&amp;"_"&amp;C182&amp;CHAR(10)&amp;"Mineral Soil - July 2021"</f>
        <v>JDG_Methane_YMF
Ridge_PIST_Untagged
Mineral Soil - July 2021</v>
      </c>
      <c r="M182" s="7" t="str">
        <f>"JDG_Methane_YMF"&amp;CHAR(10)&amp;A182&amp;"_"&amp;B182&amp;"_"&amp;C182&amp;CHAR(10)&amp;"Tree Core - MethaneTraits - 2021"</f>
        <v>JDG_Methane_YMF
Ridge_PIST_Untagged
Tree Core - MethaneTraits - 2021</v>
      </c>
      <c r="N182" s="7" t="str">
        <f>"JDG_Methane_YMF"&amp;CHAR(10)&amp;A182&amp;"_"&amp;B182&amp;"_"&amp;C182&amp;CHAR(10)&amp;"Tree Core - Molecular - 2021"</f>
        <v>JDG_Methane_YMF
Ridge_PIST_Untagged
Tree Core - Molecular - 2021</v>
      </c>
      <c r="O182" s="7" t="str">
        <f>"JDG_Methane_YMF"&amp;CHAR(10)&amp;A182&amp;"_"&amp;B182&amp;"_"&amp;C182&amp;CHAR(10)&amp;"Organic Soil - Molecular - 2021"</f>
        <v>JDG_Methane_YMF
Ridge_PIST_Untagged
Organic Soil - Molecular - 2021</v>
      </c>
      <c r="P182" s="7" t="str">
        <f>"JDG_Methane_YMF"&amp;CHAR(10)&amp;A182&amp;"_"&amp;B182&amp;"_"&amp;C182&amp;CHAR(10)&amp;"Mineral Soil - Molecular - 2021"</f>
        <v>JDG_Methane_YMF
Ridge_PIST_Untagged
Mineral Soil - Molecular - 2021</v>
      </c>
      <c r="Q182" t="str">
        <f t="shared" si="4"/>
        <v>JDG_Methane_YMF
Ridge_PIST_Untagged
Internal Gas - #1/2 - 2021</v>
      </c>
      <c r="R182" t="str">
        <f t="shared" si="5"/>
        <v>JDG_Methane_YMF
Ridge_PIST_Untagged
Internal Gas - #2/2 - 2021</v>
      </c>
    </row>
    <row r="183" spans="1:18" x14ac:dyDescent="0.2">
      <c r="A183" s="7" t="s">
        <v>21</v>
      </c>
      <c r="B183" s="7" t="s">
        <v>136</v>
      </c>
      <c r="C183" s="7" t="s">
        <v>57</v>
      </c>
      <c r="D183" s="7"/>
      <c r="E183" s="7"/>
      <c r="F183" s="7"/>
      <c r="G183" s="7">
        <v>46</v>
      </c>
      <c r="H183" s="7"/>
      <c r="I183" s="7"/>
      <c r="J183" s="7" t="str">
        <f>IF(I183="No", "Yes", "No")</f>
        <v>No</v>
      </c>
      <c r="K183" s="7" t="str">
        <f>"JDG_Methane_YMF"&amp;CHAR(10)&amp;A183&amp;"_"&amp;B183&amp;"_"&amp;C183&amp;CHAR(10)&amp;"Organic Soil - July 2021"</f>
        <v>JDG_Methane_YMF
Ridge_PIST_Untagged
Organic Soil - July 2021</v>
      </c>
      <c r="L183" s="7" t="str">
        <f>"JDG_Methane_YMF"&amp;CHAR(10)&amp;A183&amp;"_"&amp;B183&amp;"_"&amp;C183&amp;CHAR(10)&amp;"Mineral Soil - July 2021"</f>
        <v>JDG_Methane_YMF
Ridge_PIST_Untagged
Mineral Soil - July 2021</v>
      </c>
      <c r="M183" s="7" t="str">
        <f>"JDG_Methane_YMF"&amp;CHAR(10)&amp;A183&amp;"_"&amp;B183&amp;"_"&amp;C183&amp;CHAR(10)&amp;"Tree Core - MethaneTraits - 2021"</f>
        <v>JDG_Methane_YMF
Ridge_PIST_Untagged
Tree Core - MethaneTraits - 2021</v>
      </c>
      <c r="N183" s="7" t="str">
        <f>"JDG_Methane_YMF"&amp;CHAR(10)&amp;A183&amp;"_"&amp;B183&amp;"_"&amp;C183&amp;CHAR(10)&amp;"Tree Core - Molecular - 2021"</f>
        <v>JDG_Methane_YMF
Ridge_PIST_Untagged
Tree Core - Molecular - 2021</v>
      </c>
      <c r="O183" s="7" t="str">
        <f>"JDG_Methane_YMF"&amp;CHAR(10)&amp;A183&amp;"_"&amp;B183&amp;"_"&amp;C183&amp;CHAR(10)&amp;"Organic Soil - Molecular - 2021"</f>
        <v>JDG_Methane_YMF
Ridge_PIST_Untagged
Organic Soil - Molecular - 2021</v>
      </c>
      <c r="P183" s="7" t="str">
        <f>"JDG_Methane_YMF"&amp;CHAR(10)&amp;A183&amp;"_"&amp;B183&amp;"_"&amp;C183&amp;CHAR(10)&amp;"Mineral Soil - Molecular - 2021"</f>
        <v>JDG_Methane_YMF
Ridge_PIST_Untagged
Mineral Soil - Molecular - 2021</v>
      </c>
      <c r="Q183" t="str">
        <f t="shared" si="4"/>
        <v>JDG_Methane_YMF
Ridge_PIST_Untagged
Internal Gas - #1/2 - 2021</v>
      </c>
      <c r="R183" t="str">
        <f t="shared" si="5"/>
        <v>JDG_Methane_YMF
Ridge_PIST_Untagged
Internal Gas - #2/2 - 2021</v>
      </c>
    </row>
    <row r="184" spans="1:18" x14ac:dyDescent="0.2">
      <c r="A184" s="7" t="s">
        <v>21</v>
      </c>
      <c r="B184" s="7" t="s">
        <v>136</v>
      </c>
      <c r="C184" s="7" t="s">
        <v>57</v>
      </c>
      <c r="D184" s="7"/>
      <c r="E184" s="7"/>
      <c r="F184" s="7"/>
      <c r="G184" s="7">
        <v>46</v>
      </c>
      <c r="H184" s="7"/>
      <c r="I184" s="7"/>
      <c r="J184" s="7" t="str">
        <f>IF(I184="No", "Yes", "No")</f>
        <v>No</v>
      </c>
      <c r="K184" s="7" t="str">
        <f>"JDG_Methane_YMF"&amp;CHAR(10)&amp;A184&amp;"_"&amp;B184&amp;"_"&amp;C184&amp;CHAR(10)&amp;"Organic Soil - July 2021"</f>
        <v>JDG_Methane_YMF
Ridge_PIST_Untagged
Organic Soil - July 2021</v>
      </c>
      <c r="L184" s="7" t="str">
        <f>"JDG_Methane_YMF"&amp;CHAR(10)&amp;A184&amp;"_"&amp;B184&amp;"_"&amp;C184&amp;CHAR(10)&amp;"Mineral Soil - July 2021"</f>
        <v>JDG_Methane_YMF
Ridge_PIST_Untagged
Mineral Soil - July 2021</v>
      </c>
      <c r="M184" s="7" t="str">
        <f>"JDG_Methane_YMF"&amp;CHAR(10)&amp;A184&amp;"_"&amp;B184&amp;"_"&amp;C184&amp;CHAR(10)&amp;"Tree Core - MethaneTraits - 2021"</f>
        <v>JDG_Methane_YMF
Ridge_PIST_Untagged
Tree Core - MethaneTraits - 2021</v>
      </c>
      <c r="N184" s="7" t="str">
        <f>"JDG_Methane_YMF"&amp;CHAR(10)&amp;A184&amp;"_"&amp;B184&amp;"_"&amp;C184&amp;CHAR(10)&amp;"Tree Core - Molecular - 2021"</f>
        <v>JDG_Methane_YMF
Ridge_PIST_Untagged
Tree Core - Molecular - 2021</v>
      </c>
      <c r="O184" s="7" t="str">
        <f>"JDG_Methane_YMF"&amp;CHAR(10)&amp;A184&amp;"_"&amp;B184&amp;"_"&amp;C184&amp;CHAR(10)&amp;"Organic Soil - Molecular - 2021"</f>
        <v>JDG_Methane_YMF
Ridge_PIST_Untagged
Organic Soil - Molecular - 2021</v>
      </c>
      <c r="P184" s="7" t="str">
        <f>"JDG_Methane_YMF"&amp;CHAR(10)&amp;A184&amp;"_"&amp;B184&amp;"_"&amp;C184&amp;CHAR(10)&amp;"Mineral Soil - Molecular - 2021"</f>
        <v>JDG_Methane_YMF
Ridge_PIST_Untagged
Mineral Soil - Molecular - 2021</v>
      </c>
      <c r="Q184" t="str">
        <f t="shared" si="4"/>
        <v>JDG_Methane_YMF
Ridge_PIST_Untagged
Internal Gas - #1/2 - 2021</v>
      </c>
      <c r="R184" t="str">
        <f t="shared" si="5"/>
        <v>JDG_Methane_YMF
Ridge_PIST_Untagged
Internal Gas - #2/2 - 2021</v>
      </c>
    </row>
    <row r="185" spans="1:18" x14ac:dyDescent="0.2">
      <c r="A185" s="7" t="s">
        <v>21</v>
      </c>
      <c r="B185" s="7" t="s">
        <v>136</v>
      </c>
      <c r="C185" s="7" t="s">
        <v>57</v>
      </c>
      <c r="D185" s="7"/>
      <c r="E185" s="7"/>
      <c r="F185" s="7"/>
      <c r="G185" s="7">
        <v>68.5</v>
      </c>
      <c r="H185" s="7"/>
      <c r="I185" s="7"/>
      <c r="J185" s="7" t="str">
        <f>IF(I185="No", "Yes", "No")</f>
        <v>No</v>
      </c>
      <c r="K185" s="7" t="str">
        <f>"JDG_Methane_YMF"&amp;CHAR(10)&amp;A185&amp;"_"&amp;B185&amp;"_"&amp;C185&amp;CHAR(10)&amp;"Organic Soil - July 2021"</f>
        <v>JDG_Methane_YMF
Ridge_PIST_Untagged
Organic Soil - July 2021</v>
      </c>
      <c r="L185" s="7" t="str">
        <f>"JDG_Methane_YMF"&amp;CHAR(10)&amp;A185&amp;"_"&amp;B185&amp;"_"&amp;C185&amp;CHAR(10)&amp;"Mineral Soil - July 2021"</f>
        <v>JDG_Methane_YMF
Ridge_PIST_Untagged
Mineral Soil - July 2021</v>
      </c>
      <c r="M185" s="7" t="str">
        <f>"JDG_Methane_YMF"&amp;CHAR(10)&amp;A185&amp;"_"&amp;B185&amp;"_"&amp;C185&amp;CHAR(10)&amp;"Tree Core - MethaneTraits - 2021"</f>
        <v>JDG_Methane_YMF
Ridge_PIST_Untagged
Tree Core - MethaneTraits - 2021</v>
      </c>
      <c r="N185" s="7" t="str">
        <f>"JDG_Methane_YMF"&amp;CHAR(10)&amp;A185&amp;"_"&amp;B185&amp;"_"&amp;C185&amp;CHAR(10)&amp;"Tree Core - Molecular - 2021"</f>
        <v>JDG_Methane_YMF
Ridge_PIST_Untagged
Tree Core - Molecular - 2021</v>
      </c>
      <c r="O185" s="7" t="str">
        <f>"JDG_Methane_YMF"&amp;CHAR(10)&amp;A185&amp;"_"&amp;B185&amp;"_"&amp;C185&amp;CHAR(10)&amp;"Organic Soil - Molecular - 2021"</f>
        <v>JDG_Methane_YMF
Ridge_PIST_Untagged
Organic Soil - Molecular - 2021</v>
      </c>
      <c r="P185" s="7" t="str">
        <f>"JDG_Methane_YMF"&amp;CHAR(10)&amp;A185&amp;"_"&amp;B185&amp;"_"&amp;C185&amp;CHAR(10)&amp;"Mineral Soil - Molecular - 2021"</f>
        <v>JDG_Methane_YMF
Ridge_PIST_Untagged
Mineral Soil - Molecular - 2021</v>
      </c>
      <c r="Q185" t="str">
        <f t="shared" si="4"/>
        <v>JDG_Methane_YMF
Ridge_PIST_Untagged
Internal Gas - #1/2 - 2021</v>
      </c>
      <c r="R185" t="str">
        <f t="shared" si="5"/>
        <v>JDG_Methane_YMF
Ridge_PIST_Untagged
Internal Gas - #2/2 - 2021</v>
      </c>
    </row>
    <row r="186" spans="1:18" x14ac:dyDescent="0.2">
      <c r="A186" s="7" t="s">
        <v>21</v>
      </c>
      <c r="B186" s="7" t="s">
        <v>189</v>
      </c>
      <c r="C186" s="7" t="s">
        <v>200</v>
      </c>
      <c r="D186" s="7"/>
      <c r="E186" s="7"/>
      <c r="F186" s="7"/>
      <c r="G186" s="7">
        <v>31</v>
      </c>
      <c r="H186" s="7"/>
      <c r="I186" s="7"/>
      <c r="J186" s="7" t="str">
        <f>IF(I186="No", "Yes", "No")</f>
        <v>No</v>
      </c>
      <c r="K186" s="7" t="str">
        <f>"JDG_Methane_YMF"&amp;CHAR(10)&amp;A186&amp;"_"&amp;B186&amp;"_"&amp;C186&amp;CHAR(10)&amp;"Organic Soil - July 2021"</f>
        <v>JDG_Methane_YMF
Ridge_PRSE_BC2
Organic Soil - July 2021</v>
      </c>
      <c r="L186" s="7" t="str">
        <f>"JDG_Methane_YMF"&amp;CHAR(10)&amp;A186&amp;"_"&amp;B186&amp;"_"&amp;C186&amp;CHAR(10)&amp;"Mineral Soil - July 2021"</f>
        <v>JDG_Methane_YMF
Ridge_PRSE_BC2
Mineral Soil - July 2021</v>
      </c>
      <c r="M186" s="7" t="str">
        <f>"JDG_Methane_YMF"&amp;CHAR(10)&amp;A186&amp;"_"&amp;B186&amp;"_"&amp;C186&amp;CHAR(10)&amp;"Tree Core - MethaneTraits - 2021"</f>
        <v>JDG_Methane_YMF
Ridge_PRSE_BC2
Tree Core - MethaneTraits - 2021</v>
      </c>
      <c r="N186" s="7" t="str">
        <f>"JDG_Methane_YMF"&amp;CHAR(10)&amp;A186&amp;"_"&amp;B186&amp;"_"&amp;C186&amp;CHAR(10)&amp;"Tree Core - Molecular - 2021"</f>
        <v>JDG_Methane_YMF
Ridge_PRSE_BC2
Tree Core - Molecular - 2021</v>
      </c>
      <c r="O186" s="7" t="str">
        <f>"JDG_Methane_YMF"&amp;CHAR(10)&amp;A186&amp;"_"&amp;B186&amp;"_"&amp;C186&amp;CHAR(10)&amp;"Organic Soil - Molecular - 2021"</f>
        <v>JDG_Methane_YMF
Ridge_PRSE_BC2
Organic Soil - Molecular - 2021</v>
      </c>
      <c r="P186" s="7" t="str">
        <f>"JDG_Methane_YMF"&amp;CHAR(10)&amp;A186&amp;"_"&amp;B186&amp;"_"&amp;C186&amp;CHAR(10)&amp;"Mineral Soil - Molecular - 2021"</f>
        <v>JDG_Methane_YMF
Ridge_PRSE_BC2
Mineral Soil - Molecular - 2021</v>
      </c>
      <c r="Q186" t="str">
        <f t="shared" si="4"/>
        <v>JDG_Methane_YMF
Ridge_PRSE_BC2
Internal Gas - #1/2 - 2021</v>
      </c>
      <c r="R186" t="str">
        <f t="shared" si="5"/>
        <v>JDG_Methane_YMF
Ridge_PRSE_BC2
Internal Gas - #2/2 - 2021</v>
      </c>
    </row>
    <row r="187" spans="1:18" x14ac:dyDescent="0.2">
      <c r="A187" s="7" t="s">
        <v>21</v>
      </c>
      <c r="B187" s="7" t="s">
        <v>22</v>
      </c>
      <c r="C187" s="7" t="s">
        <v>39</v>
      </c>
      <c r="D187" s="7"/>
      <c r="E187" s="7"/>
      <c r="F187" s="7"/>
      <c r="G187" s="7">
        <v>35</v>
      </c>
      <c r="H187" s="7"/>
      <c r="I187" s="7"/>
      <c r="J187" s="7" t="str">
        <f>IF(I187="No", "Yes", "No")</f>
        <v>No</v>
      </c>
      <c r="K187" s="7" t="str">
        <f>"JDG_Methane_YMF"&amp;CHAR(10)&amp;A187&amp;"_"&amp;B187&amp;"_"&amp;C187&amp;CHAR(10)&amp;"Organic Soil - July 2021"</f>
        <v>JDG_Methane_YMF
Ridge_QURU_RO17
Organic Soil - July 2021</v>
      </c>
      <c r="L187" s="7" t="str">
        <f>"JDG_Methane_YMF"&amp;CHAR(10)&amp;A187&amp;"_"&amp;B187&amp;"_"&amp;C187&amp;CHAR(10)&amp;"Mineral Soil - July 2021"</f>
        <v>JDG_Methane_YMF
Ridge_QURU_RO17
Mineral Soil - July 2021</v>
      </c>
      <c r="M187" s="7" t="str">
        <f>"JDG_Methane_YMF"&amp;CHAR(10)&amp;A187&amp;"_"&amp;B187&amp;"_"&amp;C187&amp;CHAR(10)&amp;"Tree Core - MethaneTraits - 2021"</f>
        <v>JDG_Methane_YMF
Ridge_QURU_RO17
Tree Core - MethaneTraits - 2021</v>
      </c>
      <c r="N187" s="7" t="str">
        <f>"JDG_Methane_YMF"&amp;CHAR(10)&amp;A187&amp;"_"&amp;B187&amp;"_"&amp;C187&amp;CHAR(10)&amp;"Tree Core - Molecular - 2021"</f>
        <v>JDG_Methane_YMF
Ridge_QURU_RO17
Tree Core - Molecular - 2021</v>
      </c>
      <c r="O187" s="7" t="str">
        <f>"JDG_Methane_YMF"&amp;CHAR(10)&amp;A187&amp;"_"&amp;B187&amp;"_"&amp;C187&amp;CHAR(10)&amp;"Organic Soil - Molecular - 2021"</f>
        <v>JDG_Methane_YMF
Ridge_QURU_RO17
Organic Soil - Molecular - 2021</v>
      </c>
      <c r="P187" s="7" t="str">
        <f>"JDG_Methane_YMF"&amp;CHAR(10)&amp;A187&amp;"_"&amp;B187&amp;"_"&amp;C187&amp;CHAR(10)&amp;"Mineral Soil - Molecular - 2021"</f>
        <v>JDG_Methane_YMF
Ridge_QURU_RO17
Mineral Soil - Molecular - 2021</v>
      </c>
      <c r="Q187" t="str">
        <f t="shared" si="4"/>
        <v>JDG_Methane_YMF
Ridge_QURU_RO17
Internal Gas - #1/2 - 2021</v>
      </c>
      <c r="R187" t="str">
        <f t="shared" si="5"/>
        <v>JDG_Methane_YMF
Ridge_QURU_RO17
Internal Gas - #2/2 - 2021</v>
      </c>
    </row>
    <row r="188" spans="1:18" x14ac:dyDescent="0.2">
      <c r="A188" s="7" t="s">
        <v>21</v>
      </c>
      <c r="B188" s="7" t="s">
        <v>22</v>
      </c>
      <c r="C188" s="7" t="s">
        <v>40</v>
      </c>
      <c r="D188" s="7"/>
      <c r="E188" s="7"/>
      <c r="F188" s="7"/>
      <c r="G188" s="7">
        <v>42</v>
      </c>
      <c r="H188" s="7"/>
      <c r="I188" s="7"/>
      <c r="J188" s="7" t="str">
        <f>IF(I188="No", "Yes", "No")</f>
        <v>No</v>
      </c>
      <c r="K188" s="7" t="str">
        <f>"JDG_Methane_YMF"&amp;CHAR(10)&amp;A188&amp;"_"&amp;B188&amp;"_"&amp;C188&amp;CHAR(10)&amp;"Organic Soil - July 2021"</f>
        <v>JDG_Methane_YMF
Ridge_QURU_RO18
Organic Soil - July 2021</v>
      </c>
      <c r="L188" s="7" t="str">
        <f>"JDG_Methane_YMF"&amp;CHAR(10)&amp;A188&amp;"_"&amp;B188&amp;"_"&amp;C188&amp;CHAR(10)&amp;"Mineral Soil - July 2021"</f>
        <v>JDG_Methane_YMF
Ridge_QURU_RO18
Mineral Soil - July 2021</v>
      </c>
      <c r="M188" s="7" t="str">
        <f>"JDG_Methane_YMF"&amp;CHAR(10)&amp;A188&amp;"_"&amp;B188&amp;"_"&amp;C188&amp;CHAR(10)&amp;"Tree Core - MethaneTraits - 2021"</f>
        <v>JDG_Methane_YMF
Ridge_QURU_RO18
Tree Core - MethaneTraits - 2021</v>
      </c>
      <c r="N188" s="7" t="str">
        <f>"JDG_Methane_YMF"&amp;CHAR(10)&amp;A188&amp;"_"&amp;B188&amp;"_"&amp;C188&amp;CHAR(10)&amp;"Tree Core - Molecular - 2021"</f>
        <v>JDG_Methane_YMF
Ridge_QURU_RO18
Tree Core - Molecular - 2021</v>
      </c>
      <c r="O188" s="7" t="str">
        <f>"JDG_Methane_YMF"&amp;CHAR(10)&amp;A188&amp;"_"&amp;B188&amp;"_"&amp;C188&amp;CHAR(10)&amp;"Organic Soil - Molecular - 2021"</f>
        <v>JDG_Methane_YMF
Ridge_QURU_RO18
Organic Soil - Molecular - 2021</v>
      </c>
      <c r="P188" s="7" t="str">
        <f>"JDG_Methane_YMF"&amp;CHAR(10)&amp;A188&amp;"_"&amp;B188&amp;"_"&amp;C188&amp;CHAR(10)&amp;"Mineral Soil - Molecular - 2021"</f>
        <v>JDG_Methane_YMF
Ridge_QURU_RO18
Mineral Soil - Molecular - 2021</v>
      </c>
      <c r="Q188" t="str">
        <f t="shared" si="4"/>
        <v>JDG_Methane_YMF
Ridge_QURU_RO18
Internal Gas - #1/2 - 2021</v>
      </c>
      <c r="R188" t="str">
        <f t="shared" si="5"/>
        <v>JDG_Methane_YMF
Ridge_QURU_RO18
Internal Gas - #2/2 - 2021</v>
      </c>
    </row>
    <row r="189" spans="1:18" x14ac:dyDescent="0.2">
      <c r="A189" s="7" t="s">
        <v>21</v>
      </c>
      <c r="B189" s="7" t="s">
        <v>22</v>
      </c>
      <c r="C189" s="7" t="s">
        <v>57</v>
      </c>
      <c r="D189" s="7"/>
      <c r="E189" s="7"/>
      <c r="F189" s="7"/>
      <c r="G189" s="7">
        <v>27</v>
      </c>
      <c r="H189" s="7"/>
      <c r="I189" s="7"/>
      <c r="J189" s="7" t="str">
        <f>IF(I189="No", "Yes", "No")</f>
        <v>No</v>
      </c>
      <c r="K189" s="7" t="str">
        <f>"JDG_Methane_YMF"&amp;CHAR(10)&amp;A189&amp;"_"&amp;B189&amp;"_"&amp;C189&amp;CHAR(10)&amp;"Organic Soil - July 2021"</f>
        <v>JDG_Methane_YMF
Ridge_QURU_Untagged
Organic Soil - July 2021</v>
      </c>
      <c r="L189" s="7" t="str">
        <f>"JDG_Methane_YMF"&amp;CHAR(10)&amp;A189&amp;"_"&amp;B189&amp;"_"&amp;C189&amp;CHAR(10)&amp;"Mineral Soil - July 2021"</f>
        <v>JDG_Methane_YMF
Ridge_QURU_Untagged
Mineral Soil - July 2021</v>
      </c>
      <c r="M189" s="7" t="str">
        <f>"JDG_Methane_YMF"&amp;CHAR(10)&amp;A189&amp;"_"&amp;B189&amp;"_"&amp;C189&amp;CHAR(10)&amp;"Tree Core - MethaneTraits - 2021"</f>
        <v>JDG_Methane_YMF
Ridge_QURU_Untagged
Tree Core - MethaneTraits - 2021</v>
      </c>
      <c r="N189" s="7" t="str">
        <f>"JDG_Methane_YMF"&amp;CHAR(10)&amp;A189&amp;"_"&amp;B189&amp;"_"&amp;C189&amp;CHAR(10)&amp;"Tree Core - Molecular - 2021"</f>
        <v>JDG_Methane_YMF
Ridge_QURU_Untagged
Tree Core - Molecular - 2021</v>
      </c>
      <c r="O189" s="7" t="str">
        <f>"JDG_Methane_YMF"&amp;CHAR(10)&amp;A189&amp;"_"&amp;B189&amp;"_"&amp;C189&amp;CHAR(10)&amp;"Organic Soil - Molecular - 2021"</f>
        <v>JDG_Methane_YMF
Ridge_QURU_Untagged
Organic Soil - Molecular - 2021</v>
      </c>
      <c r="P189" s="7" t="str">
        <f>"JDG_Methane_YMF"&amp;CHAR(10)&amp;A189&amp;"_"&amp;B189&amp;"_"&amp;C189&amp;CHAR(10)&amp;"Mineral Soil - Molecular - 2021"</f>
        <v>JDG_Methane_YMF
Ridge_QURU_Untagged
Mineral Soil - Molecular - 2021</v>
      </c>
      <c r="Q189" t="str">
        <f t="shared" si="4"/>
        <v>JDG_Methane_YMF
Ridge_QURU_Untagged
Internal Gas - #1/2 - 2021</v>
      </c>
      <c r="R189" t="str">
        <f t="shared" si="5"/>
        <v>JDG_Methane_YMF
Ridge_QURU_Untagged
Internal Gas - #2/2 - 2021</v>
      </c>
    </row>
    <row r="190" spans="1:18" x14ac:dyDescent="0.2">
      <c r="A190" s="7" t="s">
        <v>21</v>
      </c>
      <c r="B190" s="7" t="s">
        <v>22</v>
      </c>
      <c r="C190" s="7" t="s">
        <v>57</v>
      </c>
      <c r="D190" s="7"/>
      <c r="E190" s="7"/>
      <c r="F190" s="7"/>
      <c r="G190" s="7">
        <v>35.5</v>
      </c>
      <c r="H190" s="7"/>
      <c r="I190" s="7"/>
      <c r="J190" s="7" t="str">
        <f>IF(I190="No", "Yes", "No")</f>
        <v>No</v>
      </c>
      <c r="K190" s="7" t="str">
        <f>"JDG_Methane_YMF"&amp;CHAR(10)&amp;A190&amp;"_"&amp;B190&amp;"_"&amp;C190&amp;CHAR(10)&amp;"Organic Soil - July 2021"</f>
        <v>JDG_Methane_YMF
Ridge_QURU_Untagged
Organic Soil - July 2021</v>
      </c>
      <c r="L190" s="7" t="str">
        <f>"JDG_Methane_YMF"&amp;CHAR(10)&amp;A190&amp;"_"&amp;B190&amp;"_"&amp;C190&amp;CHAR(10)&amp;"Mineral Soil - July 2021"</f>
        <v>JDG_Methane_YMF
Ridge_QURU_Untagged
Mineral Soil - July 2021</v>
      </c>
      <c r="M190" s="7" t="str">
        <f>"JDG_Methane_YMF"&amp;CHAR(10)&amp;A190&amp;"_"&amp;B190&amp;"_"&amp;C190&amp;CHAR(10)&amp;"Tree Core - MethaneTraits - 2021"</f>
        <v>JDG_Methane_YMF
Ridge_QURU_Untagged
Tree Core - MethaneTraits - 2021</v>
      </c>
      <c r="N190" s="7" t="str">
        <f>"JDG_Methane_YMF"&amp;CHAR(10)&amp;A190&amp;"_"&amp;B190&amp;"_"&amp;C190&amp;CHAR(10)&amp;"Tree Core - Molecular - 2021"</f>
        <v>JDG_Methane_YMF
Ridge_QURU_Untagged
Tree Core - Molecular - 2021</v>
      </c>
      <c r="O190" s="7" t="str">
        <f>"JDG_Methane_YMF"&amp;CHAR(10)&amp;A190&amp;"_"&amp;B190&amp;"_"&amp;C190&amp;CHAR(10)&amp;"Organic Soil - Molecular - 2021"</f>
        <v>JDG_Methane_YMF
Ridge_QURU_Untagged
Organic Soil - Molecular - 2021</v>
      </c>
      <c r="P190" s="7" t="str">
        <f>"JDG_Methane_YMF"&amp;CHAR(10)&amp;A190&amp;"_"&amp;B190&amp;"_"&amp;C190&amp;CHAR(10)&amp;"Mineral Soil - Molecular - 2021"</f>
        <v>JDG_Methane_YMF
Ridge_QURU_Untagged
Mineral Soil - Molecular - 2021</v>
      </c>
      <c r="Q190" t="str">
        <f t="shared" si="4"/>
        <v>JDG_Methane_YMF
Ridge_QURU_Untagged
Internal Gas - #1/2 - 2021</v>
      </c>
      <c r="R190" t="str">
        <f t="shared" si="5"/>
        <v>JDG_Methane_YMF
Ridge_QURU_Untagged
Internal Gas - #2/2 - 2021</v>
      </c>
    </row>
    <row r="191" spans="1:18" x14ac:dyDescent="0.2">
      <c r="A191" s="7" t="s">
        <v>21</v>
      </c>
      <c r="B191" s="7" t="s">
        <v>22</v>
      </c>
      <c r="C191" s="7" t="s">
        <v>57</v>
      </c>
      <c r="D191" s="7"/>
      <c r="E191" s="7"/>
      <c r="F191" s="7"/>
      <c r="G191" s="7">
        <v>41.5</v>
      </c>
      <c r="H191" s="7"/>
      <c r="I191" s="7"/>
      <c r="J191" s="7" t="str">
        <f>IF(I191="No", "Yes", "No")</f>
        <v>No</v>
      </c>
      <c r="K191" s="7" t="str">
        <f>"JDG_Methane_YMF"&amp;CHAR(10)&amp;A191&amp;"_"&amp;B191&amp;"_"&amp;C191&amp;CHAR(10)&amp;"Organic Soil - July 2021"</f>
        <v>JDG_Methane_YMF
Ridge_QURU_Untagged
Organic Soil - July 2021</v>
      </c>
      <c r="L191" s="7" t="str">
        <f>"JDG_Methane_YMF"&amp;CHAR(10)&amp;A191&amp;"_"&amp;B191&amp;"_"&amp;C191&amp;CHAR(10)&amp;"Mineral Soil - July 2021"</f>
        <v>JDG_Methane_YMF
Ridge_QURU_Untagged
Mineral Soil - July 2021</v>
      </c>
      <c r="M191" s="7" t="str">
        <f>"JDG_Methane_YMF"&amp;CHAR(10)&amp;A191&amp;"_"&amp;B191&amp;"_"&amp;C191&amp;CHAR(10)&amp;"Tree Core - MethaneTraits - 2021"</f>
        <v>JDG_Methane_YMF
Ridge_QURU_Untagged
Tree Core - MethaneTraits - 2021</v>
      </c>
      <c r="N191" s="7" t="str">
        <f>"JDG_Methane_YMF"&amp;CHAR(10)&amp;A191&amp;"_"&amp;B191&amp;"_"&amp;C191&amp;CHAR(10)&amp;"Tree Core - Molecular - 2021"</f>
        <v>JDG_Methane_YMF
Ridge_QURU_Untagged
Tree Core - Molecular - 2021</v>
      </c>
      <c r="O191" s="7" t="str">
        <f>"JDG_Methane_YMF"&amp;CHAR(10)&amp;A191&amp;"_"&amp;B191&amp;"_"&amp;C191&amp;CHAR(10)&amp;"Organic Soil - Molecular - 2021"</f>
        <v>JDG_Methane_YMF
Ridge_QURU_Untagged
Organic Soil - Molecular - 2021</v>
      </c>
      <c r="P191" s="7" t="str">
        <f>"JDG_Methane_YMF"&amp;CHAR(10)&amp;A191&amp;"_"&amp;B191&amp;"_"&amp;C191&amp;CHAR(10)&amp;"Mineral Soil - Molecular - 2021"</f>
        <v>JDG_Methane_YMF
Ridge_QURU_Untagged
Mineral Soil - Molecular - 2021</v>
      </c>
      <c r="Q191" t="str">
        <f t="shared" si="4"/>
        <v>JDG_Methane_YMF
Ridge_QURU_Untagged
Internal Gas - #1/2 - 2021</v>
      </c>
      <c r="R191" t="str">
        <f t="shared" si="5"/>
        <v>JDG_Methane_YMF
Ridge_QURU_Untagged
Internal Gas - #2/2 - 2021</v>
      </c>
    </row>
    <row r="192" spans="1:18" x14ac:dyDescent="0.2">
      <c r="A192" s="7" t="s">
        <v>21</v>
      </c>
      <c r="B192" s="7" t="s">
        <v>22</v>
      </c>
      <c r="C192" s="7" t="s">
        <v>57</v>
      </c>
      <c r="D192" s="7"/>
      <c r="E192" s="7"/>
      <c r="F192" s="7"/>
      <c r="G192" s="7">
        <v>42.5</v>
      </c>
      <c r="H192" s="7"/>
      <c r="I192" s="7"/>
      <c r="J192" s="7" t="str">
        <f>IF(I192="No", "Yes", "No")</f>
        <v>No</v>
      </c>
      <c r="K192" s="7" t="str">
        <f>"JDG_Methane_YMF"&amp;CHAR(10)&amp;A192&amp;"_"&amp;B192&amp;"_"&amp;C192&amp;CHAR(10)&amp;"Organic Soil - July 2021"</f>
        <v>JDG_Methane_YMF
Ridge_QURU_Untagged
Organic Soil - July 2021</v>
      </c>
      <c r="L192" s="7" t="str">
        <f>"JDG_Methane_YMF"&amp;CHAR(10)&amp;A192&amp;"_"&amp;B192&amp;"_"&amp;C192&amp;CHAR(10)&amp;"Mineral Soil - July 2021"</f>
        <v>JDG_Methane_YMF
Ridge_QURU_Untagged
Mineral Soil - July 2021</v>
      </c>
      <c r="M192" s="7" t="str">
        <f>"JDG_Methane_YMF"&amp;CHAR(10)&amp;A192&amp;"_"&amp;B192&amp;"_"&amp;C192&amp;CHAR(10)&amp;"Tree Core - MethaneTraits - 2021"</f>
        <v>JDG_Methane_YMF
Ridge_QURU_Untagged
Tree Core - MethaneTraits - 2021</v>
      </c>
      <c r="N192" s="7" t="str">
        <f>"JDG_Methane_YMF"&amp;CHAR(10)&amp;A192&amp;"_"&amp;B192&amp;"_"&amp;C192&amp;CHAR(10)&amp;"Tree Core - Molecular - 2021"</f>
        <v>JDG_Methane_YMF
Ridge_QURU_Untagged
Tree Core - Molecular - 2021</v>
      </c>
      <c r="O192" s="7" t="str">
        <f>"JDG_Methane_YMF"&amp;CHAR(10)&amp;A192&amp;"_"&amp;B192&amp;"_"&amp;C192&amp;CHAR(10)&amp;"Organic Soil - Molecular - 2021"</f>
        <v>JDG_Methane_YMF
Ridge_QURU_Untagged
Organic Soil - Molecular - 2021</v>
      </c>
      <c r="P192" s="7" t="str">
        <f>"JDG_Methane_YMF"&amp;CHAR(10)&amp;A192&amp;"_"&amp;B192&amp;"_"&amp;C192&amp;CHAR(10)&amp;"Mineral Soil - Molecular - 2021"</f>
        <v>JDG_Methane_YMF
Ridge_QURU_Untagged
Mineral Soil - Molecular - 2021</v>
      </c>
      <c r="Q192" t="str">
        <f t="shared" si="4"/>
        <v>JDG_Methane_YMF
Ridge_QURU_Untagged
Internal Gas - #1/2 - 2021</v>
      </c>
      <c r="R192" t="str">
        <f t="shared" si="5"/>
        <v>JDG_Methane_YMF
Ridge_QURU_Untagged
Internal Gas - #2/2 - 2021</v>
      </c>
    </row>
    <row r="193" spans="1:18" x14ac:dyDescent="0.2">
      <c r="A193" s="7" t="s">
        <v>21</v>
      </c>
      <c r="B193" s="7" t="s">
        <v>22</v>
      </c>
      <c r="C193" s="7" t="s">
        <v>57</v>
      </c>
      <c r="D193" s="7"/>
      <c r="E193" s="7"/>
      <c r="F193" s="7"/>
      <c r="G193" s="7">
        <v>45</v>
      </c>
      <c r="H193" s="7"/>
      <c r="I193" s="7"/>
      <c r="J193" s="7" t="str">
        <f>IF(I193="No", "Yes", "No")</f>
        <v>No</v>
      </c>
      <c r="K193" s="7" t="str">
        <f>"JDG_Methane_YMF"&amp;CHAR(10)&amp;A193&amp;"_"&amp;B193&amp;"_"&amp;C193&amp;CHAR(10)&amp;"Organic Soil - July 2021"</f>
        <v>JDG_Methane_YMF
Ridge_QURU_Untagged
Organic Soil - July 2021</v>
      </c>
      <c r="L193" s="7" t="str">
        <f>"JDG_Methane_YMF"&amp;CHAR(10)&amp;A193&amp;"_"&amp;B193&amp;"_"&amp;C193&amp;CHAR(10)&amp;"Mineral Soil - July 2021"</f>
        <v>JDG_Methane_YMF
Ridge_QURU_Untagged
Mineral Soil - July 2021</v>
      </c>
      <c r="M193" s="7" t="str">
        <f>"JDG_Methane_YMF"&amp;CHAR(10)&amp;A193&amp;"_"&amp;B193&amp;"_"&amp;C193&amp;CHAR(10)&amp;"Tree Core - MethaneTraits - 2021"</f>
        <v>JDG_Methane_YMF
Ridge_QURU_Untagged
Tree Core - MethaneTraits - 2021</v>
      </c>
      <c r="N193" s="7" t="str">
        <f>"JDG_Methane_YMF"&amp;CHAR(10)&amp;A193&amp;"_"&amp;B193&amp;"_"&amp;C193&amp;CHAR(10)&amp;"Tree Core - Molecular - 2021"</f>
        <v>JDG_Methane_YMF
Ridge_QURU_Untagged
Tree Core - Molecular - 2021</v>
      </c>
      <c r="O193" s="7" t="str">
        <f>"JDG_Methane_YMF"&amp;CHAR(10)&amp;A193&amp;"_"&amp;B193&amp;"_"&amp;C193&amp;CHAR(10)&amp;"Organic Soil - Molecular - 2021"</f>
        <v>JDG_Methane_YMF
Ridge_QURU_Untagged
Organic Soil - Molecular - 2021</v>
      </c>
      <c r="P193" s="7" t="str">
        <f>"JDG_Methane_YMF"&amp;CHAR(10)&amp;A193&amp;"_"&amp;B193&amp;"_"&amp;C193&amp;CHAR(10)&amp;"Mineral Soil - Molecular - 2021"</f>
        <v>JDG_Methane_YMF
Ridge_QURU_Untagged
Mineral Soil - Molecular - 2021</v>
      </c>
      <c r="Q193" t="str">
        <f t="shared" si="4"/>
        <v>JDG_Methane_YMF
Ridge_QURU_Untagged
Internal Gas - #1/2 - 2021</v>
      </c>
      <c r="R193" t="str">
        <f t="shared" si="5"/>
        <v>JDG_Methane_YMF
Ridge_QURU_Untagged
Internal Gas - #2/2 - 2021</v>
      </c>
    </row>
    <row r="194" spans="1:18" x14ac:dyDescent="0.2">
      <c r="A194" s="7" t="s">
        <v>21</v>
      </c>
      <c r="B194" s="7" t="s">
        <v>22</v>
      </c>
      <c r="C194" s="7" t="s">
        <v>57</v>
      </c>
      <c r="D194" s="7"/>
      <c r="E194" s="7"/>
      <c r="F194" s="7"/>
      <c r="G194" s="7">
        <v>50.5</v>
      </c>
      <c r="H194" s="7"/>
      <c r="I194" s="7"/>
      <c r="J194" s="7" t="str">
        <f>IF(I194="No", "Yes", "No")</f>
        <v>No</v>
      </c>
      <c r="K194" s="7" t="str">
        <f>"JDG_Methane_YMF"&amp;CHAR(10)&amp;A194&amp;"_"&amp;B194&amp;"_"&amp;C194&amp;CHAR(10)&amp;"Organic Soil - July 2021"</f>
        <v>JDG_Methane_YMF
Ridge_QURU_Untagged
Organic Soil - July 2021</v>
      </c>
      <c r="L194" s="7" t="str">
        <f>"JDG_Methane_YMF"&amp;CHAR(10)&amp;A194&amp;"_"&amp;B194&amp;"_"&amp;C194&amp;CHAR(10)&amp;"Mineral Soil - July 2021"</f>
        <v>JDG_Methane_YMF
Ridge_QURU_Untagged
Mineral Soil - July 2021</v>
      </c>
      <c r="M194" s="7" t="str">
        <f>"JDG_Methane_YMF"&amp;CHAR(10)&amp;A194&amp;"_"&amp;B194&amp;"_"&amp;C194&amp;CHAR(10)&amp;"Tree Core - MethaneTraits - 2021"</f>
        <v>JDG_Methane_YMF
Ridge_QURU_Untagged
Tree Core - MethaneTraits - 2021</v>
      </c>
      <c r="N194" s="7" t="str">
        <f>"JDG_Methane_YMF"&amp;CHAR(10)&amp;A194&amp;"_"&amp;B194&amp;"_"&amp;C194&amp;CHAR(10)&amp;"Tree Core - Molecular - 2021"</f>
        <v>JDG_Methane_YMF
Ridge_QURU_Untagged
Tree Core - Molecular - 2021</v>
      </c>
      <c r="O194" s="7" t="str">
        <f>"JDG_Methane_YMF"&amp;CHAR(10)&amp;A194&amp;"_"&amp;B194&amp;"_"&amp;C194&amp;CHAR(10)&amp;"Organic Soil - Molecular - 2021"</f>
        <v>JDG_Methane_YMF
Ridge_QURU_Untagged
Organic Soil - Molecular - 2021</v>
      </c>
      <c r="P194" s="7" t="str">
        <f>"JDG_Methane_YMF"&amp;CHAR(10)&amp;A194&amp;"_"&amp;B194&amp;"_"&amp;C194&amp;CHAR(10)&amp;"Mineral Soil - Molecular - 2021"</f>
        <v>JDG_Methane_YMF
Ridge_QURU_Untagged
Mineral Soil - Molecular - 2021</v>
      </c>
      <c r="Q194" t="str">
        <f t="shared" si="4"/>
        <v>JDG_Methane_YMF
Ridge_QURU_Untagged
Internal Gas - #1/2 - 2021</v>
      </c>
      <c r="R194" t="str">
        <f t="shared" si="5"/>
        <v>JDG_Methane_YMF
Ridge_QURU_Untagged
Internal Gas - #2/2 - 2021</v>
      </c>
    </row>
    <row r="195" spans="1:18" x14ac:dyDescent="0.2">
      <c r="A195" s="7" t="s">
        <v>21</v>
      </c>
      <c r="B195" s="7" t="s">
        <v>151</v>
      </c>
      <c r="C195" s="7" t="s">
        <v>57</v>
      </c>
      <c r="D195" s="7"/>
      <c r="E195" s="7"/>
      <c r="F195" s="7"/>
      <c r="G195" s="7">
        <v>23</v>
      </c>
      <c r="H195" s="7"/>
      <c r="I195" s="7"/>
      <c r="J195" s="7" t="str">
        <f>IF(I195="No", "Yes", "No")</f>
        <v>No</v>
      </c>
      <c r="K195" s="7" t="str">
        <f>"JDG_Methane_YMF"&amp;CHAR(10)&amp;A195&amp;"_"&amp;B195&amp;"_"&amp;C195&amp;CHAR(10)&amp;"Organic Soil - July 2021"</f>
        <v>JDG_Methane_YMF
Ridge_TSCA_Untagged
Organic Soil - July 2021</v>
      </c>
      <c r="L195" s="7" t="str">
        <f>"JDG_Methane_YMF"&amp;CHAR(10)&amp;A195&amp;"_"&amp;B195&amp;"_"&amp;C195&amp;CHAR(10)&amp;"Mineral Soil - July 2021"</f>
        <v>JDG_Methane_YMF
Ridge_TSCA_Untagged
Mineral Soil - July 2021</v>
      </c>
      <c r="M195" s="7" t="str">
        <f>"JDG_Methane_YMF"&amp;CHAR(10)&amp;A195&amp;"_"&amp;B195&amp;"_"&amp;C195&amp;CHAR(10)&amp;"Tree Core - MethaneTraits - 2021"</f>
        <v>JDG_Methane_YMF
Ridge_TSCA_Untagged
Tree Core - MethaneTraits - 2021</v>
      </c>
      <c r="N195" s="7" t="str">
        <f>"JDG_Methane_YMF"&amp;CHAR(10)&amp;A195&amp;"_"&amp;B195&amp;"_"&amp;C195&amp;CHAR(10)&amp;"Tree Core - Molecular - 2021"</f>
        <v>JDG_Methane_YMF
Ridge_TSCA_Untagged
Tree Core - Molecular - 2021</v>
      </c>
      <c r="O195" s="7" t="str">
        <f>"JDG_Methane_YMF"&amp;CHAR(10)&amp;A195&amp;"_"&amp;B195&amp;"_"&amp;C195&amp;CHAR(10)&amp;"Organic Soil - Molecular - 2021"</f>
        <v>JDG_Methane_YMF
Ridge_TSCA_Untagged
Organic Soil - Molecular - 2021</v>
      </c>
      <c r="P195" s="7" t="str">
        <f>"JDG_Methane_YMF"&amp;CHAR(10)&amp;A195&amp;"_"&amp;B195&amp;"_"&amp;C195&amp;CHAR(10)&amp;"Mineral Soil - Molecular - 2021"</f>
        <v>JDG_Methane_YMF
Ridge_TSCA_Untagged
Mineral Soil - Molecular - 2021</v>
      </c>
      <c r="Q195" t="str">
        <f t="shared" ref="Q195:Q200" si="6">"JDG_Methane_YMF"&amp;CHAR(10)&amp;A195&amp;"_"&amp;B195&amp;"_"&amp;C195&amp;CHAR(10)&amp;"Internal Gas - #1/2 - 2021"</f>
        <v>JDG_Methane_YMF
Ridge_TSCA_Untagged
Internal Gas - #1/2 - 2021</v>
      </c>
      <c r="R195" t="str">
        <f t="shared" ref="R195:R200" si="7">"JDG_Methane_YMF"&amp;CHAR(10)&amp;A195&amp;"_"&amp;B195&amp;"_"&amp;C195&amp;CHAR(10)&amp;"Internal Gas - #2/2 - 2021"</f>
        <v>JDG_Methane_YMF
Ridge_TSCA_Untagged
Internal Gas - #2/2 - 2021</v>
      </c>
    </row>
    <row r="196" spans="1:18" x14ac:dyDescent="0.2">
      <c r="A196" s="7" t="s">
        <v>21</v>
      </c>
      <c r="B196" s="7" t="s">
        <v>151</v>
      </c>
      <c r="C196" s="7" t="s">
        <v>57</v>
      </c>
      <c r="D196" s="7"/>
      <c r="E196" s="7"/>
      <c r="F196" s="7"/>
      <c r="G196" s="7">
        <v>23</v>
      </c>
      <c r="H196" s="7"/>
      <c r="I196" s="7"/>
      <c r="J196" s="7" t="str">
        <f>IF(I196="No", "Yes", "No")</f>
        <v>No</v>
      </c>
      <c r="K196" s="7" t="str">
        <f>"JDG_Methane_YMF"&amp;CHAR(10)&amp;A196&amp;"_"&amp;B196&amp;"_"&amp;C196&amp;CHAR(10)&amp;"Organic Soil - July 2021"</f>
        <v>JDG_Methane_YMF
Ridge_TSCA_Untagged
Organic Soil - July 2021</v>
      </c>
      <c r="L196" s="7" t="str">
        <f>"JDG_Methane_YMF"&amp;CHAR(10)&amp;A196&amp;"_"&amp;B196&amp;"_"&amp;C196&amp;CHAR(10)&amp;"Mineral Soil - July 2021"</f>
        <v>JDG_Methane_YMF
Ridge_TSCA_Untagged
Mineral Soil - July 2021</v>
      </c>
      <c r="M196" s="7" t="str">
        <f>"JDG_Methane_YMF"&amp;CHAR(10)&amp;A196&amp;"_"&amp;B196&amp;"_"&amp;C196&amp;CHAR(10)&amp;"Tree Core - MethaneTraits - 2021"</f>
        <v>JDG_Methane_YMF
Ridge_TSCA_Untagged
Tree Core - MethaneTraits - 2021</v>
      </c>
      <c r="N196" s="7" t="str">
        <f>"JDG_Methane_YMF"&amp;CHAR(10)&amp;A196&amp;"_"&amp;B196&amp;"_"&amp;C196&amp;CHAR(10)&amp;"Tree Core - Molecular - 2021"</f>
        <v>JDG_Methane_YMF
Ridge_TSCA_Untagged
Tree Core - Molecular - 2021</v>
      </c>
      <c r="O196" s="7" t="str">
        <f>"JDG_Methane_YMF"&amp;CHAR(10)&amp;A196&amp;"_"&amp;B196&amp;"_"&amp;C196&amp;CHAR(10)&amp;"Organic Soil - Molecular - 2021"</f>
        <v>JDG_Methane_YMF
Ridge_TSCA_Untagged
Organic Soil - Molecular - 2021</v>
      </c>
      <c r="P196" s="7" t="str">
        <f>"JDG_Methane_YMF"&amp;CHAR(10)&amp;A196&amp;"_"&amp;B196&amp;"_"&amp;C196&amp;CHAR(10)&amp;"Mineral Soil - Molecular - 2021"</f>
        <v>JDG_Methane_YMF
Ridge_TSCA_Untagged
Mineral Soil - Molecular - 2021</v>
      </c>
      <c r="Q196" t="str">
        <f t="shared" si="6"/>
        <v>JDG_Methane_YMF
Ridge_TSCA_Untagged
Internal Gas - #1/2 - 2021</v>
      </c>
      <c r="R196" t="str">
        <f t="shared" si="7"/>
        <v>JDG_Methane_YMF
Ridge_TSCA_Untagged
Internal Gas - #2/2 - 2021</v>
      </c>
    </row>
    <row r="197" spans="1:18" x14ac:dyDescent="0.2">
      <c r="A197" s="7" t="s">
        <v>21</v>
      </c>
      <c r="B197" s="7" t="s">
        <v>151</v>
      </c>
      <c r="C197" s="7" t="s">
        <v>57</v>
      </c>
      <c r="D197" s="7"/>
      <c r="E197" s="7"/>
      <c r="F197" s="7"/>
      <c r="G197" s="7">
        <v>28.5</v>
      </c>
      <c r="H197" s="7"/>
      <c r="I197" s="7"/>
      <c r="J197" s="7" t="str">
        <f>IF(I197="No", "Yes", "No")</f>
        <v>No</v>
      </c>
      <c r="K197" s="7" t="str">
        <f>"JDG_Methane_YMF"&amp;CHAR(10)&amp;A197&amp;"_"&amp;B197&amp;"_"&amp;C197&amp;CHAR(10)&amp;"Organic Soil - July 2021"</f>
        <v>JDG_Methane_YMF
Ridge_TSCA_Untagged
Organic Soil - July 2021</v>
      </c>
      <c r="L197" s="7" t="str">
        <f>"JDG_Methane_YMF"&amp;CHAR(10)&amp;A197&amp;"_"&amp;B197&amp;"_"&amp;C197&amp;CHAR(10)&amp;"Mineral Soil - July 2021"</f>
        <v>JDG_Methane_YMF
Ridge_TSCA_Untagged
Mineral Soil - July 2021</v>
      </c>
      <c r="M197" s="7" t="str">
        <f>"JDG_Methane_YMF"&amp;CHAR(10)&amp;A197&amp;"_"&amp;B197&amp;"_"&amp;C197&amp;CHAR(10)&amp;"Tree Core - MethaneTraits - 2021"</f>
        <v>JDG_Methane_YMF
Ridge_TSCA_Untagged
Tree Core - MethaneTraits - 2021</v>
      </c>
      <c r="N197" s="7" t="str">
        <f>"JDG_Methane_YMF"&amp;CHAR(10)&amp;A197&amp;"_"&amp;B197&amp;"_"&amp;C197&amp;CHAR(10)&amp;"Tree Core - Molecular - 2021"</f>
        <v>JDG_Methane_YMF
Ridge_TSCA_Untagged
Tree Core - Molecular - 2021</v>
      </c>
      <c r="O197" s="7" t="str">
        <f>"JDG_Methane_YMF"&amp;CHAR(10)&amp;A197&amp;"_"&amp;B197&amp;"_"&amp;C197&amp;CHAR(10)&amp;"Organic Soil - Molecular - 2021"</f>
        <v>JDG_Methane_YMF
Ridge_TSCA_Untagged
Organic Soil - Molecular - 2021</v>
      </c>
      <c r="P197" s="7" t="str">
        <f>"JDG_Methane_YMF"&amp;CHAR(10)&amp;A197&amp;"_"&amp;B197&amp;"_"&amp;C197&amp;CHAR(10)&amp;"Mineral Soil - Molecular - 2021"</f>
        <v>JDG_Methane_YMF
Ridge_TSCA_Untagged
Mineral Soil - Molecular - 2021</v>
      </c>
      <c r="Q197" t="str">
        <f t="shared" si="6"/>
        <v>JDG_Methane_YMF
Ridge_TSCA_Untagged
Internal Gas - #1/2 - 2021</v>
      </c>
      <c r="R197" t="str">
        <f t="shared" si="7"/>
        <v>JDG_Methane_YMF
Ridge_TSCA_Untagged
Internal Gas - #2/2 - 2021</v>
      </c>
    </row>
    <row r="198" spans="1:18" x14ac:dyDescent="0.2">
      <c r="A198" s="7" t="s">
        <v>21</v>
      </c>
      <c r="B198" s="7" t="s">
        <v>151</v>
      </c>
      <c r="C198" s="7" t="s">
        <v>57</v>
      </c>
      <c r="D198" s="7"/>
      <c r="E198" s="7"/>
      <c r="F198" s="7"/>
      <c r="G198" s="7">
        <v>32</v>
      </c>
      <c r="H198" s="7"/>
      <c r="I198" s="7"/>
      <c r="J198" s="7" t="str">
        <f>IF(I198="No", "Yes", "No")</f>
        <v>No</v>
      </c>
      <c r="K198" s="7" t="str">
        <f>"JDG_Methane_YMF"&amp;CHAR(10)&amp;A198&amp;"_"&amp;B198&amp;"_"&amp;C198&amp;CHAR(10)&amp;"Organic Soil - July 2021"</f>
        <v>JDG_Methane_YMF
Ridge_TSCA_Untagged
Organic Soil - July 2021</v>
      </c>
      <c r="L198" s="7" t="str">
        <f>"JDG_Methane_YMF"&amp;CHAR(10)&amp;A198&amp;"_"&amp;B198&amp;"_"&amp;C198&amp;CHAR(10)&amp;"Mineral Soil - July 2021"</f>
        <v>JDG_Methane_YMF
Ridge_TSCA_Untagged
Mineral Soil - July 2021</v>
      </c>
      <c r="M198" s="7" t="str">
        <f>"JDG_Methane_YMF"&amp;CHAR(10)&amp;A198&amp;"_"&amp;B198&amp;"_"&amp;C198&amp;CHAR(10)&amp;"Tree Core - MethaneTraits - 2021"</f>
        <v>JDG_Methane_YMF
Ridge_TSCA_Untagged
Tree Core - MethaneTraits - 2021</v>
      </c>
      <c r="N198" s="7" t="str">
        <f>"JDG_Methane_YMF"&amp;CHAR(10)&amp;A198&amp;"_"&amp;B198&amp;"_"&amp;C198&amp;CHAR(10)&amp;"Tree Core - Molecular - 2021"</f>
        <v>JDG_Methane_YMF
Ridge_TSCA_Untagged
Tree Core - Molecular - 2021</v>
      </c>
      <c r="O198" s="7" t="str">
        <f>"JDG_Methane_YMF"&amp;CHAR(10)&amp;A198&amp;"_"&amp;B198&amp;"_"&amp;C198&amp;CHAR(10)&amp;"Organic Soil - Molecular - 2021"</f>
        <v>JDG_Methane_YMF
Ridge_TSCA_Untagged
Organic Soil - Molecular - 2021</v>
      </c>
      <c r="P198" s="7" t="str">
        <f>"JDG_Methane_YMF"&amp;CHAR(10)&amp;A198&amp;"_"&amp;B198&amp;"_"&amp;C198&amp;CHAR(10)&amp;"Mineral Soil - Molecular - 2021"</f>
        <v>JDG_Methane_YMF
Ridge_TSCA_Untagged
Mineral Soil - Molecular - 2021</v>
      </c>
      <c r="Q198" t="str">
        <f t="shared" si="6"/>
        <v>JDG_Methane_YMF
Ridge_TSCA_Untagged
Internal Gas - #1/2 - 2021</v>
      </c>
      <c r="R198" t="str">
        <f t="shared" si="7"/>
        <v>JDG_Methane_YMF
Ridge_TSCA_Untagged
Internal Gas - #2/2 - 2021</v>
      </c>
    </row>
    <row r="199" spans="1:18" x14ac:dyDescent="0.2">
      <c r="A199" s="7" t="s">
        <v>21</v>
      </c>
      <c r="B199" s="7" t="s">
        <v>151</v>
      </c>
      <c r="C199" s="7" t="s">
        <v>57</v>
      </c>
      <c r="D199" s="7"/>
      <c r="E199" s="7"/>
      <c r="F199" s="7"/>
      <c r="G199" s="7">
        <v>35</v>
      </c>
      <c r="H199" s="7"/>
      <c r="I199" s="7"/>
      <c r="J199" s="7" t="str">
        <f>IF(I199="No", "Yes", "No")</f>
        <v>No</v>
      </c>
      <c r="K199" s="7" t="str">
        <f>"JDG_Methane_YMF"&amp;CHAR(10)&amp;A199&amp;"_"&amp;B199&amp;"_"&amp;C199&amp;CHAR(10)&amp;"Organic Soil - July 2021"</f>
        <v>JDG_Methane_YMF
Ridge_TSCA_Untagged
Organic Soil - July 2021</v>
      </c>
      <c r="L199" s="7" t="str">
        <f>"JDG_Methane_YMF"&amp;CHAR(10)&amp;A199&amp;"_"&amp;B199&amp;"_"&amp;C199&amp;CHAR(10)&amp;"Mineral Soil - July 2021"</f>
        <v>JDG_Methane_YMF
Ridge_TSCA_Untagged
Mineral Soil - July 2021</v>
      </c>
      <c r="M199" s="7" t="str">
        <f>"JDG_Methane_YMF"&amp;CHAR(10)&amp;A199&amp;"_"&amp;B199&amp;"_"&amp;C199&amp;CHAR(10)&amp;"Tree Core - MethaneTraits - 2021"</f>
        <v>JDG_Methane_YMF
Ridge_TSCA_Untagged
Tree Core - MethaneTraits - 2021</v>
      </c>
      <c r="N199" s="7" t="str">
        <f>"JDG_Methane_YMF"&amp;CHAR(10)&amp;A199&amp;"_"&amp;B199&amp;"_"&amp;C199&amp;CHAR(10)&amp;"Tree Core - Molecular - 2021"</f>
        <v>JDG_Methane_YMF
Ridge_TSCA_Untagged
Tree Core - Molecular - 2021</v>
      </c>
      <c r="O199" s="7" t="str">
        <f>"JDG_Methane_YMF"&amp;CHAR(10)&amp;A199&amp;"_"&amp;B199&amp;"_"&amp;C199&amp;CHAR(10)&amp;"Organic Soil - Molecular - 2021"</f>
        <v>JDG_Methane_YMF
Ridge_TSCA_Untagged
Organic Soil - Molecular - 2021</v>
      </c>
      <c r="P199" s="7" t="str">
        <f>"JDG_Methane_YMF"&amp;CHAR(10)&amp;A199&amp;"_"&amp;B199&amp;"_"&amp;C199&amp;CHAR(10)&amp;"Mineral Soil - Molecular - 2021"</f>
        <v>JDG_Methane_YMF
Ridge_TSCA_Untagged
Mineral Soil - Molecular - 2021</v>
      </c>
      <c r="Q199" t="str">
        <f t="shared" si="6"/>
        <v>JDG_Methane_YMF
Ridge_TSCA_Untagged
Internal Gas - #1/2 - 2021</v>
      </c>
      <c r="R199" t="str">
        <f t="shared" si="7"/>
        <v>JDG_Methane_YMF
Ridge_TSCA_Untagged
Internal Gas - #2/2 - 2021</v>
      </c>
    </row>
    <row r="200" spans="1:18" x14ac:dyDescent="0.2">
      <c r="A200" s="7" t="s">
        <v>21</v>
      </c>
      <c r="B200" s="7" t="s">
        <v>151</v>
      </c>
      <c r="C200" s="7" t="s">
        <v>57</v>
      </c>
      <c r="D200" s="7"/>
      <c r="E200" s="7"/>
      <c r="F200" s="7"/>
      <c r="G200" s="7">
        <v>68</v>
      </c>
      <c r="H200" s="7"/>
      <c r="I200" s="7"/>
      <c r="J200" s="7" t="str">
        <f>IF(I200="No", "Yes", "No")</f>
        <v>No</v>
      </c>
      <c r="K200" s="7" t="str">
        <f>"JDG_Methane_YMF"&amp;CHAR(10)&amp;A200&amp;"_"&amp;B200&amp;"_"&amp;C200&amp;CHAR(10)&amp;"Organic Soil - July 2021"</f>
        <v>JDG_Methane_YMF
Ridge_TSCA_Untagged
Organic Soil - July 2021</v>
      </c>
      <c r="L200" s="7" t="str">
        <f>"JDG_Methane_YMF"&amp;CHAR(10)&amp;A200&amp;"_"&amp;B200&amp;"_"&amp;C200&amp;CHAR(10)&amp;"Mineral Soil - July 2021"</f>
        <v>JDG_Methane_YMF
Ridge_TSCA_Untagged
Mineral Soil - July 2021</v>
      </c>
      <c r="M200" s="7" t="str">
        <f>"JDG_Methane_YMF"&amp;CHAR(10)&amp;A200&amp;"_"&amp;B200&amp;"_"&amp;C200&amp;CHAR(10)&amp;"Tree Core - MethaneTraits - 2021"</f>
        <v>JDG_Methane_YMF
Ridge_TSCA_Untagged
Tree Core - MethaneTraits - 2021</v>
      </c>
      <c r="N200" s="7" t="str">
        <f>"JDG_Methane_YMF"&amp;CHAR(10)&amp;A200&amp;"_"&amp;B200&amp;"_"&amp;C200&amp;CHAR(10)&amp;"Tree Core - Molecular - 2021"</f>
        <v>JDG_Methane_YMF
Ridge_TSCA_Untagged
Tree Core - Molecular - 2021</v>
      </c>
      <c r="O200" s="7" t="str">
        <f>"JDG_Methane_YMF"&amp;CHAR(10)&amp;A200&amp;"_"&amp;B200&amp;"_"&amp;C200&amp;CHAR(10)&amp;"Organic Soil - Molecular - 2021"</f>
        <v>JDG_Methane_YMF
Ridge_TSCA_Untagged
Organic Soil - Molecular - 2021</v>
      </c>
      <c r="P200" s="7" t="str">
        <f>"JDG_Methane_YMF"&amp;CHAR(10)&amp;A200&amp;"_"&amp;B200&amp;"_"&amp;C200&amp;CHAR(10)&amp;"Mineral Soil - Molecular - 2021"</f>
        <v>JDG_Methane_YMF
Ridge_TSCA_Untagged
Mineral Soil - Molecular - 2021</v>
      </c>
      <c r="Q200" t="str">
        <f t="shared" si="6"/>
        <v>JDG_Methane_YMF
Ridge_TSCA_Untagged
Internal Gas - #1/2 - 2021</v>
      </c>
      <c r="R200" t="str">
        <f t="shared" si="7"/>
        <v>JDG_Methane_YMF
Ridge_TSCA_Untagged
Internal Gas - #2/2 - 2021</v>
      </c>
    </row>
  </sheetData>
  <autoFilter ref="A1:A200" xr:uid="{5FABCDA6-EF02-2343-BF2D-C9D730A07EDD}"/>
  <sortState ref="A2:P200">
    <sortCondition ref="A2:A200"/>
    <sortCondition ref="B2:B200"/>
    <sortCondition ref="C2:C200"/>
  </sortState>
  <pageMargins left="0.7" right="0.7" top="0.75" bottom="0.75" header="0.3" footer="0.3"/>
  <pageSetup fitToHeight="5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1085-5675-FA46-AFA3-3594D3FD51F2}">
  <sheetPr filterMode="1">
    <pageSetUpPr fitToPage="1"/>
  </sheetPr>
  <dimension ref="A1:P797"/>
  <sheetViews>
    <sheetView topLeftCell="A722" workbookViewId="0">
      <selection sqref="A1:XFD1"/>
    </sheetView>
  </sheetViews>
  <sheetFormatPr baseColWidth="10" defaultRowHeight="30" customHeight="1" x14ac:dyDescent="0.2"/>
  <cols>
    <col min="10" max="10" width="11.5" customWidth="1"/>
  </cols>
  <sheetData>
    <row r="1" spans="1:16" s="4" customFormat="1" ht="51" x14ac:dyDescent="0.2">
      <c r="A1" s="5" t="s">
        <v>0</v>
      </c>
      <c r="B1" s="5" t="s">
        <v>1</v>
      </c>
      <c r="C1" s="5" t="s">
        <v>2</v>
      </c>
      <c r="D1" s="5" t="s">
        <v>216</v>
      </c>
      <c r="E1" s="5" t="s">
        <v>215</v>
      </c>
      <c r="F1" s="6" t="s">
        <v>227</v>
      </c>
      <c r="G1" s="5" t="s">
        <v>213</v>
      </c>
      <c r="H1" s="5" t="s">
        <v>214</v>
      </c>
      <c r="I1" s="6" t="s">
        <v>212</v>
      </c>
      <c r="J1" s="6" t="s">
        <v>217</v>
      </c>
      <c r="K1" s="6" t="s">
        <v>218</v>
      </c>
      <c r="L1" s="6" t="s">
        <v>208</v>
      </c>
      <c r="M1" s="6" t="s">
        <v>209</v>
      </c>
      <c r="N1" s="6" t="s">
        <v>210</v>
      </c>
      <c r="O1" s="6" t="s">
        <v>211</v>
      </c>
      <c r="P1" s="6" t="s">
        <v>4</v>
      </c>
    </row>
    <row r="2" spans="1:16" ht="30" hidden="1" customHeight="1" x14ac:dyDescent="0.2">
      <c r="A2" s="7" t="s">
        <v>62</v>
      </c>
      <c r="B2" s="7" t="s">
        <v>41</v>
      </c>
      <c r="C2" s="7" t="s">
        <v>42</v>
      </c>
      <c r="D2" s="7" t="s">
        <v>219</v>
      </c>
      <c r="E2" s="7"/>
      <c r="F2" s="8"/>
      <c r="G2" s="7"/>
      <c r="H2" s="7"/>
      <c r="I2" s="8"/>
      <c r="J2" s="8"/>
      <c r="K2" s="8"/>
      <c r="L2" s="8"/>
      <c r="M2" s="9"/>
      <c r="N2" s="8"/>
      <c r="O2" s="10"/>
      <c r="P2" s="11"/>
    </row>
    <row r="3" spans="1:16" ht="30" hidden="1" customHeight="1" x14ac:dyDescent="0.2">
      <c r="A3" s="7" t="s">
        <v>62</v>
      </c>
      <c r="B3" s="7" t="s">
        <v>41</v>
      </c>
      <c r="C3" s="7" t="s">
        <v>42</v>
      </c>
      <c r="D3" s="7" t="s">
        <v>220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30" hidden="1" customHeight="1" x14ac:dyDescent="0.2">
      <c r="A4" s="7" t="s">
        <v>62</v>
      </c>
      <c r="B4" s="7" t="s">
        <v>41</v>
      </c>
      <c r="C4" s="7" t="s">
        <v>42</v>
      </c>
      <c r="D4" s="7" t="s">
        <v>221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30" hidden="1" customHeight="1" x14ac:dyDescent="0.2">
      <c r="A5" s="7" t="s">
        <v>62</v>
      </c>
      <c r="B5" s="7" t="s">
        <v>41</v>
      </c>
      <c r="C5" s="7" t="s">
        <v>42</v>
      </c>
      <c r="D5" s="7" t="s">
        <v>222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30" hidden="1" customHeight="1" x14ac:dyDescent="0.2">
      <c r="A6" s="7" t="s">
        <v>62</v>
      </c>
      <c r="B6" s="7" t="s">
        <v>41</v>
      </c>
      <c r="C6" s="7" t="s">
        <v>51</v>
      </c>
      <c r="D6" s="7" t="s">
        <v>219</v>
      </c>
      <c r="E6" s="7"/>
      <c r="F6" s="8"/>
      <c r="G6" s="7"/>
      <c r="H6" s="7"/>
      <c r="I6" s="8"/>
      <c r="J6" s="8"/>
      <c r="K6" s="8"/>
      <c r="L6" s="8"/>
      <c r="M6" s="9"/>
      <c r="N6" s="8"/>
      <c r="O6" s="10"/>
      <c r="P6" s="11"/>
    </row>
    <row r="7" spans="1:16" ht="30" hidden="1" customHeight="1" x14ac:dyDescent="0.2">
      <c r="A7" s="7" t="s">
        <v>62</v>
      </c>
      <c r="B7" s="7" t="s">
        <v>41</v>
      </c>
      <c r="C7" s="7" t="s">
        <v>51</v>
      </c>
      <c r="D7" s="7" t="s">
        <v>220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30" hidden="1" customHeight="1" x14ac:dyDescent="0.2">
      <c r="A8" s="7" t="s">
        <v>62</v>
      </c>
      <c r="B8" s="7" t="s">
        <v>41</v>
      </c>
      <c r="C8" s="7" t="s">
        <v>51</v>
      </c>
      <c r="D8" s="7" t="s">
        <v>221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30" hidden="1" customHeight="1" x14ac:dyDescent="0.2">
      <c r="A9" s="7" t="s">
        <v>62</v>
      </c>
      <c r="B9" s="7" t="s">
        <v>41</v>
      </c>
      <c r="C9" s="7" t="s">
        <v>51</v>
      </c>
      <c r="D9" s="7" t="s">
        <v>222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30" hidden="1" customHeight="1" x14ac:dyDescent="0.2">
      <c r="A10" s="7" t="s">
        <v>62</v>
      </c>
      <c r="B10" s="7" t="s">
        <v>41</v>
      </c>
      <c r="C10" s="7" t="s">
        <v>52</v>
      </c>
      <c r="D10" s="7" t="s">
        <v>219</v>
      </c>
      <c r="E10" s="7"/>
      <c r="F10" s="8"/>
      <c r="G10" s="7"/>
      <c r="H10" s="7"/>
      <c r="I10" s="8"/>
      <c r="J10" s="8"/>
      <c r="K10" s="8"/>
      <c r="L10" s="8"/>
      <c r="M10" s="9"/>
      <c r="N10" s="8"/>
      <c r="O10" s="10"/>
      <c r="P10" s="11"/>
    </row>
    <row r="11" spans="1:16" ht="30" hidden="1" customHeight="1" x14ac:dyDescent="0.2">
      <c r="A11" s="7" t="s">
        <v>62</v>
      </c>
      <c r="B11" s="7" t="s">
        <v>41</v>
      </c>
      <c r="C11" s="7" t="s">
        <v>52</v>
      </c>
      <c r="D11" s="7" t="s">
        <v>220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30" hidden="1" customHeight="1" x14ac:dyDescent="0.2">
      <c r="A12" s="7" t="s">
        <v>62</v>
      </c>
      <c r="B12" s="7" t="s">
        <v>41</v>
      </c>
      <c r="C12" s="7" t="s">
        <v>52</v>
      </c>
      <c r="D12" s="7" t="s">
        <v>221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30" hidden="1" customHeight="1" x14ac:dyDescent="0.2">
      <c r="A13" s="7" t="s">
        <v>62</v>
      </c>
      <c r="B13" s="7" t="s">
        <v>41</v>
      </c>
      <c r="C13" s="7" t="s">
        <v>52</v>
      </c>
      <c r="D13" s="7" t="s">
        <v>222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30" hidden="1" customHeight="1" x14ac:dyDescent="0.2">
      <c r="A14" s="7" t="s">
        <v>62</v>
      </c>
      <c r="B14" s="7" t="s">
        <v>41</v>
      </c>
      <c r="C14" s="7" t="s">
        <v>53</v>
      </c>
      <c r="D14" s="7" t="s">
        <v>219</v>
      </c>
      <c r="E14" s="7"/>
      <c r="F14" s="8"/>
      <c r="G14" s="7"/>
      <c r="H14" s="7"/>
      <c r="I14" s="8"/>
      <c r="J14" s="8"/>
      <c r="K14" s="8"/>
      <c r="L14" s="8"/>
      <c r="M14" s="9"/>
      <c r="N14" s="8"/>
      <c r="O14" s="10"/>
      <c r="P14" s="11"/>
    </row>
    <row r="15" spans="1:16" ht="30" hidden="1" customHeight="1" x14ac:dyDescent="0.2">
      <c r="A15" s="7" t="s">
        <v>62</v>
      </c>
      <c r="B15" s="7" t="s">
        <v>41</v>
      </c>
      <c r="C15" s="7" t="s">
        <v>53</v>
      </c>
      <c r="D15" s="7" t="s">
        <v>220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30" hidden="1" customHeight="1" x14ac:dyDescent="0.2">
      <c r="A16" s="7" t="s">
        <v>62</v>
      </c>
      <c r="B16" s="7" t="s">
        <v>41</v>
      </c>
      <c r="C16" s="7" t="s">
        <v>53</v>
      </c>
      <c r="D16" s="7" t="s">
        <v>221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30" hidden="1" customHeight="1" x14ac:dyDescent="0.2">
      <c r="A17" s="7" t="s">
        <v>62</v>
      </c>
      <c r="B17" s="7" t="s">
        <v>41</v>
      </c>
      <c r="C17" s="7" t="s">
        <v>53</v>
      </c>
      <c r="D17" s="7" t="s">
        <v>222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30" hidden="1" customHeight="1" x14ac:dyDescent="0.2">
      <c r="A18" s="7" t="s">
        <v>62</v>
      </c>
      <c r="B18" s="7" t="s">
        <v>41</v>
      </c>
      <c r="C18" s="7" t="s">
        <v>54</v>
      </c>
      <c r="D18" s="7" t="s">
        <v>219</v>
      </c>
      <c r="E18" s="7"/>
      <c r="F18" s="8"/>
      <c r="G18" s="7"/>
      <c r="H18" s="7"/>
      <c r="I18" s="8"/>
      <c r="J18" s="8"/>
      <c r="K18" s="8"/>
      <c r="L18" s="8"/>
      <c r="M18" s="9"/>
      <c r="N18" s="8"/>
      <c r="O18" s="10"/>
      <c r="P18" s="11"/>
    </row>
    <row r="19" spans="1:16" ht="30" hidden="1" customHeight="1" x14ac:dyDescent="0.2">
      <c r="A19" s="7" t="s">
        <v>62</v>
      </c>
      <c r="B19" s="7" t="s">
        <v>41</v>
      </c>
      <c r="C19" s="7" t="s">
        <v>54</v>
      </c>
      <c r="D19" s="7" t="s">
        <v>220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30" hidden="1" customHeight="1" x14ac:dyDescent="0.2">
      <c r="A20" s="7" t="s">
        <v>62</v>
      </c>
      <c r="B20" s="7" t="s">
        <v>41</v>
      </c>
      <c r="C20" s="7" t="s">
        <v>54</v>
      </c>
      <c r="D20" s="7" t="s">
        <v>221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30" hidden="1" customHeight="1" x14ac:dyDescent="0.2">
      <c r="A21" s="7" t="s">
        <v>62</v>
      </c>
      <c r="B21" s="7" t="s">
        <v>41</v>
      </c>
      <c r="C21" s="7" t="s">
        <v>54</v>
      </c>
      <c r="D21" s="7" t="s">
        <v>222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30" hidden="1" customHeight="1" x14ac:dyDescent="0.2">
      <c r="A22" s="7" t="s">
        <v>62</v>
      </c>
      <c r="B22" s="7" t="s">
        <v>41</v>
      </c>
      <c r="C22" s="7" t="s">
        <v>55</v>
      </c>
      <c r="D22" s="7" t="s">
        <v>219</v>
      </c>
      <c r="E22" s="7"/>
      <c r="F22" s="8"/>
      <c r="G22" s="7"/>
      <c r="H22" s="7"/>
      <c r="I22" s="8"/>
      <c r="J22" s="8"/>
      <c r="K22" s="8"/>
      <c r="L22" s="8"/>
      <c r="M22" s="9"/>
      <c r="N22" s="8"/>
      <c r="O22" s="10"/>
      <c r="P22" s="11"/>
    </row>
    <row r="23" spans="1:16" ht="30" hidden="1" customHeight="1" x14ac:dyDescent="0.2">
      <c r="A23" s="7" t="s">
        <v>62</v>
      </c>
      <c r="B23" s="7" t="s">
        <v>41</v>
      </c>
      <c r="C23" s="7" t="s">
        <v>55</v>
      </c>
      <c r="D23" s="7" t="s">
        <v>220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30" hidden="1" customHeight="1" x14ac:dyDescent="0.2">
      <c r="A24" s="7" t="s">
        <v>62</v>
      </c>
      <c r="B24" s="7" t="s">
        <v>41</v>
      </c>
      <c r="C24" s="7" t="s">
        <v>55</v>
      </c>
      <c r="D24" s="7" t="s">
        <v>221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30" hidden="1" customHeight="1" x14ac:dyDescent="0.2">
      <c r="A25" s="7" t="s">
        <v>62</v>
      </c>
      <c r="B25" s="7" t="s">
        <v>41</v>
      </c>
      <c r="C25" s="7" t="s">
        <v>55</v>
      </c>
      <c r="D25" s="7" t="s">
        <v>222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30" hidden="1" customHeight="1" x14ac:dyDescent="0.2">
      <c r="A26" s="7" t="s">
        <v>62</v>
      </c>
      <c r="B26" s="7" t="s">
        <v>41</v>
      </c>
      <c r="C26" s="7" t="s">
        <v>56</v>
      </c>
      <c r="D26" s="7" t="s">
        <v>219</v>
      </c>
      <c r="E26" s="7"/>
      <c r="F26" s="8"/>
      <c r="G26" s="7"/>
      <c r="H26" s="7"/>
      <c r="I26" s="8"/>
      <c r="J26" s="8"/>
      <c r="K26" s="8"/>
      <c r="L26" s="8"/>
      <c r="M26" s="9"/>
      <c r="N26" s="8"/>
      <c r="O26" s="10"/>
      <c r="P26" s="11"/>
    </row>
    <row r="27" spans="1:16" ht="30" hidden="1" customHeight="1" x14ac:dyDescent="0.2">
      <c r="A27" s="7" t="s">
        <v>62</v>
      </c>
      <c r="B27" s="7" t="s">
        <v>41</v>
      </c>
      <c r="C27" s="7" t="s">
        <v>56</v>
      </c>
      <c r="D27" s="7" t="s">
        <v>220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ht="30" hidden="1" customHeight="1" x14ac:dyDescent="0.2">
      <c r="A28" s="7" t="s">
        <v>62</v>
      </c>
      <c r="B28" s="7" t="s">
        <v>41</v>
      </c>
      <c r="C28" s="7" t="s">
        <v>56</v>
      </c>
      <c r="D28" s="7" t="s">
        <v>221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ht="30" hidden="1" customHeight="1" x14ac:dyDescent="0.2">
      <c r="A29" s="7" t="s">
        <v>62</v>
      </c>
      <c r="B29" s="7" t="s">
        <v>41</v>
      </c>
      <c r="C29" s="7" t="s">
        <v>56</v>
      </c>
      <c r="D29" s="7" t="s">
        <v>222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ht="30" hidden="1" customHeight="1" x14ac:dyDescent="0.2">
      <c r="A30" s="7" t="s">
        <v>62</v>
      </c>
      <c r="B30" s="7" t="s">
        <v>41</v>
      </c>
      <c r="C30" s="7" t="s">
        <v>43</v>
      </c>
      <c r="D30" s="7" t="s">
        <v>219</v>
      </c>
      <c r="E30" s="7"/>
      <c r="F30" s="8"/>
      <c r="G30" s="7"/>
      <c r="H30" s="7"/>
      <c r="I30" s="8"/>
      <c r="J30" s="8"/>
      <c r="K30" s="8"/>
      <c r="L30" s="8"/>
      <c r="M30" s="9"/>
      <c r="N30" s="8"/>
      <c r="O30" s="10"/>
      <c r="P30" s="10"/>
    </row>
    <row r="31" spans="1:16" ht="30" hidden="1" customHeight="1" x14ac:dyDescent="0.2">
      <c r="A31" s="7" t="s">
        <v>62</v>
      </c>
      <c r="B31" s="7" t="s">
        <v>41</v>
      </c>
      <c r="C31" s="7" t="s">
        <v>43</v>
      </c>
      <c r="D31" s="7" t="s">
        <v>220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ht="30" hidden="1" customHeight="1" x14ac:dyDescent="0.2">
      <c r="A32" s="7" t="s">
        <v>62</v>
      </c>
      <c r="B32" s="7" t="s">
        <v>41</v>
      </c>
      <c r="C32" s="7" t="s">
        <v>43</v>
      </c>
      <c r="D32" s="7" t="s">
        <v>221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ht="30" hidden="1" customHeight="1" x14ac:dyDescent="0.2">
      <c r="A33" s="7" t="s">
        <v>62</v>
      </c>
      <c r="B33" s="7" t="s">
        <v>41</v>
      </c>
      <c r="C33" s="7" t="s">
        <v>43</v>
      </c>
      <c r="D33" s="7" t="s">
        <v>222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30" hidden="1" customHeight="1" x14ac:dyDescent="0.2">
      <c r="A34" s="7" t="s">
        <v>62</v>
      </c>
      <c r="B34" s="7" t="s">
        <v>41</v>
      </c>
      <c r="C34" s="7" t="s">
        <v>44</v>
      </c>
      <c r="D34" s="7" t="s">
        <v>219</v>
      </c>
      <c r="E34" s="7"/>
      <c r="F34" s="8"/>
      <c r="G34" s="7"/>
      <c r="H34" s="7"/>
      <c r="I34" s="8"/>
      <c r="J34" s="8"/>
      <c r="K34" s="8"/>
      <c r="L34" s="8"/>
      <c r="M34" s="9"/>
      <c r="N34" s="8"/>
      <c r="O34" s="10"/>
      <c r="P34" s="11"/>
    </row>
    <row r="35" spans="1:16" ht="30" hidden="1" customHeight="1" x14ac:dyDescent="0.2">
      <c r="A35" s="7" t="s">
        <v>62</v>
      </c>
      <c r="B35" s="7" t="s">
        <v>41</v>
      </c>
      <c r="C35" s="7" t="s">
        <v>44</v>
      </c>
      <c r="D35" s="7" t="s">
        <v>220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ht="30" hidden="1" customHeight="1" x14ac:dyDescent="0.2">
      <c r="A36" s="7" t="s">
        <v>62</v>
      </c>
      <c r="B36" s="7" t="s">
        <v>41</v>
      </c>
      <c r="C36" s="7" t="s">
        <v>44</v>
      </c>
      <c r="D36" s="7" t="s">
        <v>221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ht="30" hidden="1" customHeight="1" x14ac:dyDescent="0.2">
      <c r="A37" s="7" t="s">
        <v>62</v>
      </c>
      <c r="B37" s="7" t="s">
        <v>41</v>
      </c>
      <c r="C37" s="7" t="s">
        <v>44</v>
      </c>
      <c r="D37" s="7" t="s">
        <v>222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ht="30" hidden="1" customHeight="1" x14ac:dyDescent="0.2">
      <c r="A38" s="7" t="s">
        <v>62</v>
      </c>
      <c r="B38" s="7" t="s">
        <v>41</v>
      </c>
      <c r="C38" s="7" t="s">
        <v>45</v>
      </c>
      <c r="D38" s="7" t="s">
        <v>219</v>
      </c>
      <c r="E38" s="7"/>
      <c r="F38" s="8"/>
      <c r="G38" s="7"/>
      <c r="H38" s="7"/>
      <c r="I38" s="8"/>
      <c r="J38" s="8"/>
      <c r="K38" s="8"/>
      <c r="L38" s="8"/>
      <c r="M38" s="9"/>
      <c r="N38" s="8"/>
      <c r="O38" s="10"/>
      <c r="P38" s="11"/>
    </row>
    <row r="39" spans="1:16" ht="30" hidden="1" customHeight="1" x14ac:dyDescent="0.2">
      <c r="A39" s="7" t="s">
        <v>62</v>
      </c>
      <c r="B39" s="7" t="s">
        <v>41</v>
      </c>
      <c r="C39" s="7" t="s">
        <v>45</v>
      </c>
      <c r="D39" s="7" t="s">
        <v>220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ht="30" hidden="1" customHeight="1" x14ac:dyDescent="0.2">
      <c r="A40" s="7" t="s">
        <v>62</v>
      </c>
      <c r="B40" s="7" t="s">
        <v>41</v>
      </c>
      <c r="C40" s="7" t="s">
        <v>45</v>
      </c>
      <c r="D40" s="7" t="s">
        <v>221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ht="30" hidden="1" customHeight="1" x14ac:dyDescent="0.2">
      <c r="A41" s="7" t="s">
        <v>62</v>
      </c>
      <c r="B41" s="7" t="s">
        <v>41</v>
      </c>
      <c r="C41" s="7" t="s">
        <v>45</v>
      </c>
      <c r="D41" s="7" t="s">
        <v>222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ht="30" hidden="1" customHeight="1" x14ac:dyDescent="0.2">
      <c r="A42" s="7" t="s">
        <v>62</v>
      </c>
      <c r="B42" s="7" t="s">
        <v>41</v>
      </c>
      <c r="C42" s="7" t="s">
        <v>46</v>
      </c>
      <c r="D42" s="7" t="s">
        <v>219</v>
      </c>
      <c r="E42" s="7"/>
      <c r="F42" s="8"/>
      <c r="G42" s="7"/>
      <c r="H42" s="7"/>
      <c r="I42" s="8"/>
      <c r="J42" s="8"/>
      <c r="K42" s="8"/>
      <c r="L42" s="8"/>
      <c r="M42" s="9"/>
      <c r="N42" s="13"/>
      <c r="O42" s="10"/>
      <c r="P42" s="10"/>
    </row>
    <row r="43" spans="1:16" ht="30" hidden="1" customHeight="1" x14ac:dyDescent="0.2">
      <c r="A43" s="7" t="s">
        <v>62</v>
      </c>
      <c r="B43" s="7" t="s">
        <v>41</v>
      </c>
      <c r="C43" s="7" t="s">
        <v>46</v>
      </c>
      <c r="D43" s="7" t="s">
        <v>220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ht="30" hidden="1" customHeight="1" x14ac:dyDescent="0.2">
      <c r="A44" s="7" t="s">
        <v>62</v>
      </c>
      <c r="B44" s="7" t="s">
        <v>41</v>
      </c>
      <c r="C44" s="7" t="s">
        <v>46</v>
      </c>
      <c r="D44" s="7" t="s">
        <v>221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ht="30" hidden="1" customHeight="1" x14ac:dyDescent="0.2">
      <c r="A45" s="7" t="s">
        <v>62</v>
      </c>
      <c r="B45" s="7" t="s">
        <v>41</v>
      </c>
      <c r="C45" s="7" t="s">
        <v>46</v>
      </c>
      <c r="D45" s="7" t="s">
        <v>222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ht="30" hidden="1" customHeight="1" x14ac:dyDescent="0.2">
      <c r="A46" s="7" t="s">
        <v>62</v>
      </c>
      <c r="B46" s="7" t="s">
        <v>41</v>
      </c>
      <c r="C46" s="7" t="s">
        <v>47</v>
      </c>
      <c r="D46" s="7" t="s">
        <v>219</v>
      </c>
      <c r="E46" s="7"/>
      <c r="F46" s="8"/>
      <c r="G46" s="7"/>
      <c r="H46" s="7"/>
      <c r="I46" s="8"/>
      <c r="J46" s="8"/>
      <c r="K46" s="8"/>
      <c r="L46" s="8"/>
      <c r="M46" s="9"/>
      <c r="N46" s="8"/>
      <c r="O46" s="10"/>
      <c r="P46" s="11"/>
    </row>
    <row r="47" spans="1:16" ht="30" hidden="1" customHeight="1" x14ac:dyDescent="0.2">
      <c r="A47" s="7" t="s">
        <v>62</v>
      </c>
      <c r="B47" s="7" t="s">
        <v>41</v>
      </c>
      <c r="C47" s="7" t="s">
        <v>47</v>
      </c>
      <c r="D47" s="7" t="s">
        <v>220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ht="30" hidden="1" customHeight="1" x14ac:dyDescent="0.2">
      <c r="A48" s="7" t="s">
        <v>62</v>
      </c>
      <c r="B48" s="7" t="s">
        <v>41</v>
      </c>
      <c r="C48" s="7" t="s">
        <v>47</v>
      </c>
      <c r="D48" s="7" t="s">
        <v>221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ht="30" hidden="1" customHeight="1" x14ac:dyDescent="0.2">
      <c r="A49" s="7" t="s">
        <v>62</v>
      </c>
      <c r="B49" s="7" t="s">
        <v>41</v>
      </c>
      <c r="C49" s="7" t="s">
        <v>47</v>
      </c>
      <c r="D49" s="7" t="s">
        <v>222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ht="30" hidden="1" customHeight="1" x14ac:dyDescent="0.2">
      <c r="A50" s="7" t="s">
        <v>62</v>
      </c>
      <c r="B50" s="7" t="s">
        <v>41</v>
      </c>
      <c r="C50" s="7" t="s">
        <v>48</v>
      </c>
      <c r="D50" s="7" t="s">
        <v>219</v>
      </c>
      <c r="E50" s="7"/>
      <c r="F50" s="8"/>
      <c r="G50" s="7"/>
      <c r="H50" s="7"/>
      <c r="I50" s="8"/>
      <c r="J50" s="8"/>
      <c r="K50" s="8"/>
      <c r="L50" s="8"/>
      <c r="M50" s="9"/>
      <c r="N50" s="8"/>
      <c r="O50" s="10"/>
      <c r="P50" s="11"/>
    </row>
    <row r="51" spans="1:16" ht="30" hidden="1" customHeight="1" x14ac:dyDescent="0.2">
      <c r="A51" s="7" t="s">
        <v>62</v>
      </c>
      <c r="B51" s="7" t="s">
        <v>41</v>
      </c>
      <c r="C51" s="7" t="s">
        <v>48</v>
      </c>
      <c r="D51" s="7" t="s">
        <v>220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ht="30" hidden="1" customHeight="1" x14ac:dyDescent="0.2">
      <c r="A52" s="7" t="s">
        <v>62</v>
      </c>
      <c r="B52" s="7" t="s">
        <v>41</v>
      </c>
      <c r="C52" s="7" t="s">
        <v>48</v>
      </c>
      <c r="D52" s="7" t="s">
        <v>221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ht="30" hidden="1" customHeight="1" x14ac:dyDescent="0.2">
      <c r="A53" s="7" t="s">
        <v>62</v>
      </c>
      <c r="B53" s="7" t="s">
        <v>41</v>
      </c>
      <c r="C53" s="7" t="s">
        <v>48</v>
      </c>
      <c r="D53" s="7" t="s">
        <v>222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ht="30" hidden="1" customHeight="1" x14ac:dyDescent="0.2">
      <c r="A54" s="7" t="s">
        <v>62</v>
      </c>
      <c r="B54" s="7" t="s">
        <v>41</v>
      </c>
      <c r="C54" s="7" t="s">
        <v>49</v>
      </c>
      <c r="D54" s="7" t="s">
        <v>219</v>
      </c>
      <c r="E54" s="7"/>
      <c r="F54" s="8"/>
      <c r="G54" s="7"/>
      <c r="H54" s="7"/>
      <c r="I54" s="8"/>
      <c r="J54" s="8"/>
      <c r="K54" s="8"/>
      <c r="L54" s="8"/>
      <c r="M54" s="9"/>
      <c r="N54" s="8"/>
      <c r="O54" s="10"/>
      <c r="P54" s="11"/>
    </row>
    <row r="55" spans="1:16" ht="30" hidden="1" customHeight="1" x14ac:dyDescent="0.2">
      <c r="A55" s="7" t="s">
        <v>62</v>
      </c>
      <c r="B55" s="7" t="s">
        <v>41</v>
      </c>
      <c r="C55" s="7" t="s">
        <v>49</v>
      </c>
      <c r="D55" s="7" t="s">
        <v>220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30" hidden="1" customHeight="1" x14ac:dyDescent="0.2">
      <c r="A56" s="7" t="s">
        <v>62</v>
      </c>
      <c r="B56" s="7" t="s">
        <v>41</v>
      </c>
      <c r="C56" s="7" t="s">
        <v>49</v>
      </c>
      <c r="D56" s="7" t="s">
        <v>221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ht="30" hidden="1" customHeight="1" x14ac:dyDescent="0.2">
      <c r="A57" s="7" t="s">
        <v>62</v>
      </c>
      <c r="B57" s="7" t="s">
        <v>41</v>
      </c>
      <c r="C57" s="7" t="s">
        <v>49</v>
      </c>
      <c r="D57" s="7" t="s">
        <v>222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ht="30" hidden="1" customHeight="1" x14ac:dyDescent="0.2">
      <c r="A58" s="7" t="s">
        <v>62</v>
      </c>
      <c r="B58" s="7" t="s">
        <v>41</v>
      </c>
      <c r="C58" s="7" t="s">
        <v>50</v>
      </c>
      <c r="D58" s="7" t="s">
        <v>219</v>
      </c>
      <c r="E58" s="7"/>
      <c r="F58" s="8"/>
      <c r="G58" s="7"/>
      <c r="H58" s="7"/>
      <c r="I58" s="8"/>
      <c r="J58" s="8"/>
      <c r="K58" s="8"/>
      <c r="L58" s="8"/>
      <c r="M58" s="9"/>
      <c r="N58" s="8"/>
      <c r="O58" s="10"/>
      <c r="P58" s="11"/>
    </row>
    <row r="59" spans="1:16" ht="30" hidden="1" customHeight="1" x14ac:dyDescent="0.2">
      <c r="A59" s="7" t="s">
        <v>62</v>
      </c>
      <c r="B59" s="7" t="s">
        <v>41</v>
      </c>
      <c r="C59" s="7" t="s">
        <v>50</v>
      </c>
      <c r="D59" s="7" t="s">
        <v>220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ht="30" hidden="1" customHeight="1" x14ac:dyDescent="0.2">
      <c r="A60" s="7" t="s">
        <v>62</v>
      </c>
      <c r="B60" s="7" t="s">
        <v>41</v>
      </c>
      <c r="C60" s="7" t="s">
        <v>50</v>
      </c>
      <c r="D60" s="7" t="s">
        <v>221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ht="30" hidden="1" customHeight="1" x14ac:dyDescent="0.2">
      <c r="A61" s="7" t="s">
        <v>62</v>
      </c>
      <c r="B61" s="7" t="s">
        <v>41</v>
      </c>
      <c r="C61" s="7" t="s">
        <v>50</v>
      </c>
      <c r="D61" s="7" t="s">
        <v>222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ht="30" hidden="1" customHeight="1" x14ac:dyDescent="0.2">
      <c r="A62" s="7" t="s">
        <v>62</v>
      </c>
      <c r="B62" s="7" t="s">
        <v>87</v>
      </c>
      <c r="C62" s="7" t="s">
        <v>88</v>
      </c>
      <c r="D62" s="7" t="s">
        <v>219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ht="30" hidden="1" customHeight="1" x14ac:dyDescent="0.2">
      <c r="A63" s="7" t="s">
        <v>62</v>
      </c>
      <c r="B63" s="7" t="s">
        <v>87</v>
      </c>
      <c r="C63" s="7" t="s">
        <v>88</v>
      </c>
      <c r="D63" s="7" t="s">
        <v>220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ht="30" hidden="1" customHeight="1" x14ac:dyDescent="0.2">
      <c r="A64" s="7" t="s">
        <v>62</v>
      </c>
      <c r="B64" s="7" t="s">
        <v>87</v>
      </c>
      <c r="C64" s="7" t="s">
        <v>88</v>
      </c>
      <c r="D64" s="7" t="s">
        <v>221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ht="30" hidden="1" customHeight="1" x14ac:dyDescent="0.2">
      <c r="A65" s="7" t="s">
        <v>62</v>
      </c>
      <c r="B65" s="7" t="s">
        <v>87</v>
      </c>
      <c r="C65" s="7" t="s">
        <v>88</v>
      </c>
      <c r="D65" s="7" t="s">
        <v>222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ht="30" hidden="1" customHeight="1" x14ac:dyDescent="0.2">
      <c r="A66" s="7" t="s">
        <v>62</v>
      </c>
      <c r="B66" s="7" t="s">
        <v>64</v>
      </c>
      <c r="C66" s="7" t="s">
        <v>65</v>
      </c>
      <c r="D66" s="7" t="s">
        <v>219</v>
      </c>
      <c r="E66" s="7"/>
      <c r="F66" s="8"/>
      <c r="G66" s="7"/>
      <c r="H66" s="7"/>
      <c r="I66" s="8"/>
      <c r="J66" s="8"/>
      <c r="K66" s="8"/>
      <c r="L66" s="8"/>
      <c r="M66" s="9"/>
      <c r="N66" s="8"/>
      <c r="O66" s="10"/>
      <c r="P66" s="11"/>
    </row>
    <row r="67" spans="1:16" ht="30" hidden="1" customHeight="1" x14ac:dyDescent="0.2">
      <c r="A67" s="7" t="s">
        <v>62</v>
      </c>
      <c r="B67" s="7" t="s">
        <v>64</v>
      </c>
      <c r="C67" s="7" t="s">
        <v>65</v>
      </c>
      <c r="D67" s="7" t="s">
        <v>220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ht="30" hidden="1" customHeight="1" x14ac:dyDescent="0.2">
      <c r="A68" s="7" t="s">
        <v>62</v>
      </c>
      <c r="B68" s="7" t="s">
        <v>64</v>
      </c>
      <c r="C68" s="7" t="s">
        <v>65</v>
      </c>
      <c r="D68" s="7" t="s">
        <v>221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ht="30" hidden="1" customHeight="1" x14ac:dyDescent="0.2">
      <c r="A69" s="7" t="s">
        <v>62</v>
      </c>
      <c r="B69" s="7" t="s">
        <v>64</v>
      </c>
      <c r="C69" s="7" t="s">
        <v>65</v>
      </c>
      <c r="D69" s="7" t="s">
        <v>222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ht="30" hidden="1" customHeight="1" x14ac:dyDescent="0.2">
      <c r="A70" s="7" t="s">
        <v>62</v>
      </c>
      <c r="B70" s="7" t="s">
        <v>64</v>
      </c>
      <c r="C70" s="7" t="s">
        <v>66</v>
      </c>
      <c r="D70" s="7" t="s">
        <v>219</v>
      </c>
      <c r="E70" s="7"/>
      <c r="F70" s="8"/>
      <c r="G70" s="7"/>
      <c r="H70" s="7"/>
      <c r="I70" s="8"/>
      <c r="J70" s="8"/>
      <c r="K70" s="8"/>
      <c r="L70" s="8"/>
      <c r="M70" s="9"/>
      <c r="N70" s="8"/>
      <c r="O70" s="10"/>
      <c r="P70" s="11"/>
    </row>
    <row r="71" spans="1:16" ht="30" hidden="1" customHeight="1" x14ac:dyDescent="0.2">
      <c r="A71" s="7" t="s">
        <v>62</v>
      </c>
      <c r="B71" s="7" t="s">
        <v>64</v>
      </c>
      <c r="C71" s="7" t="s">
        <v>66</v>
      </c>
      <c r="D71" s="7" t="s">
        <v>220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ht="30" hidden="1" customHeight="1" x14ac:dyDescent="0.2">
      <c r="A72" s="7" t="s">
        <v>62</v>
      </c>
      <c r="B72" s="7" t="s">
        <v>64</v>
      </c>
      <c r="C72" s="7" t="s">
        <v>66</v>
      </c>
      <c r="D72" s="7" t="s">
        <v>221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ht="30" hidden="1" customHeight="1" x14ac:dyDescent="0.2">
      <c r="A73" s="7" t="s">
        <v>62</v>
      </c>
      <c r="B73" s="7" t="s">
        <v>64</v>
      </c>
      <c r="C73" s="7" t="s">
        <v>66</v>
      </c>
      <c r="D73" s="7" t="s">
        <v>222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ht="30" hidden="1" customHeight="1" x14ac:dyDescent="0.2">
      <c r="A74" s="7" t="s">
        <v>62</v>
      </c>
      <c r="B74" s="7" t="s">
        <v>64</v>
      </c>
      <c r="C74" s="7" t="s">
        <v>67</v>
      </c>
      <c r="D74" s="7" t="s">
        <v>219</v>
      </c>
      <c r="E74" s="7"/>
      <c r="F74" s="8"/>
      <c r="G74" s="7"/>
      <c r="H74" s="7"/>
      <c r="I74" s="8"/>
      <c r="J74" s="8"/>
      <c r="K74" s="8"/>
      <c r="L74" s="8"/>
      <c r="M74" s="9"/>
      <c r="N74" s="8"/>
      <c r="O74" s="10"/>
      <c r="P74" s="11"/>
    </row>
    <row r="75" spans="1:16" ht="30" hidden="1" customHeight="1" x14ac:dyDescent="0.2">
      <c r="A75" s="7" t="s">
        <v>62</v>
      </c>
      <c r="B75" s="7" t="s">
        <v>64</v>
      </c>
      <c r="C75" s="7" t="s">
        <v>67</v>
      </c>
      <c r="D75" s="7" t="s">
        <v>220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ht="30" hidden="1" customHeight="1" x14ac:dyDescent="0.2">
      <c r="A76" s="7" t="s">
        <v>62</v>
      </c>
      <c r="B76" s="7" t="s">
        <v>64</v>
      </c>
      <c r="C76" s="7" t="s">
        <v>67</v>
      </c>
      <c r="D76" s="7" t="s">
        <v>221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ht="30" hidden="1" customHeight="1" x14ac:dyDescent="0.2">
      <c r="A77" s="7" t="s">
        <v>62</v>
      </c>
      <c r="B77" s="7" t="s">
        <v>64</v>
      </c>
      <c r="C77" s="7" t="s">
        <v>67</v>
      </c>
      <c r="D77" s="7" t="s">
        <v>222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ht="30" hidden="1" customHeight="1" x14ac:dyDescent="0.2">
      <c r="A78" s="7" t="s">
        <v>62</v>
      </c>
      <c r="B78" s="7" t="s">
        <v>64</v>
      </c>
      <c r="C78" s="7" t="s">
        <v>68</v>
      </c>
      <c r="D78" s="7" t="s">
        <v>219</v>
      </c>
      <c r="E78" s="7"/>
      <c r="F78" s="8"/>
      <c r="G78" s="7"/>
      <c r="H78" s="7"/>
      <c r="I78" s="8"/>
      <c r="J78" s="8"/>
      <c r="K78" s="8"/>
      <c r="L78" s="8"/>
      <c r="M78" s="9"/>
      <c r="N78" s="8"/>
      <c r="O78" s="10"/>
      <c r="P78" s="10"/>
    </row>
    <row r="79" spans="1:16" ht="30" hidden="1" customHeight="1" x14ac:dyDescent="0.2">
      <c r="A79" s="7" t="s">
        <v>62</v>
      </c>
      <c r="B79" s="7" t="s">
        <v>64</v>
      </c>
      <c r="C79" s="7" t="s">
        <v>68</v>
      </c>
      <c r="D79" s="7" t="s">
        <v>220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ht="30" hidden="1" customHeight="1" x14ac:dyDescent="0.2">
      <c r="A80" s="7" t="s">
        <v>62</v>
      </c>
      <c r="B80" s="7" t="s">
        <v>64</v>
      </c>
      <c r="C80" s="7" t="s">
        <v>68</v>
      </c>
      <c r="D80" s="7" t="s">
        <v>221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ht="30" hidden="1" customHeight="1" x14ac:dyDescent="0.2">
      <c r="A81" s="7" t="s">
        <v>62</v>
      </c>
      <c r="B81" s="7" t="s">
        <v>64</v>
      </c>
      <c r="C81" s="7" t="s">
        <v>68</v>
      </c>
      <c r="D81" s="7" t="s">
        <v>222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ht="30" hidden="1" customHeight="1" x14ac:dyDescent="0.2">
      <c r="A82" s="7" t="s">
        <v>62</v>
      </c>
      <c r="B82" s="7" t="s">
        <v>64</v>
      </c>
      <c r="C82" s="7" t="s">
        <v>69</v>
      </c>
      <c r="D82" s="7" t="s">
        <v>219</v>
      </c>
      <c r="E82" s="7"/>
      <c r="F82" s="8"/>
      <c r="G82" s="7"/>
      <c r="H82" s="7"/>
      <c r="I82" s="8"/>
      <c r="J82" s="8"/>
      <c r="K82" s="8"/>
      <c r="L82" s="8"/>
      <c r="M82" s="9"/>
      <c r="N82" s="8"/>
      <c r="O82" s="10"/>
      <c r="P82" s="10"/>
    </row>
    <row r="83" spans="1:16" ht="30" hidden="1" customHeight="1" x14ac:dyDescent="0.2">
      <c r="A83" s="7" t="s">
        <v>62</v>
      </c>
      <c r="B83" s="7" t="s">
        <v>64</v>
      </c>
      <c r="C83" s="7" t="s">
        <v>69</v>
      </c>
      <c r="D83" s="7" t="s">
        <v>220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30" hidden="1" customHeight="1" x14ac:dyDescent="0.2">
      <c r="A84" s="7" t="s">
        <v>62</v>
      </c>
      <c r="B84" s="7" t="s">
        <v>64</v>
      </c>
      <c r="C84" s="7" t="s">
        <v>69</v>
      </c>
      <c r="D84" s="7" t="s">
        <v>221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ht="30" hidden="1" customHeight="1" x14ac:dyDescent="0.2">
      <c r="A85" s="7" t="s">
        <v>62</v>
      </c>
      <c r="B85" s="7" t="s">
        <v>64</v>
      </c>
      <c r="C85" s="7" t="s">
        <v>69</v>
      </c>
      <c r="D85" s="7" t="s">
        <v>222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ht="30" hidden="1" customHeight="1" x14ac:dyDescent="0.2">
      <c r="A86" s="7" t="s">
        <v>62</v>
      </c>
      <c r="B86" s="7" t="s">
        <v>64</v>
      </c>
      <c r="C86" s="7" t="s">
        <v>70</v>
      </c>
      <c r="D86" s="7" t="s">
        <v>219</v>
      </c>
      <c r="E86" s="7"/>
      <c r="F86" s="8"/>
      <c r="G86" s="7"/>
      <c r="H86" s="7"/>
      <c r="I86" s="8"/>
      <c r="J86" s="8"/>
      <c r="K86" s="8"/>
      <c r="L86" s="8"/>
      <c r="M86" s="9"/>
      <c r="N86" s="8"/>
      <c r="O86" s="10"/>
      <c r="P86" s="11"/>
    </row>
    <row r="87" spans="1:16" ht="30" hidden="1" customHeight="1" x14ac:dyDescent="0.2">
      <c r="A87" s="7" t="s">
        <v>62</v>
      </c>
      <c r="B87" s="7" t="s">
        <v>64</v>
      </c>
      <c r="C87" s="7" t="s">
        <v>70</v>
      </c>
      <c r="D87" s="7" t="s">
        <v>220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ht="30" hidden="1" customHeight="1" x14ac:dyDescent="0.2">
      <c r="A88" s="7" t="s">
        <v>62</v>
      </c>
      <c r="B88" s="7" t="s">
        <v>64</v>
      </c>
      <c r="C88" s="7" t="s">
        <v>70</v>
      </c>
      <c r="D88" s="7" t="s">
        <v>221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ht="30" hidden="1" customHeight="1" x14ac:dyDescent="0.2">
      <c r="A89" s="7" t="s">
        <v>62</v>
      </c>
      <c r="B89" s="7" t="s">
        <v>64</v>
      </c>
      <c r="C89" s="7" t="s">
        <v>70</v>
      </c>
      <c r="D89" s="7" t="s">
        <v>222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ht="30" hidden="1" customHeight="1" x14ac:dyDescent="0.2">
      <c r="A90" s="7" t="s">
        <v>62</v>
      </c>
      <c r="B90" s="7" t="s">
        <v>173</v>
      </c>
      <c r="C90" s="7" t="s">
        <v>174</v>
      </c>
      <c r="D90" s="7" t="s">
        <v>219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ht="30" hidden="1" customHeight="1" x14ac:dyDescent="0.2">
      <c r="A91" s="7" t="s">
        <v>62</v>
      </c>
      <c r="B91" s="7" t="s">
        <v>173</v>
      </c>
      <c r="C91" s="7" t="s">
        <v>174</v>
      </c>
      <c r="D91" s="7" t="s">
        <v>220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ht="30" hidden="1" customHeight="1" x14ac:dyDescent="0.2">
      <c r="A92" s="7" t="s">
        <v>62</v>
      </c>
      <c r="B92" s="7" t="s">
        <v>173</v>
      </c>
      <c r="C92" s="7" t="s">
        <v>174</v>
      </c>
      <c r="D92" s="7" t="s">
        <v>221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ht="30" hidden="1" customHeight="1" x14ac:dyDescent="0.2">
      <c r="A93" s="7" t="s">
        <v>62</v>
      </c>
      <c r="B93" s="7" t="s">
        <v>173</v>
      </c>
      <c r="C93" s="7" t="s">
        <v>174</v>
      </c>
      <c r="D93" s="7" t="s">
        <v>222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ht="30" hidden="1" customHeight="1" x14ac:dyDescent="0.2">
      <c r="A94" s="7" t="s">
        <v>62</v>
      </c>
      <c r="B94" s="7" t="s">
        <v>173</v>
      </c>
      <c r="C94" s="7" t="s">
        <v>183</v>
      </c>
      <c r="D94" s="7" t="s">
        <v>219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ht="30" hidden="1" customHeight="1" x14ac:dyDescent="0.2">
      <c r="A95" s="7" t="s">
        <v>62</v>
      </c>
      <c r="B95" s="7" t="s">
        <v>173</v>
      </c>
      <c r="C95" s="7" t="s">
        <v>183</v>
      </c>
      <c r="D95" s="7" t="s">
        <v>220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ht="30" hidden="1" customHeight="1" x14ac:dyDescent="0.2">
      <c r="A96" s="7" t="s">
        <v>62</v>
      </c>
      <c r="B96" s="7" t="s">
        <v>173</v>
      </c>
      <c r="C96" s="7" t="s">
        <v>183</v>
      </c>
      <c r="D96" s="7" t="s">
        <v>221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ht="30" hidden="1" customHeight="1" x14ac:dyDescent="0.2">
      <c r="A97" s="7" t="s">
        <v>62</v>
      </c>
      <c r="B97" s="7" t="s">
        <v>173</v>
      </c>
      <c r="C97" s="7" t="s">
        <v>183</v>
      </c>
      <c r="D97" s="7" t="s">
        <v>222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ht="30" hidden="1" customHeight="1" x14ac:dyDescent="0.2">
      <c r="A98" s="7" t="s">
        <v>62</v>
      </c>
      <c r="B98" s="7" t="s">
        <v>173</v>
      </c>
      <c r="C98" s="7" t="s">
        <v>184</v>
      </c>
      <c r="D98" s="7" t="s">
        <v>219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ht="30" hidden="1" customHeight="1" x14ac:dyDescent="0.2">
      <c r="A99" s="7" t="s">
        <v>62</v>
      </c>
      <c r="B99" s="7" t="s">
        <v>173</v>
      </c>
      <c r="C99" s="7" t="s">
        <v>184</v>
      </c>
      <c r="D99" s="7" t="s">
        <v>220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ht="30" hidden="1" customHeight="1" x14ac:dyDescent="0.2">
      <c r="A100" s="7" t="s">
        <v>62</v>
      </c>
      <c r="B100" s="7" t="s">
        <v>173</v>
      </c>
      <c r="C100" s="7" t="s">
        <v>184</v>
      </c>
      <c r="D100" s="7" t="s">
        <v>221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30" hidden="1" customHeight="1" x14ac:dyDescent="0.2">
      <c r="A101" s="7" t="s">
        <v>62</v>
      </c>
      <c r="B101" s="7" t="s">
        <v>173</v>
      </c>
      <c r="C101" s="7" t="s">
        <v>184</v>
      </c>
      <c r="D101" s="7" t="s">
        <v>222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ht="30" hidden="1" customHeight="1" x14ac:dyDescent="0.2">
      <c r="A102" s="7" t="s">
        <v>62</v>
      </c>
      <c r="B102" s="7" t="s">
        <v>173</v>
      </c>
      <c r="C102" s="7" t="s">
        <v>185</v>
      </c>
      <c r="D102" s="7" t="s">
        <v>219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ht="30" hidden="1" customHeight="1" x14ac:dyDescent="0.2">
      <c r="A103" s="7" t="s">
        <v>62</v>
      </c>
      <c r="B103" s="7" t="s">
        <v>173</v>
      </c>
      <c r="C103" s="7" t="s">
        <v>185</v>
      </c>
      <c r="D103" s="7" t="s">
        <v>220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ht="30" hidden="1" customHeight="1" x14ac:dyDescent="0.2">
      <c r="A104" s="7" t="s">
        <v>62</v>
      </c>
      <c r="B104" s="7" t="s">
        <v>173</v>
      </c>
      <c r="C104" s="7" t="s">
        <v>185</v>
      </c>
      <c r="D104" s="7" t="s">
        <v>221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ht="30" hidden="1" customHeight="1" x14ac:dyDescent="0.2">
      <c r="A105" s="7" t="s">
        <v>62</v>
      </c>
      <c r="B105" s="7" t="s">
        <v>173</v>
      </c>
      <c r="C105" s="7" t="s">
        <v>185</v>
      </c>
      <c r="D105" s="7" t="s">
        <v>222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ht="30" hidden="1" customHeight="1" x14ac:dyDescent="0.2">
      <c r="A106" s="7" t="s">
        <v>62</v>
      </c>
      <c r="B106" s="7" t="s">
        <v>173</v>
      </c>
      <c r="C106" s="7" t="s">
        <v>186</v>
      </c>
      <c r="D106" s="7" t="s">
        <v>219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ht="30" hidden="1" customHeight="1" x14ac:dyDescent="0.2">
      <c r="A107" s="7" t="s">
        <v>62</v>
      </c>
      <c r="B107" s="7" t="s">
        <v>173</v>
      </c>
      <c r="C107" s="7" t="s">
        <v>186</v>
      </c>
      <c r="D107" s="7" t="s">
        <v>220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ht="30" hidden="1" customHeight="1" x14ac:dyDescent="0.2">
      <c r="A108" s="7" t="s">
        <v>62</v>
      </c>
      <c r="B108" s="7" t="s">
        <v>173</v>
      </c>
      <c r="C108" s="7" t="s">
        <v>186</v>
      </c>
      <c r="D108" s="7" t="s">
        <v>221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ht="30" hidden="1" customHeight="1" x14ac:dyDescent="0.2">
      <c r="A109" s="7" t="s">
        <v>62</v>
      </c>
      <c r="B109" s="7" t="s">
        <v>173</v>
      </c>
      <c r="C109" s="7" t="s">
        <v>186</v>
      </c>
      <c r="D109" s="7" t="s">
        <v>222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ht="30" hidden="1" customHeight="1" x14ac:dyDescent="0.2">
      <c r="A110" s="7" t="s">
        <v>62</v>
      </c>
      <c r="B110" s="7" t="s">
        <v>173</v>
      </c>
      <c r="C110" s="7" t="s">
        <v>187</v>
      </c>
      <c r="D110" s="7" t="s">
        <v>219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ht="30" hidden="1" customHeight="1" x14ac:dyDescent="0.2">
      <c r="A111" s="7" t="s">
        <v>62</v>
      </c>
      <c r="B111" s="7" t="s">
        <v>173</v>
      </c>
      <c r="C111" s="7" t="s">
        <v>187</v>
      </c>
      <c r="D111" s="7" t="s">
        <v>220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ht="30" hidden="1" customHeight="1" x14ac:dyDescent="0.2">
      <c r="A112" s="7" t="s">
        <v>62</v>
      </c>
      <c r="B112" s="7" t="s">
        <v>173</v>
      </c>
      <c r="C112" s="7" t="s">
        <v>187</v>
      </c>
      <c r="D112" s="7" t="s">
        <v>221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ht="30" hidden="1" customHeight="1" x14ac:dyDescent="0.2">
      <c r="A113" s="7" t="s">
        <v>62</v>
      </c>
      <c r="B113" s="7" t="s">
        <v>173</v>
      </c>
      <c r="C113" s="7" t="s">
        <v>187</v>
      </c>
      <c r="D113" s="7" t="s">
        <v>222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ht="30" hidden="1" customHeight="1" x14ac:dyDescent="0.2">
      <c r="A114" s="7" t="s">
        <v>62</v>
      </c>
      <c r="B114" s="7" t="s">
        <v>173</v>
      </c>
      <c r="C114" s="7" t="s">
        <v>188</v>
      </c>
      <c r="D114" s="7" t="s">
        <v>219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ht="30" hidden="1" customHeight="1" x14ac:dyDescent="0.2">
      <c r="A115" s="7" t="s">
        <v>62</v>
      </c>
      <c r="B115" s="7" t="s">
        <v>173</v>
      </c>
      <c r="C115" s="7" t="s">
        <v>188</v>
      </c>
      <c r="D115" s="7" t="s">
        <v>220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ht="30" hidden="1" customHeight="1" x14ac:dyDescent="0.2">
      <c r="A116" s="7" t="s">
        <v>62</v>
      </c>
      <c r="B116" s="7" t="s">
        <v>173</v>
      </c>
      <c r="C116" s="7" t="s">
        <v>188</v>
      </c>
      <c r="D116" s="7" t="s">
        <v>221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ht="30" hidden="1" customHeight="1" x14ac:dyDescent="0.2">
      <c r="A117" s="7" t="s">
        <v>62</v>
      </c>
      <c r="B117" s="7" t="s">
        <v>173</v>
      </c>
      <c r="C117" s="7" t="s">
        <v>188</v>
      </c>
      <c r="D117" s="7" t="s">
        <v>222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ht="30" hidden="1" customHeight="1" x14ac:dyDescent="0.2">
      <c r="A118" s="7" t="s">
        <v>62</v>
      </c>
      <c r="B118" s="7" t="s">
        <v>173</v>
      </c>
      <c r="C118" s="7" t="s">
        <v>175</v>
      </c>
      <c r="D118" s="7" t="s">
        <v>219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ht="30" hidden="1" customHeight="1" x14ac:dyDescent="0.2">
      <c r="A119" s="7" t="s">
        <v>62</v>
      </c>
      <c r="B119" s="7" t="s">
        <v>173</v>
      </c>
      <c r="C119" s="7" t="s">
        <v>175</v>
      </c>
      <c r="D119" s="7" t="s">
        <v>220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ht="30" hidden="1" customHeight="1" x14ac:dyDescent="0.2">
      <c r="A120" s="7" t="s">
        <v>62</v>
      </c>
      <c r="B120" s="7" t="s">
        <v>173</v>
      </c>
      <c r="C120" s="7" t="s">
        <v>175</v>
      </c>
      <c r="D120" s="7" t="s">
        <v>221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ht="30" hidden="1" customHeight="1" x14ac:dyDescent="0.2">
      <c r="A121" s="7" t="s">
        <v>62</v>
      </c>
      <c r="B121" s="7" t="s">
        <v>173</v>
      </c>
      <c r="C121" s="7" t="s">
        <v>175</v>
      </c>
      <c r="D121" s="7" t="s">
        <v>222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30" hidden="1" customHeight="1" x14ac:dyDescent="0.2">
      <c r="A122" s="7" t="s">
        <v>62</v>
      </c>
      <c r="B122" s="7" t="s">
        <v>173</v>
      </c>
      <c r="C122" s="7" t="s">
        <v>176</v>
      </c>
      <c r="D122" s="7" t="s">
        <v>219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ht="30" hidden="1" customHeight="1" x14ac:dyDescent="0.2">
      <c r="A123" s="7" t="s">
        <v>62</v>
      </c>
      <c r="B123" s="7" t="s">
        <v>173</v>
      </c>
      <c r="C123" s="7" t="s">
        <v>176</v>
      </c>
      <c r="D123" s="7" t="s">
        <v>220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ht="30" hidden="1" customHeight="1" x14ac:dyDescent="0.2">
      <c r="A124" s="7" t="s">
        <v>62</v>
      </c>
      <c r="B124" s="7" t="s">
        <v>173</v>
      </c>
      <c r="C124" s="7" t="s">
        <v>176</v>
      </c>
      <c r="D124" s="7" t="s">
        <v>221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ht="30" hidden="1" customHeight="1" x14ac:dyDescent="0.2">
      <c r="A125" s="7" t="s">
        <v>62</v>
      </c>
      <c r="B125" s="7" t="s">
        <v>173</v>
      </c>
      <c r="C125" s="7" t="s">
        <v>176</v>
      </c>
      <c r="D125" s="7" t="s">
        <v>222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ht="30" hidden="1" customHeight="1" x14ac:dyDescent="0.2">
      <c r="A126" s="7" t="s">
        <v>62</v>
      </c>
      <c r="B126" s="7" t="s">
        <v>173</v>
      </c>
      <c r="C126" s="7" t="s">
        <v>177</v>
      </c>
      <c r="D126" s="7" t="s">
        <v>219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ht="30" hidden="1" customHeight="1" x14ac:dyDescent="0.2">
      <c r="A127" s="7" t="s">
        <v>62</v>
      </c>
      <c r="B127" s="7" t="s">
        <v>173</v>
      </c>
      <c r="C127" s="7" t="s">
        <v>177</v>
      </c>
      <c r="D127" s="7" t="s">
        <v>220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ht="30" hidden="1" customHeight="1" x14ac:dyDescent="0.2">
      <c r="A128" s="7" t="s">
        <v>62</v>
      </c>
      <c r="B128" s="7" t="s">
        <v>173</v>
      </c>
      <c r="C128" s="7" t="s">
        <v>177</v>
      </c>
      <c r="D128" s="7" t="s">
        <v>221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ht="30" hidden="1" customHeight="1" x14ac:dyDescent="0.2">
      <c r="A129" s="7" t="s">
        <v>62</v>
      </c>
      <c r="B129" s="7" t="s">
        <v>173</v>
      </c>
      <c r="C129" s="7" t="s">
        <v>177</v>
      </c>
      <c r="D129" s="7" t="s">
        <v>222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ht="30" hidden="1" customHeight="1" x14ac:dyDescent="0.2">
      <c r="A130" s="7" t="s">
        <v>62</v>
      </c>
      <c r="B130" s="7" t="s">
        <v>173</v>
      </c>
      <c r="C130" s="7" t="s">
        <v>178</v>
      </c>
      <c r="D130" s="7" t="s">
        <v>219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ht="30" hidden="1" customHeight="1" x14ac:dyDescent="0.2">
      <c r="A131" s="7" t="s">
        <v>62</v>
      </c>
      <c r="B131" s="7" t="s">
        <v>173</v>
      </c>
      <c r="C131" s="7" t="s">
        <v>178</v>
      </c>
      <c r="D131" s="7" t="s">
        <v>220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ht="30" hidden="1" customHeight="1" x14ac:dyDescent="0.2">
      <c r="A132" s="7" t="s">
        <v>62</v>
      </c>
      <c r="B132" s="7" t="s">
        <v>173</v>
      </c>
      <c r="C132" s="7" t="s">
        <v>178</v>
      </c>
      <c r="D132" s="7" t="s">
        <v>221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ht="30" hidden="1" customHeight="1" x14ac:dyDescent="0.2">
      <c r="A133" s="7" t="s">
        <v>62</v>
      </c>
      <c r="B133" s="7" t="s">
        <v>173</v>
      </c>
      <c r="C133" s="7" t="s">
        <v>178</v>
      </c>
      <c r="D133" s="7" t="s">
        <v>222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ht="30" hidden="1" customHeight="1" x14ac:dyDescent="0.2">
      <c r="A134" s="7" t="s">
        <v>62</v>
      </c>
      <c r="B134" s="7" t="s">
        <v>173</v>
      </c>
      <c r="C134" s="7" t="s">
        <v>179</v>
      </c>
      <c r="D134" s="7" t="s">
        <v>219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ht="30" hidden="1" customHeight="1" x14ac:dyDescent="0.2">
      <c r="A135" s="7" t="s">
        <v>62</v>
      </c>
      <c r="B135" s="7" t="s">
        <v>173</v>
      </c>
      <c r="C135" s="7" t="s">
        <v>179</v>
      </c>
      <c r="D135" s="7" t="s">
        <v>220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ht="30" hidden="1" customHeight="1" x14ac:dyDescent="0.2">
      <c r="A136" s="7" t="s">
        <v>62</v>
      </c>
      <c r="B136" s="7" t="s">
        <v>173</v>
      </c>
      <c r="C136" s="7" t="s">
        <v>179</v>
      </c>
      <c r="D136" s="7" t="s">
        <v>221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ht="30" hidden="1" customHeight="1" x14ac:dyDescent="0.2">
      <c r="A137" s="7" t="s">
        <v>62</v>
      </c>
      <c r="B137" s="7" t="s">
        <v>173</v>
      </c>
      <c r="C137" s="7" t="s">
        <v>179</v>
      </c>
      <c r="D137" s="7" t="s">
        <v>222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ht="30" hidden="1" customHeight="1" x14ac:dyDescent="0.2">
      <c r="A138" s="7" t="s">
        <v>62</v>
      </c>
      <c r="B138" s="7" t="s">
        <v>173</v>
      </c>
      <c r="C138" s="7" t="s">
        <v>180</v>
      </c>
      <c r="D138" s="7" t="s">
        <v>219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ht="30" hidden="1" customHeight="1" x14ac:dyDescent="0.2">
      <c r="A139" s="7" t="s">
        <v>62</v>
      </c>
      <c r="B139" s="7" t="s">
        <v>173</v>
      </c>
      <c r="C139" s="7" t="s">
        <v>180</v>
      </c>
      <c r="D139" s="7" t="s">
        <v>220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ht="30" hidden="1" customHeight="1" x14ac:dyDescent="0.2">
      <c r="A140" s="7" t="s">
        <v>62</v>
      </c>
      <c r="B140" s="7" t="s">
        <v>173</v>
      </c>
      <c r="C140" s="7" t="s">
        <v>180</v>
      </c>
      <c r="D140" s="7" t="s">
        <v>221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ht="30" hidden="1" customHeight="1" x14ac:dyDescent="0.2">
      <c r="A141" s="7" t="s">
        <v>62</v>
      </c>
      <c r="B141" s="7" t="s">
        <v>173</v>
      </c>
      <c r="C141" s="7" t="s">
        <v>180</v>
      </c>
      <c r="D141" s="7" t="s">
        <v>222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ht="30" hidden="1" customHeight="1" x14ac:dyDescent="0.2">
      <c r="A142" s="7" t="s">
        <v>62</v>
      </c>
      <c r="B142" s="7" t="s">
        <v>173</v>
      </c>
      <c r="C142" s="7" t="s">
        <v>181</v>
      </c>
      <c r="D142" s="7" t="s">
        <v>219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ht="30" hidden="1" customHeight="1" x14ac:dyDescent="0.2">
      <c r="A143" s="7" t="s">
        <v>62</v>
      </c>
      <c r="B143" s="7" t="s">
        <v>173</v>
      </c>
      <c r="C143" s="7" t="s">
        <v>181</v>
      </c>
      <c r="D143" s="7" t="s">
        <v>220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ht="30" hidden="1" customHeight="1" x14ac:dyDescent="0.2">
      <c r="A144" s="7" t="s">
        <v>62</v>
      </c>
      <c r="B144" s="7" t="s">
        <v>173</v>
      </c>
      <c r="C144" s="7" t="s">
        <v>181</v>
      </c>
      <c r="D144" s="7" t="s">
        <v>221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ht="30" hidden="1" customHeight="1" x14ac:dyDescent="0.2">
      <c r="A145" s="7" t="s">
        <v>62</v>
      </c>
      <c r="B145" s="7" t="s">
        <v>173</v>
      </c>
      <c r="C145" s="7" t="s">
        <v>181</v>
      </c>
      <c r="D145" s="7" t="s">
        <v>222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ht="30" hidden="1" customHeight="1" x14ac:dyDescent="0.2">
      <c r="A146" s="7" t="s">
        <v>62</v>
      </c>
      <c r="B146" s="7" t="s">
        <v>173</v>
      </c>
      <c r="C146" s="7" t="s">
        <v>182</v>
      </c>
      <c r="D146" s="7" t="s">
        <v>219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ht="30" hidden="1" customHeight="1" x14ac:dyDescent="0.2">
      <c r="A147" s="7" t="s">
        <v>62</v>
      </c>
      <c r="B147" s="7" t="s">
        <v>173</v>
      </c>
      <c r="C147" s="7" t="s">
        <v>182</v>
      </c>
      <c r="D147" s="7" t="s">
        <v>220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ht="30" hidden="1" customHeight="1" x14ac:dyDescent="0.2">
      <c r="A148" s="7" t="s">
        <v>62</v>
      </c>
      <c r="B148" s="7" t="s">
        <v>173</v>
      </c>
      <c r="C148" s="7" t="s">
        <v>182</v>
      </c>
      <c r="D148" s="7" t="s">
        <v>221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ht="30" hidden="1" customHeight="1" x14ac:dyDescent="0.2">
      <c r="A149" s="7" t="s">
        <v>62</v>
      </c>
      <c r="B149" s="7" t="s">
        <v>173</v>
      </c>
      <c r="C149" s="7" t="s">
        <v>182</v>
      </c>
      <c r="D149" s="7" t="s">
        <v>222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ht="30" hidden="1" customHeight="1" x14ac:dyDescent="0.2">
      <c r="A150" s="7" t="s">
        <v>62</v>
      </c>
      <c r="B150" s="7" t="s">
        <v>136</v>
      </c>
      <c r="C150" s="7" t="s">
        <v>129</v>
      </c>
      <c r="D150" s="7" t="s">
        <v>219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ht="30" hidden="1" customHeight="1" x14ac:dyDescent="0.2">
      <c r="A151" s="7" t="s">
        <v>62</v>
      </c>
      <c r="B151" s="7" t="s">
        <v>136</v>
      </c>
      <c r="C151" s="7" t="s">
        <v>129</v>
      </c>
      <c r="D151" s="7" t="s">
        <v>220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ht="30" hidden="1" customHeight="1" x14ac:dyDescent="0.2">
      <c r="A152" s="7" t="s">
        <v>62</v>
      </c>
      <c r="B152" s="7" t="s">
        <v>136</v>
      </c>
      <c r="C152" s="7" t="s">
        <v>129</v>
      </c>
      <c r="D152" s="7" t="s">
        <v>221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ht="30" hidden="1" customHeight="1" x14ac:dyDescent="0.2">
      <c r="A153" s="7" t="s">
        <v>62</v>
      </c>
      <c r="B153" s="7" t="s">
        <v>136</v>
      </c>
      <c r="C153" s="7" t="s">
        <v>129</v>
      </c>
      <c r="D153" s="7" t="s">
        <v>222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ht="30" hidden="1" customHeight="1" x14ac:dyDescent="0.2">
      <c r="A154" s="7" t="s">
        <v>62</v>
      </c>
      <c r="B154" s="7" t="s">
        <v>136</v>
      </c>
      <c r="C154" s="7" t="s">
        <v>135</v>
      </c>
      <c r="D154" s="7" t="s">
        <v>219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1:16" ht="30" hidden="1" customHeight="1" x14ac:dyDescent="0.2">
      <c r="A155" s="7" t="s">
        <v>62</v>
      </c>
      <c r="B155" s="7" t="s">
        <v>136</v>
      </c>
      <c r="C155" s="7" t="s">
        <v>135</v>
      </c>
      <c r="D155" s="7" t="s">
        <v>220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ht="30" hidden="1" customHeight="1" x14ac:dyDescent="0.2">
      <c r="A156" s="7" t="s">
        <v>62</v>
      </c>
      <c r="B156" s="7" t="s">
        <v>136</v>
      </c>
      <c r="C156" s="7" t="s">
        <v>135</v>
      </c>
      <c r="D156" s="7" t="s">
        <v>221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1:16" ht="30" hidden="1" customHeight="1" x14ac:dyDescent="0.2">
      <c r="A157" s="7" t="s">
        <v>62</v>
      </c>
      <c r="B157" s="7" t="s">
        <v>136</v>
      </c>
      <c r="C157" s="7" t="s">
        <v>135</v>
      </c>
      <c r="D157" s="7" t="s">
        <v>222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 ht="30" hidden="1" customHeight="1" x14ac:dyDescent="0.2">
      <c r="A158" s="7" t="s">
        <v>62</v>
      </c>
      <c r="B158" s="7" t="s">
        <v>136</v>
      </c>
      <c r="C158" s="7" t="s">
        <v>130</v>
      </c>
      <c r="D158" s="7" t="s">
        <v>219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1:16" ht="30" hidden="1" customHeight="1" x14ac:dyDescent="0.2">
      <c r="A159" s="7" t="s">
        <v>62</v>
      </c>
      <c r="B159" s="7" t="s">
        <v>136</v>
      </c>
      <c r="C159" s="7" t="s">
        <v>130</v>
      </c>
      <c r="D159" s="7" t="s">
        <v>220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1:16" ht="30" hidden="1" customHeight="1" x14ac:dyDescent="0.2">
      <c r="A160" s="7" t="s">
        <v>62</v>
      </c>
      <c r="B160" s="7" t="s">
        <v>136</v>
      </c>
      <c r="C160" s="7" t="s">
        <v>130</v>
      </c>
      <c r="D160" s="7" t="s">
        <v>221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 ht="30" hidden="1" customHeight="1" x14ac:dyDescent="0.2">
      <c r="A161" s="7" t="s">
        <v>62</v>
      </c>
      <c r="B161" s="7" t="s">
        <v>136</v>
      </c>
      <c r="C161" s="7" t="s">
        <v>130</v>
      </c>
      <c r="D161" s="7" t="s">
        <v>222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1:16" ht="30" hidden="1" customHeight="1" x14ac:dyDescent="0.2">
      <c r="A162" s="7" t="s">
        <v>62</v>
      </c>
      <c r="B162" s="7" t="s">
        <v>136</v>
      </c>
      <c r="C162" s="7" t="s">
        <v>131</v>
      </c>
      <c r="D162" s="7" t="s">
        <v>219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1:16" ht="30" hidden="1" customHeight="1" x14ac:dyDescent="0.2">
      <c r="A163" s="7" t="s">
        <v>62</v>
      </c>
      <c r="B163" s="7" t="s">
        <v>136</v>
      </c>
      <c r="C163" s="7" t="s">
        <v>131</v>
      </c>
      <c r="D163" s="7" t="s">
        <v>220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 ht="30" hidden="1" customHeight="1" x14ac:dyDescent="0.2">
      <c r="A164" s="7" t="s">
        <v>62</v>
      </c>
      <c r="B164" s="7" t="s">
        <v>136</v>
      </c>
      <c r="C164" s="7" t="s">
        <v>131</v>
      </c>
      <c r="D164" s="7" t="s">
        <v>221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6" ht="30" hidden="1" customHeight="1" x14ac:dyDescent="0.2">
      <c r="A165" s="7" t="s">
        <v>62</v>
      </c>
      <c r="B165" s="7" t="s">
        <v>136</v>
      </c>
      <c r="C165" s="7" t="s">
        <v>131</v>
      </c>
      <c r="D165" s="7" t="s">
        <v>222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1:16" ht="30" hidden="1" customHeight="1" x14ac:dyDescent="0.2">
      <c r="A166" s="7" t="s">
        <v>62</v>
      </c>
      <c r="B166" s="7" t="s">
        <v>136</v>
      </c>
      <c r="C166" s="7" t="s">
        <v>132</v>
      </c>
      <c r="D166" s="7" t="s">
        <v>219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ht="30" hidden="1" customHeight="1" x14ac:dyDescent="0.2">
      <c r="A167" s="7" t="s">
        <v>62</v>
      </c>
      <c r="B167" s="7" t="s">
        <v>136</v>
      </c>
      <c r="C167" s="7" t="s">
        <v>132</v>
      </c>
      <c r="D167" s="7" t="s">
        <v>220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1:16" ht="30" hidden="1" customHeight="1" x14ac:dyDescent="0.2">
      <c r="A168" s="7" t="s">
        <v>62</v>
      </c>
      <c r="B168" s="7" t="s">
        <v>136</v>
      </c>
      <c r="C168" s="7" t="s">
        <v>132</v>
      </c>
      <c r="D168" s="7" t="s">
        <v>221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1:16" ht="30" hidden="1" customHeight="1" x14ac:dyDescent="0.2">
      <c r="A169" s="7" t="s">
        <v>62</v>
      </c>
      <c r="B169" s="7" t="s">
        <v>136</v>
      </c>
      <c r="C169" s="7" t="s">
        <v>132</v>
      </c>
      <c r="D169" s="7" t="s">
        <v>222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ht="30" hidden="1" customHeight="1" x14ac:dyDescent="0.2">
      <c r="A170" s="7" t="s">
        <v>62</v>
      </c>
      <c r="B170" s="7" t="s">
        <v>136</v>
      </c>
      <c r="C170" s="7" t="s">
        <v>133</v>
      </c>
      <c r="D170" s="7" t="s">
        <v>219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ht="30" hidden="1" customHeight="1" x14ac:dyDescent="0.2">
      <c r="A171" s="7" t="s">
        <v>62</v>
      </c>
      <c r="B171" s="7" t="s">
        <v>136</v>
      </c>
      <c r="C171" s="7" t="s">
        <v>133</v>
      </c>
      <c r="D171" s="7" t="s">
        <v>220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1:16" ht="30" hidden="1" customHeight="1" x14ac:dyDescent="0.2">
      <c r="A172" s="7" t="s">
        <v>62</v>
      </c>
      <c r="B172" s="7" t="s">
        <v>136</v>
      </c>
      <c r="C172" s="7" t="s">
        <v>133</v>
      </c>
      <c r="D172" s="7" t="s">
        <v>221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1:16" ht="30" hidden="1" customHeight="1" x14ac:dyDescent="0.2">
      <c r="A173" s="7" t="s">
        <v>62</v>
      </c>
      <c r="B173" s="7" t="s">
        <v>136</v>
      </c>
      <c r="C173" s="7" t="s">
        <v>133</v>
      </c>
      <c r="D173" s="7" t="s">
        <v>222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 ht="30" hidden="1" customHeight="1" x14ac:dyDescent="0.2">
      <c r="A174" s="7" t="s">
        <v>62</v>
      </c>
      <c r="B174" s="7" t="s">
        <v>151</v>
      </c>
      <c r="C174" s="7" t="s">
        <v>152</v>
      </c>
      <c r="D174" s="7" t="s">
        <v>219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1:16" ht="30" hidden="1" customHeight="1" x14ac:dyDescent="0.2">
      <c r="A175" s="7" t="s">
        <v>62</v>
      </c>
      <c r="B175" s="7" t="s">
        <v>151</v>
      </c>
      <c r="C175" s="7" t="s">
        <v>152</v>
      </c>
      <c r="D175" s="7" t="s">
        <v>220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ht="30" hidden="1" customHeight="1" x14ac:dyDescent="0.2">
      <c r="A176" s="7" t="s">
        <v>62</v>
      </c>
      <c r="B176" s="7" t="s">
        <v>151</v>
      </c>
      <c r="C176" s="7" t="s">
        <v>152</v>
      </c>
      <c r="D176" s="7" t="s">
        <v>221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 ht="30" hidden="1" customHeight="1" x14ac:dyDescent="0.2">
      <c r="A177" s="7" t="s">
        <v>62</v>
      </c>
      <c r="B177" s="7" t="s">
        <v>151</v>
      </c>
      <c r="C177" s="7" t="s">
        <v>152</v>
      </c>
      <c r="D177" s="7" t="s">
        <v>222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1:16" ht="30" hidden="1" customHeight="1" x14ac:dyDescent="0.2">
      <c r="A178" s="7" t="s">
        <v>62</v>
      </c>
      <c r="B178" s="7" t="s">
        <v>151</v>
      </c>
      <c r="C178" s="7" t="s">
        <v>153</v>
      </c>
      <c r="D178" s="7" t="s">
        <v>219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 ht="30" hidden="1" customHeight="1" x14ac:dyDescent="0.2">
      <c r="A179" s="7" t="s">
        <v>62</v>
      </c>
      <c r="B179" s="7" t="s">
        <v>151</v>
      </c>
      <c r="C179" s="7" t="s">
        <v>153</v>
      </c>
      <c r="D179" s="7" t="s">
        <v>220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1:16" ht="30" hidden="1" customHeight="1" x14ac:dyDescent="0.2">
      <c r="A180" s="7" t="s">
        <v>62</v>
      </c>
      <c r="B180" s="7" t="s">
        <v>151</v>
      </c>
      <c r="C180" s="7" t="s">
        <v>153</v>
      </c>
      <c r="D180" s="7" t="s">
        <v>221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 ht="30" hidden="1" customHeight="1" x14ac:dyDescent="0.2">
      <c r="A181" s="7" t="s">
        <v>62</v>
      </c>
      <c r="B181" s="7" t="s">
        <v>151</v>
      </c>
      <c r="C181" s="7" t="s">
        <v>153</v>
      </c>
      <c r="D181" s="7" t="s">
        <v>222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 ht="30" hidden="1" customHeight="1" x14ac:dyDescent="0.2">
      <c r="A182" s="7" t="s">
        <v>62</v>
      </c>
      <c r="B182" s="7" t="s">
        <v>151</v>
      </c>
      <c r="C182" s="7" t="s">
        <v>154</v>
      </c>
      <c r="D182" s="7" t="s">
        <v>219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 ht="30" hidden="1" customHeight="1" x14ac:dyDescent="0.2">
      <c r="A183" s="7" t="s">
        <v>62</v>
      </c>
      <c r="B183" s="7" t="s">
        <v>151</v>
      </c>
      <c r="C183" s="7" t="s">
        <v>154</v>
      </c>
      <c r="D183" s="7" t="s">
        <v>220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ht="30" hidden="1" customHeight="1" x14ac:dyDescent="0.2">
      <c r="A184" s="7" t="s">
        <v>62</v>
      </c>
      <c r="B184" s="7" t="s">
        <v>151</v>
      </c>
      <c r="C184" s="7" t="s">
        <v>154</v>
      </c>
      <c r="D184" s="7" t="s">
        <v>221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1:16" ht="30" hidden="1" customHeight="1" x14ac:dyDescent="0.2">
      <c r="A185" s="7" t="s">
        <v>62</v>
      </c>
      <c r="B185" s="7" t="s">
        <v>151</v>
      </c>
      <c r="C185" s="7" t="s">
        <v>154</v>
      </c>
      <c r="D185" s="7" t="s">
        <v>222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1:16" ht="30" hidden="1" customHeight="1" x14ac:dyDescent="0.2">
      <c r="A186" s="7" t="s">
        <v>62</v>
      </c>
      <c r="B186" s="7" t="s">
        <v>151</v>
      </c>
      <c r="C186" s="7" t="s">
        <v>155</v>
      </c>
      <c r="D186" s="7" t="s">
        <v>219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 ht="30" hidden="1" customHeight="1" x14ac:dyDescent="0.2">
      <c r="A187" s="7" t="s">
        <v>62</v>
      </c>
      <c r="B187" s="7" t="s">
        <v>151</v>
      </c>
      <c r="C187" s="7" t="s">
        <v>155</v>
      </c>
      <c r="D187" s="7" t="s">
        <v>220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ht="30" hidden="1" customHeight="1" x14ac:dyDescent="0.2">
      <c r="A188" s="7" t="s">
        <v>62</v>
      </c>
      <c r="B188" s="7" t="s">
        <v>151</v>
      </c>
      <c r="C188" s="7" t="s">
        <v>155</v>
      </c>
      <c r="D188" s="7" t="s">
        <v>221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1:16" ht="30" hidden="1" customHeight="1" x14ac:dyDescent="0.2">
      <c r="A189" s="7" t="s">
        <v>62</v>
      </c>
      <c r="B189" s="7" t="s">
        <v>151</v>
      </c>
      <c r="C189" s="7" t="s">
        <v>155</v>
      </c>
      <c r="D189" s="7" t="s">
        <v>222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 ht="30" hidden="1" customHeight="1" x14ac:dyDescent="0.2">
      <c r="A190" s="7" t="s">
        <v>62</v>
      </c>
      <c r="B190" s="7" t="s">
        <v>151</v>
      </c>
      <c r="C190" s="7" t="s">
        <v>156</v>
      </c>
      <c r="D190" s="7" t="s">
        <v>219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1:16" ht="30" hidden="1" customHeight="1" x14ac:dyDescent="0.2">
      <c r="A191" s="7" t="s">
        <v>62</v>
      </c>
      <c r="B191" s="7" t="s">
        <v>151</v>
      </c>
      <c r="C191" s="7" t="s">
        <v>156</v>
      </c>
      <c r="D191" s="7" t="s">
        <v>220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 ht="30" hidden="1" customHeight="1" x14ac:dyDescent="0.2">
      <c r="A192" s="7" t="s">
        <v>62</v>
      </c>
      <c r="B192" s="7" t="s">
        <v>151</v>
      </c>
      <c r="C192" s="7" t="s">
        <v>156</v>
      </c>
      <c r="D192" s="7" t="s">
        <v>221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1:16" ht="30" hidden="1" customHeight="1" x14ac:dyDescent="0.2">
      <c r="A193" s="7" t="s">
        <v>62</v>
      </c>
      <c r="B193" s="7" t="s">
        <v>151</v>
      </c>
      <c r="C193" s="7" t="s">
        <v>156</v>
      </c>
      <c r="D193" s="7" t="s">
        <v>222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 ht="30" hidden="1" customHeight="1" x14ac:dyDescent="0.2">
      <c r="A194" s="7" t="s">
        <v>62</v>
      </c>
      <c r="B194" s="7" t="s">
        <v>151</v>
      </c>
      <c r="C194" s="7" t="s">
        <v>157</v>
      </c>
      <c r="D194" s="7" t="s">
        <v>219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1:16" ht="30" hidden="1" customHeight="1" x14ac:dyDescent="0.2">
      <c r="A195" s="7" t="s">
        <v>62</v>
      </c>
      <c r="B195" s="7" t="s">
        <v>151</v>
      </c>
      <c r="C195" s="7" t="s">
        <v>157</v>
      </c>
      <c r="D195" s="7" t="s">
        <v>220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 ht="30" hidden="1" customHeight="1" x14ac:dyDescent="0.2">
      <c r="A196" s="7" t="s">
        <v>62</v>
      </c>
      <c r="B196" s="7" t="s">
        <v>151</v>
      </c>
      <c r="C196" s="7" t="s">
        <v>157</v>
      </c>
      <c r="D196" s="7" t="s">
        <v>221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ht="30" hidden="1" customHeight="1" x14ac:dyDescent="0.2">
      <c r="A197" s="7" t="s">
        <v>62</v>
      </c>
      <c r="B197" s="7" t="s">
        <v>151</v>
      </c>
      <c r="C197" s="7" t="s">
        <v>157</v>
      </c>
      <c r="D197" s="7" t="s">
        <v>222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pans="1:16" ht="30" hidden="1" customHeight="1" x14ac:dyDescent="0.2">
      <c r="A198" s="7" t="s">
        <v>59</v>
      </c>
      <c r="B198" s="7" t="s">
        <v>5</v>
      </c>
      <c r="C198" s="7" t="s">
        <v>6</v>
      </c>
      <c r="D198" s="7" t="s">
        <v>219</v>
      </c>
      <c r="E198" s="7"/>
      <c r="F198" s="8"/>
      <c r="G198" s="7"/>
      <c r="H198" s="7"/>
      <c r="I198" s="8"/>
      <c r="J198" s="8"/>
      <c r="K198" s="8"/>
      <c r="L198" s="8"/>
      <c r="M198" s="9"/>
      <c r="N198" s="8"/>
      <c r="O198" s="10"/>
      <c r="P198" s="10"/>
    </row>
    <row r="199" spans="1:16" ht="30" hidden="1" customHeight="1" x14ac:dyDescent="0.2">
      <c r="A199" s="7" t="s">
        <v>59</v>
      </c>
      <c r="B199" s="7" t="s">
        <v>5</v>
      </c>
      <c r="C199" s="7" t="s">
        <v>6</v>
      </c>
      <c r="D199" s="7" t="s">
        <v>220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 ht="30" hidden="1" customHeight="1" x14ac:dyDescent="0.2">
      <c r="A200" s="7" t="s">
        <v>59</v>
      </c>
      <c r="B200" s="7" t="s">
        <v>5</v>
      </c>
      <c r="C200" s="7" t="s">
        <v>6</v>
      </c>
      <c r="D200" s="7" t="s">
        <v>221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1:16" ht="30" hidden="1" customHeight="1" x14ac:dyDescent="0.2">
      <c r="A201" s="7" t="s">
        <v>59</v>
      </c>
      <c r="B201" s="7" t="s">
        <v>5</v>
      </c>
      <c r="C201" s="7" t="s">
        <v>6</v>
      </c>
      <c r="D201" s="7" t="s">
        <v>222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1:16" ht="30" hidden="1" customHeight="1" x14ac:dyDescent="0.2">
      <c r="A202" s="7" t="s">
        <v>59</v>
      </c>
      <c r="B202" s="7" t="s">
        <v>5</v>
      </c>
      <c r="C202" s="7" t="s">
        <v>15</v>
      </c>
      <c r="D202" s="7" t="s">
        <v>219</v>
      </c>
      <c r="E202" s="7"/>
      <c r="F202" s="8"/>
      <c r="G202" s="7"/>
      <c r="H202" s="7"/>
      <c r="I202" s="8"/>
      <c r="J202" s="8"/>
      <c r="K202" s="8"/>
      <c r="L202" s="8"/>
      <c r="M202" s="9"/>
      <c r="N202" s="8"/>
      <c r="O202" s="10"/>
      <c r="P202" s="11"/>
    </row>
    <row r="203" spans="1:16" ht="30" hidden="1" customHeight="1" x14ac:dyDescent="0.2">
      <c r="A203" s="7" t="s">
        <v>59</v>
      </c>
      <c r="B203" s="7" t="s">
        <v>5</v>
      </c>
      <c r="C203" s="7" t="s">
        <v>15</v>
      </c>
      <c r="D203" s="7" t="s">
        <v>220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ht="30" hidden="1" customHeight="1" x14ac:dyDescent="0.2">
      <c r="A204" s="7" t="s">
        <v>59</v>
      </c>
      <c r="B204" s="7" t="s">
        <v>5</v>
      </c>
      <c r="C204" s="7" t="s">
        <v>15</v>
      </c>
      <c r="D204" s="7" t="s">
        <v>221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1:16" ht="30" hidden="1" customHeight="1" x14ac:dyDescent="0.2">
      <c r="A205" s="7" t="s">
        <v>59</v>
      </c>
      <c r="B205" s="7" t="s">
        <v>5</v>
      </c>
      <c r="C205" s="7" t="s">
        <v>15</v>
      </c>
      <c r="D205" s="7" t="s">
        <v>222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ht="30" hidden="1" customHeight="1" x14ac:dyDescent="0.2">
      <c r="A206" s="7" t="s">
        <v>59</v>
      </c>
      <c r="B206" s="7" t="s">
        <v>5</v>
      </c>
      <c r="C206" s="7" t="s">
        <v>16</v>
      </c>
      <c r="D206" s="7" t="s">
        <v>219</v>
      </c>
      <c r="E206" s="7"/>
      <c r="F206" s="8"/>
      <c r="G206" s="7"/>
      <c r="H206" s="7"/>
      <c r="I206" s="8"/>
      <c r="J206" s="8"/>
      <c r="K206" s="8"/>
      <c r="L206" s="8"/>
      <c r="M206" s="9"/>
      <c r="N206" s="8"/>
      <c r="O206" s="10"/>
      <c r="P206" s="10"/>
    </row>
    <row r="207" spans="1:16" ht="30" hidden="1" customHeight="1" x14ac:dyDescent="0.2">
      <c r="A207" s="7" t="s">
        <v>59</v>
      </c>
      <c r="B207" s="7" t="s">
        <v>5</v>
      </c>
      <c r="C207" s="7" t="s">
        <v>16</v>
      </c>
      <c r="D207" s="7" t="s">
        <v>220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 ht="30" hidden="1" customHeight="1" x14ac:dyDescent="0.2">
      <c r="A208" s="7" t="s">
        <v>59</v>
      </c>
      <c r="B208" s="7" t="s">
        <v>5</v>
      </c>
      <c r="C208" s="7" t="s">
        <v>16</v>
      </c>
      <c r="D208" s="7" t="s">
        <v>221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 ht="30" hidden="1" customHeight="1" x14ac:dyDescent="0.2">
      <c r="A209" s="7" t="s">
        <v>59</v>
      </c>
      <c r="B209" s="7" t="s">
        <v>5</v>
      </c>
      <c r="C209" s="7" t="s">
        <v>16</v>
      </c>
      <c r="D209" s="7" t="s">
        <v>222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ht="30" hidden="1" customHeight="1" x14ac:dyDescent="0.2">
      <c r="A210" s="7" t="s">
        <v>59</v>
      </c>
      <c r="B210" s="7" t="s">
        <v>5</v>
      </c>
      <c r="C210" s="7" t="s">
        <v>17</v>
      </c>
      <c r="D210" s="7" t="s">
        <v>219</v>
      </c>
      <c r="E210" s="7"/>
      <c r="F210" s="8"/>
      <c r="G210" s="7"/>
      <c r="H210" s="7"/>
      <c r="I210" s="8"/>
      <c r="J210" s="8"/>
      <c r="K210" s="8"/>
      <c r="L210" s="8"/>
      <c r="M210" s="9"/>
      <c r="N210" s="8"/>
      <c r="O210" s="10"/>
      <c r="P210" s="10"/>
    </row>
    <row r="211" spans="1:16" ht="30" hidden="1" customHeight="1" x14ac:dyDescent="0.2">
      <c r="A211" s="7" t="s">
        <v>59</v>
      </c>
      <c r="B211" s="7" t="s">
        <v>5</v>
      </c>
      <c r="C211" s="7" t="s">
        <v>17</v>
      </c>
      <c r="D211" s="7" t="s">
        <v>220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ht="30" hidden="1" customHeight="1" x14ac:dyDescent="0.2">
      <c r="A212" s="7" t="s">
        <v>59</v>
      </c>
      <c r="B212" s="7" t="s">
        <v>5</v>
      </c>
      <c r="C212" s="7" t="s">
        <v>17</v>
      </c>
      <c r="D212" s="7" t="s">
        <v>221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 ht="30" hidden="1" customHeight="1" x14ac:dyDescent="0.2">
      <c r="A213" s="7" t="s">
        <v>59</v>
      </c>
      <c r="B213" s="7" t="s">
        <v>5</v>
      </c>
      <c r="C213" s="7" t="s">
        <v>17</v>
      </c>
      <c r="D213" s="7" t="s">
        <v>222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1:16" ht="30" hidden="1" customHeight="1" x14ac:dyDescent="0.2">
      <c r="A214" s="7" t="s">
        <v>59</v>
      </c>
      <c r="B214" s="7" t="s">
        <v>5</v>
      </c>
      <c r="C214" s="7" t="s">
        <v>18</v>
      </c>
      <c r="D214" s="7" t="s">
        <v>219</v>
      </c>
      <c r="E214" s="7"/>
      <c r="F214" s="8"/>
      <c r="G214" s="7"/>
      <c r="H214" s="7"/>
      <c r="I214" s="8"/>
      <c r="J214" s="8"/>
      <c r="K214" s="8"/>
      <c r="L214" s="8"/>
      <c r="M214" s="9"/>
      <c r="N214" s="8"/>
      <c r="O214" s="10"/>
      <c r="P214" s="10"/>
    </row>
    <row r="215" spans="1:16" ht="30" hidden="1" customHeight="1" x14ac:dyDescent="0.2">
      <c r="A215" s="7" t="s">
        <v>59</v>
      </c>
      <c r="B215" s="7" t="s">
        <v>5</v>
      </c>
      <c r="C215" s="7" t="s">
        <v>18</v>
      </c>
      <c r="D215" s="7" t="s">
        <v>220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 ht="30" hidden="1" customHeight="1" x14ac:dyDescent="0.2">
      <c r="A216" s="7" t="s">
        <v>59</v>
      </c>
      <c r="B216" s="7" t="s">
        <v>5</v>
      </c>
      <c r="C216" s="7" t="s">
        <v>18</v>
      </c>
      <c r="D216" s="7" t="s">
        <v>221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 ht="30" hidden="1" customHeight="1" x14ac:dyDescent="0.2">
      <c r="A217" s="7" t="s">
        <v>59</v>
      </c>
      <c r="B217" s="7" t="s">
        <v>5</v>
      </c>
      <c r="C217" s="7" t="s">
        <v>18</v>
      </c>
      <c r="D217" s="7" t="s">
        <v>222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ht="30" hidden="1" customHeight="1" x14ac:dyDescent="0.2">
      <c r="A218" s="7" t="s">
        <v>59</v>
      </c>
      <c r="B218" s="7" t="s">
        <v>5</v>
      </c>
      <c r="C218" s="7" t="s">
        <v>19</v>
      </c>
      <c r="D218" s="7" t="s">
        <v>219</v>
      </c>
      <c r="E218" s="7"/>
      <c r="F218" s="8"/>
      <c r="G218" s="7"/>
      <c r="H218" s="7"/>
      <c r="I218" s="8"/>
      <c r="J218" s="8"/>
      <c r="K218" s="8"/>
      <c r="L218" s="8"/>
      <c r="M218" s="9"/>
      <c r="N218" s="8"/>
      <c r="O218" s="10"/>
      <c r="P218" s="11"/>
    </row>
    <row r="219" spans="1:16" ht="30" hidden="1" customHeight="1" x14ac:dyDescent="0.2">
      <c r="A219" s="7" t="s">
        <v>59</v>
      </c>
      <c r="B219" s="7" t="s">
        <v>5</v>
      </c>
      <c r="C219" s="7" t="s">
        <v>19</v>
      </c>
      <c r="D219" s="7" t="s">
        <v>220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1:16" ht="30" hidden="1" customHeight="1" x14ac:dyDescent="0.2">
      <c r="A220" s="7" t="s">
        <v>59</v>
      </c>
      <c r="B220" s="7" t="s">
        <v>5</v>
      </c>
      <c r="C220" s="7" t="s">
        <v>19</v>
      </c>
      <c r="D220" s="7" t="s">
        <v>221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1:16" ht="30" hidden="1" customHeight="1" x14ac:dyDescent="0.2">
      <c r="A221" s="7" t="s">
        <v>59</v>
      </c>
      <c r="B221" s="7" t="s">
        <v>5</v>
      </c>
      <c r="C221" s="7" t="s">
        <v>19</v>
      </c>
      <c r="D221" s="7" t="s">
        <v>222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1:16" ht="30" hidden="1" customHeight="1" x14ac:dyDescent="0.2">
      <c r="A222" s="7" t="s">
        <v>59</v>
      </c>
      <c r="B222" s="7" t="s">
        <v>5</v>
      </c>
      <c r="C222" s="7" t="s">
        <v>20</v>
      </c>
      <c r="D222" s="7" t="s">
        <v>219</v>
      </c>
      <c r="E222" s="7"/>
      <c r="F222" s="8"/>
      <c r="G222" s="7"/>
      <c r="H222" s="7"/>
      <c r="I222" s="8"/>
      <c r="J222" s="8"/>
      <c r="K222" s="8"/>
      <c r="L222" s="8"/>
      <c r="M222" s="9"/>
      <c r="N222" s="8"/>
      <c r="O222" s="10"/>
      <c r="P222" s="10"/>
    </row>
    <row r="223" spans="1:16" ht="30" hidden="1" customHeight="1" x14ac:dyDescent="0.2">
      <c r="A223" s="7" t="s">
        <v>59</v>
      </c>
      <c r="B223" s="7" t="s">
        <v>5</v>
      </c>
      <c r="C223" s="7" t="s">
        <v>20</v>
      </c>
      <c r="D223" s="7" t="s">
        <v>220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ht="30" hidden="1" customHeight="1" x14ac:dyDescent="0.2">
      <c r="A224" s="7" t="s">
        <v>59</v>
      </c>
      <c r="B224" s="7" t="s">
        <v>5</v>
      </c>
      <c r="C224" s="7" t="s">
        <v>20</v>
      </c>
      <c r="D224" s="7" t="s">
        <v>221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 ht="30" hidden="1" customHeight="1" x14ac:dyDescent="0.2">
      <c r="A225" s="7" t="s">
        <v>59</v>
      </c>
      <c r="B225" s="7" t="s">
        <v>5</v>
      </c>
      <c r="C225" s="7" t="s">
        <v>20</v>
      </c>
      <c r="D225" s="7" t="s">
        <v>222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ht="30" hidden="1" customHeight="1" x14ac:dyDescent="0.2">
      <c r="A226" s="7" t="s">
        <v>59</v>
      </c>
      <c r="B226" s="7" t="s">
        <v>5</v>
      </c>
      <c r="C226" s="7" t="s">
        <v>7</v>
      </c>
      <c r="D226" s="7" t="s">
        <v>219</v>
      </c>
      <c r="E226" s="7"/>
      <c r="F226" s="8"/>
      <c r="G226" s="7"/>
      <c r="H226" s="7"/>
      <c r="I226" s="8"/>
      <c r="J226" s="8"/>
      <c r="K226" s="8"/>
      <c r="L226" s="8"/>
      <c r="M226" s="9"/>
      <c r="N226" s="8"/>
      <c r="O226" s="10"/>
      <c r="P226" s="10"/>
    </row>
    <row r="227" spans="1:16" ht="30" hidden="1" customHeight="1" x14ac:dyDescent="0.2">
      <c r="A227" s="7" t="s">
        <v>59</v>
      </c>
      <c r="B227" s="7" t="s">
        <v>5</v>
      </c>
      <c r="C227" s="7" t="s">
        <v>7</v>
      </c>
      <c r="D227" s="7" t="s">
        <v>220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 ht="30" hidden="1" customHeight="1" x14ac:dyDescent="0.2">
      <c r="A228" s="7" t="s">
        <v>59</v>
      </c>
      <c r="B228" s="7" t="s">
        <v>5</v>
      </c>
      <c r="C228" s="7" t="s">
        <v>7</v>
      </c>
      <c r="D228" s="7" t="s">
        <v>221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 ht="30" hidden="1" customHeight="1" x14ac:dyDescent="0.2">
      <c r="A229" s="7" t="s">
        <v>59</v>
      </c>
      <c r="B229" s="7" t="s">
        <v>5</v>
      </c>
      <c r="C229" s="7" t="s">
        <v>7</v>
      </c>
      <c r="D229" s="7" t="s">
        <v>222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 ht="30" hidden="1" customHeight="1" x14ac:dyDescent="0.2">
      <c r="A230" s="7" t="s">
        <v>59</v>
      </c>
      <c r="B230" s="7" t="s">
        <v>5</v>
      </c>
      <c r="C230" s="7" t="s">
        <v>8</v>
      </c>
      <c r="D230" s="7" t="s">
        <v>219</v>
      </c>
      <c r="E230" s="7"/>
      <c r="F230" s="8"/>
      <c r="G230" s="7"/>
      <c r="H230" s="7"/>
      <c r="I230" s="8"/>
      <c r="J230" s="8"/>
      <c r="K230" s="8"/>
      <c r="L230" s="8"/>
      <c r="M230" s="9"/>
      <c r="N230" s="8"/>
      <c r="O230" s="10"/>
      <c r="P230" s="10"/>
    </row>
    <row r="231" spans="1:16" ht="30" hidden="1" customHeight="1" x14ac:dyDescent="0.2">
      <c r="A231" s="7" t="s">
        <v>59</v>
      </c>
      <c r="B231" s="7" t="s">
        <v>5</v>
      </c>
      <c r="C231" s="7" t="s">
        <v>8</v>
      </c>
      <c r="D231" s="7" t="s">
        <v>220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 ht="30" hidden="1" customHeight="1" x14ac:dyDescent="0.2">
      <c r="A232" s="7" t="s">
        <v>59</v>
      </c>
      <c r="B232" s="7" t="s">
        <v>5</v>
      </c>
      <c r="C232" s="7" t="s">
        <v>8</v>
      </c>
      <c r="D232" s="7" t="s">
        <v>221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 ht="30" hidden="1" customHeight="1" x14ac:dyDescent="0.2">
      <c r="A233" s="7" t="s">
        <v>59</v>
      </c>
      <c r="B233" s="7" t="s">
        <v>5</v>
      </c>
      <c r="C233" s="7" t="s">
        <v>8</v>
      </c>
      <c r="D233" s="7" t="s">
        <v>222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1:16" ht="30" hidden="1" customHeight="1" x14ac:dyDescent="0.2">
      <c r="A234" s="7" t="s">
        <v>59</v>
      </c>
      <c r="B234" s="7" t="s">
        <v>5</v>
      </c>
      <c r="C234" s="7" t="s">
        <v>9</v>
      </c>
      <c r="D234" s="7" t="s">
        <v>219</v>
      </c>
      <c r="E234" s="7"/>
      <c r="F234" s="8"/>
      <c r="G234" s="7"/>
      <c r="H234" s="7"/>
      <c r="I234" s="8"/>
      <c r="J234" s="8"/>
      <c r="K234" s="8"/>
      <c r="L234" s="8"/>
      <c r="M234" s="9"/>
      <c r="N234" s="8"/>
      <c r="O234" s="10"/>
      <c r="P234" s="11"/>
    </row>
    <row r="235" spans="1:16" ht="30" hidden="1" customHeight="1" x14ac:dyDescent="0.2">
      <c r="A235" s="7" t="s">
        <v>59</v>
      </c>
      <c r="B235" s="7" t="s">
        <v>5</v>
      </c>
      <c r="C235" s="7" t="s">
        <v>9</v>
      </c>
      <c r="D235" s="7" t="s">
        <v>220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 ht="30" hidden="1" customHeight="1" x14ac:dyDescent="0.2">
      <c r="A236" s="7" t="s">
        <v>59</v>
      </c>
      <c r="B236" s="7" t="s">
        <v>5</v>
      </c>
      <c r="C236" s="7" t="s">
        <v>9</v>
      </c>
      <c r="D236" s="7" t="s">
        <v>221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 ht="30" hidden="1" customHeight="1" x14ac:dyDescent="0.2">
      <c r="A237" s="7" t="s">
        <v>59</v>
      </c>
      <c r="B237" s="7" t="s">
        <v>5</v>
      </c>
      <c r="C237" s="7" t="s">
        <v>9</v>
      </c>
      <c r="D237" s="7" t="s">
        <v>222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1:16" ht="30" hidden="1" customHeight="1" x14ac:dyDescent="0.2">
      <c r="A238" s="7" t="s">
        <v>59</v>
      </c>
      <c r="B238" s="7" t="s">
        <v>5</v>
      </c>
      <c r="C238" s="7" t="s">
        <v>10</v>
      </c>
      <c r="D238" s="7" t="s">
        <v>219</v>
      </c>
      <c r="E238" s="7"/>
      <c r="F238" s="8"/>
      <c r="G238" s="7"/>
      <c r="H238" s="7"/>
      <c r="I238" s="8"/>
      <c r="J238" s="8"/>
      <c r="K238" s="8"/>
      <c r="L238" s="8"/>
      <c r="M238" s="9"/>
      <c r="N238" s="8"/>
      <c r="O238" s="10"/>
      <c r="P238" s="11"/>
    </row>
    <row r="239" spans="1:16" ht="30" hidden="1" customHeight="1" x14ac:dyDescent="0.2">
      <c r="A239" s="7" t="s">
        <v>59</v>
      </c>
      <c r="B239" s="7" t="s">
        <v>5</v>
      </c>
      <c r="C239" s="7" t="s">
        <v>10</v>
      </c>
      <c r="D239" s="7" t="s">
        <v>220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 ht="30" hidden="1" customHeight="1" x14ac:dyDescent="0.2">
      <c r="A240" s="7" t="s">
        <v>59</v>
      </c>
      <c r="B240" s="7" t="s">
        <v>5</v>
      </c>
      <c r="C240" s="7" t="s">
        <v>10</v>
      </c>
      <c r="D240" s="7" t="s">
        <v>221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 ht="30" hidden="1" customHeight="1" x14ac:dyDescent="0.2">
      <c r="A241" s="7" t="s">
        <v>59</v>
      </c>
      <c r="B241" s="7" t="s">
        <v>5</v>
      </c>
      <c r="C241" s="7" t="s">
        <v>10</v>
      </c>
      <c r="D241" s="7" t="s">
        <v>222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ht="30" hidden="1" customHeight="1" x14ac:dyDescent="0.2">
      <c r="A242" s="7" t="s">
        <v>59</v>
      </c>
      <c r="B242" s="7" t="s">
        <v>5</v>
      </c>
      <c r="C242" s="7" t="s">
        <v>11</v>
      </c>
      <c r="D242" s="7" t="s">
        <v>219</v>
      </c>
      <c r="E242" s="7"/>
      <c r="F242" s="8"/>
      <c r="G242" s="7"/>
      <c r="H242" s="7"/>
      <c r="I242" s="8"/>
      <c r="J242" s="8"/>
      <c r="K242" s="8"/>
      <c r="L242" s="8"/>
      <c r="M242" s="9"/>
      <c r="N242" s="8"/>
      <c r="O242" s="10"/>
      <c r="P242" s="11"/>
    </row>
    <row r="243" spans="1:16" ht="30" hidden="1" customHeight="1" x14ac:dyDescent="0.2">
      <c r="A243" s="7" t="s">
        <v>59</v>
      </c>
      <c r="B243" s="7" t="s">
        <v>5</v>
      </c>
      <c r="C243" s="7" t="s">
        <v>11</v>
      </c>
      <c r="D243" s="7" t="s">
        <v>220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1:16" ht="30" hidden="1" customHeight="1" x14ac:dyDescent="0.2">
      <c r="A244" s="7" t="s">
        <v>59</v>
      </c>
      <c r="B244" s="7" t="s">
        <v>5</v>
      </c>
      <c r="C244" s="7" t="s">
        <v>11</v>
      </c>
      <c r="D244" s="7" t="s">
        <v>221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 ht="30" hidden="1" customHeight="1" x14ac:dyDescent="0.2">
      <c r="A245" s="7" t="s">
        <v>59</v>
      </c>
      <c r="B245" s="7" t="s">
        <v>5</v>
      </c>
      <c r="C245" s="7" t="s">
        <v>11</v>
      </c>
      <c r="D245" s="7" t="s">
        <v>222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ht="30" hidden="1" customHeight="1" x14ac:dyDescent="0.2">
      <c r="A246" s="7" t="s">
        <v>59</v>
      </c>
      <c r="B246" s="7" t="s">
        <v>5</v>
      </c>
      <c r="C246" s="7" t="s">
        <v>12</v>
      </c>
      <c r="D246" s="7" t="s">
        <v>219</v>
      </c>
      <c r="E246" s="7"/>
      <c r="F246" s="8"/>
      <c r="G246" s="7"/>
      <c r="H246" s="7"/>
      <c r="I246" s="8"/>
      <c r="J246" s="8"/>
      <c r="K246" s="8"/>
      <c r="L246" s="8"/>
      <c r="M246" s="9"/>
      <c r="N246" s="8"/>
      <c r="O246" s="10"/>
      <c r="P246" s="11"/>
    </row>
    <row r="247" spans="1:16" ht="30" hidden="1" customHeight="1" x14ac:dyDescent="0.2">
      <c r="A247" s="7" t="s">
        <v>59</v>
      </c>
      <c r="B247" s="7" t="s">
        <v>5</v>
      </c>
      <c r="C247" s="7" t="s">
        <v>12</v>
      </c>
      <c r="D247" s="7" t="s">
        <v>220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 ht="30" hidden="1" customHeight="1" x14ac:dyDescent="0.2">
      <c r="A248" s="7" t="s">
        <v>59</v>
      </c>
      <c r="B248" s="7" t="s">
        <v>5</v>
      </c>
      <c r="C248" s="7" t="s">
        <v>12</v>
      </c>
      <c r="D248" s="7" t="s">
        <v>221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 ht="30" hidden="1" customHeight="1" x14ac:dyDescent="0.2">
      <c r="A249" s="7" t="s">
        <v>59</v>
      </c>
      <c r="B249" s="7" t="s">
        <v>5</v>
      </c>
      <c r="C249" s="7" t="s">
        <v>12</v>
      </c>
      <c r="D249" s="7" t="s">
        <v>222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1:16" ht="30" hidden="1" customHeight="1" x14ac:dyDescent="0.2">
      <c r="A250" s="7" t="s">
        <v>59</v>
      </c>
      <c r="B250" s="7" t="s">
        <v>5</v>
      </c>
      <c r="C250" s="7" t="s">
        <v>13</v>
      </c>
      <c r="D250" s="7" t="s">
        <v>219</v>
      </c>
      <c r="E250" s="7"/>
      <c r="F250" s="8"/>
      <c r="G250" s="7"/>
      <c r="H250" s="7"/>
      <c r="I250" s="8"/>
      <c r="J250" s="8"/>
      <c r="K250" s="8"/>
      <c r="L250" s="8"/>
      <c r="M250" s="9"/>
      <c r="N250" s="8"/>
      <c r="O250" s="10"/>
      <c r="P250" s="11"/>
    </row>
    <row r="251" spans="1:16" ht="30" hidden="1" customHeight="1" x14ac:dyDescent="0.2">
      <c r="A251" s="7" t="s">
        <v>59</v>
      </c>
      <c r="B251" s="7" t="s">
        <v>5</v>
      </c>
      <c r="C251" s="7" t="s">
        <v>13</v>
      </c>
      <c r="D251" s="7" t="s">
        <v>220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 ht="30" hidden="1" customHeight="1" x14ac:dyDescent="0.2">
      <c r="A252" s="7" t="s">
        <v>59</v>
      </c>
      <c r="B252" s="7" t="s">
        <v>5</v>
      </c>
      <c r="C252" s="7" t="s">
        <v>13</v>
      </c>
      <c r="D252" s="7" t="s">
        <v>221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1:16" ht="30" hidden="1" customHeight="1" x14ac:dyDescent="0.2">
      <c r="A253" s="7" t="s">
        <v>59</v>
      </c>
      <c r="B253" s="7" t="s">
        <v>5</v>
      </c>
      <c r="C253" s="7" t="s">
        <v>13</v>
      </c>
      <c r="D253" s="7" t="s">
        <v>222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 ht="30" hidden="1" customHeight="1" x14ac:dyDescent="0.2">
      <c r="A254" s="7" t="s">
        <v>59</v>
      </c>
      <c r="B254" s="7" t="s">
        <v>5</v>
      </c>
      <c r="C254" s="7" t="s">
        <v>14</v>
      </c>
      <c r="D254" s="7" t="s">
        <v>219</v>
      </c>
      <c r="E254" s="7"/>
      <c r="F254" s="8"/>
      <c r="G254" s="7"/>
      <c r="H254" s="7"/>
      <c r="I254" s="8"/>
      <c r="J254" s="8"/>
      <c r="K254" s="8"/>
      <c r="L254" s="8"/>
      <c r="M254" s="9"/>
      <c r="N254" s="8"/>
      <c r="O254" s="10"/>
      <c r="P254" s="11"/>
    </row>
    <row r="255" spans="1:16" ht="30" hidden="1" customHeight="1" x14ac:dyDescent="0.2">
      <c r="A255" s="7" t="s">
        <v>59</v>
      </c>
      <c r="B255" s="7" t="s">
        <v>5</v>
      </c>
      <c r="C255" s="7" t="s">
        <v>14</v>
      </c>
      <c r="D255" s="7" t="s">
        <v>220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16" ht="30" hidden="1" customHeight="1" x14ac:dyDescent="0.2">
      <c r="A256" s="7" t="s">
        <v>59</v>
      </c>
      <c r="B256" s="7" t="s">
        <v>5</v>
      </c>
      <c r="C256" s="7" t="s">
        <v>14</v>
      </c>
      <c r="D256" s="7" t="s">
        <v>221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1:16" ht="30" hidden="1" customHeight="1" x14ac:dyDescent="0.2">
      <c r="A257" s="7" t="s">
        <v>59</v>
      </c>
      <c r="B257" s="7" t="s">
        <v>5</v>
      </c>
      <c r="C257" s="7" t="s">
        <v>14</v>
      </c>
      <c r="D257" s="7" t="s">
        <v>222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1:16" ht="30" hidden="1" customHeight="1" x14ac:dyDescent="0.2">
      <c r="A258" s="7" t="s">
        <v>59</v>
      </c>
      <c r="B258" s="7" t="s">
        <v>5</v>
      </c>
      <c r="C258" s="7" t="s">
        <v>57</v>
      </c>
      <c r="D258" s="7" t="s">
        <v>219</v>
      </c>
      <c r="E258" s="7"/>
      <c r="F258" s="8"/>
      <c r="G258" s="7"/>
      <c r="H258" s="7"/>
      <c r="I258" s="8"/>
      <c r="J258" s="8"/>
      <c r="K258" s="8"/>
      <c r="L258" s="8"/>
      <c r="M258" s="9"/>
      <c r="N258" s="8"/>
      <c r="O258" s="10"/>
      <c r="P258" s="10"/>
    </row>
    <row r="259" spans="1:16" ht="30" hidden="1" customHeight="1" x14ac:dyDescent="0.2">
      <c r="A259" s="7" t="s">
        <v>59</v>
      </c>
      <c r="B259" s="7" t="s">
        <v>5</v>
      </c>
      <c r="C259" s="7" t="s">
        <v>57</v>
      </c>
      <c r="D259" s="7" t="s">
        <v>220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 ht="30" hidden="1" customHeight="1" x14ac:dyDescent="0.2">
      <c r="A260" s="7" t="s">
        <v>59</v>
      </c>
      <c r="B260" s="7" t="s">
        <v>5</v>
      </c>
      <c r="C260" s="7" t="s">
        <v>57</v>
      </c>
      <c r="D260" s="7" t="s">
        <v>221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1:16" ht="30" hidden="1" customHeight="1" x14ac:dyDescent="0.2">
      <c r="A261" s="7" t="s">
        <v>59</v>
      </c>
      <c r="B261" s="7" t="s">
        <v>5</v>
      </c>
      <c r="C261" s="7" t="s">
        <v>57</v>
      </c>
      <c r="D261" s="7" t="s">
        <v>222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1:16" ht="30" hidden="1" customHeight="1" x14ac:dyDescent="0.2">
      <c r="A262" s="7" t="s">
        <v>59</v>
      </c>
      <c r="B262" s="7" t="s">
        <v>87</v>
      </c>
      <c r="C262" s="7" t="s">
        <v>100</v>
      </c>
      <c r="D262" s="7" t="s">
        <v>219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1:16" ht="30" hidden="1" customHeight="1" x14ac:dyDescent="0.2">
      <c r="A263" s="7" t="s">
        <v>59</v>
      </c>
      <c r="B263" s="7" t="s">
        <v>87</v>
      </c>
      <c r="C263" s="7" t="s">
        <v>100</v>
      </c>
      <c r="D263" s="7" t="s">
        <v>220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1:16" ht="30" hidden="1" customHeight="1" x14ac:dyDescent="0.2">
      <c r="A264" s="7" t="s">
        <v>59</v>
      </c>
      <c r="B264" s="7" t="s">
        <v>87</v>
      </c>
      <c r="C264" s="7" t="s">
        <v>100</v>
      </c>
      <c r="D264" s="7" t="s">
        <v>221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spans="1:16" ht="30" hidden="1" customHeight="1" x14ac:dyDescent="0.2">
      <c r="A265" s="7" t="s">
        <v>59</v>
      </c>
      <c r="B265" s="7" t="s">
        <v>87</v>
      </c>
      <c r="C265" s="7" t="s">
        <v>100</v>
      </c>
      <c r="D265" s="7" t="s">
        <v>222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16" ht="30" hidden="1" customHeight="1" x14ac:dyDescent="0.2">
      <c r="A266" s="7" t="s">
        <v>59</v>
      </c>
      <c r="B266" s="7" t="s">
        <v>87</v>
      </c>
      <c r="C266" s="7" t="s">
        <v>98</v>
      </c>
      <c r="D266" s="7" t="s">
        <v>219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16" ht="30" hidden="1" customHeight="1" x14ac:dyDescent="0.2">
      <c r="A267" s="7" t="s">
        <v>59</v>
      </c>
      <c r="B267" s="7" t="s">
        <v>87</v>
      </c>
      <c r="C267" s="7" t="s">
        <v>98</v>
      </c>
      <c r="D267" s="7" t="s">
        <v>220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16" ht="30" hidden="1" customHeight="1" x14ac:dyDescent="0.2">
      <c r="A268" s="7" t="s">
        <v>59</v>
      </c>
      <c r="B268" s="7" t="s">
        <v>87</v>
      </c>
      <c r="C268" s="7" t="s">
        <v>98</v>
      </c>
      <c r="D268" s="7" t="s">
        <v>221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 ht="30" hidden="1" customHeight="1" x14ac:dyDescent="0.2">
      <c r="A269" s="7" t="s">
        <v>59</v>
      </c>
      <c r="B269" s="7" t="s">
        <v>87</v>
      </c>
      <c r="C269" s="7" t="s">
        <v>98</v>
      </c>
      <c r="D269" s="7" t="s">
        <v>222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1:16" ht="30" hidden="1" customHeight="1" x14ac:dyDescent="0.2">
      <c r="A270" s="7" t="s">
        <v>59</v>
      </c>
      <c r="B270" s="7" t="s">
        <v>87</v>
      </c>
      <c r="C270" s="7" t="s">
        <v>102</v>
      </c>
      <c r="D270" s="7" t="s">
        <v>219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1:16" ht="30" hidden="1" customHeight="1" x14ac:dyDescent="0.2">
      <c r="A271" s="7" t="s">
        <v>59</v>
      </c>
      <c r="B271" s="7" t="s">
        <v>87</v>
      </c>
      <c r="C271" s="7" t="s">
        <v>102</v>
      </c>
      <c r="D271" s="7" t="s">
        <v>220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16" ht="30" hidden="1" customHeight="1" x14ac:dyDescent="0.2">
      <c r="A272" s="7" t="s">
        <v>59</v>
      </c>
      <c r="B272" s="7" t="s">
        <v>87</v>
      </c>
      <c r="C272" s="7" t="s">
        <v>102</v>
      </c>
      <c r="D272" s="7" t="s">
        <v>221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1:16" ht="30" hidden="1" customHeight="1" x14ac:dyDescent="0.2">
      <c r="A273" s="7" t="s">
        <v>59</v>
      </c>
      <c r="B273" s="7" t="s">
        <v>87</v>
      </c>
      <c r="C273" s="7" t="s">
        <v>102</v>
      </c>
      <c r="D273" s="7" t="s">
        <v>222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1:16" ht="30" hidden="1" customHeight="1" x14ac:dyDescent="0.2">
      <c r="A274" s="7" t="s">
        <v>59</v>
      </c>
      <c r="B274" s="7" t="s">
        <v>87</v>
      </c>
      <c r="C274" s="7" t="s">
        <v>99</v>
      </c>
      <c r="D274" s="7" t="s">
        <v>219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1:16" ht="30" hidden="1" customHeight="1" x14ac:dyDescent="0.2">
      <c r="A275" s="7" t="s">
        <v>59</v>
      </c>
      <c r="B275" s="7" t="s">
        <v>87</v>
      </c>
      <c r="C275" s="7" t="s">
        <v>99</v>
      </c>
      <c r="D275" s="7" t="s">
        <v>220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1:16" ht="30" hidden="1" customHeight="1" x14ac:dyDescent="0.2">
      <c r="A276" s="7" t="s">
        <v>59</v>
      </c>
      <c r="B276" s="7" t="s">
        <v>87</v>
      </c>
      <c r="C276" s="7" t="s">
        <v>99</v>
      </c>
      <c r="D276" s="7" t="s">
        <v>221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1:16" ht="30" hidden="1" customHeight="1" x14ac:dyDescent="0.2">
      <c r="A277" s="7" t="s">
        <v>59</v>
      </c>
      <c r="B277" s="7" t="s">
        <v>87</v>
      </c>
      <c r="C277" s="7" t="s">
        <v>99</v>
      </c>
      <c r="D277" s="7" t="s">
        <v>222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 ht="30" hidden="1" customHeight="1" x14ac:dyDescent="0.2">
      <c r="A278" s="7" t="s">
        <v>59</v>
      </c>
      <c r="B278" s="7" t="s">
        <v>87</v>
      </c>
      <c r="C278" s="7" t="s">
        <v>101</v>
      </c>
      <c r="D278" s="7" t="s">
        <v>219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spans="1:16" ht="30" hidden="1" customHeight="1" x14ac:dyDescent="0.2">
      <c r="A279" s="7" t="s">
        <v>59</v>
      </c>
      <c r="B279" s="7" t="s">
        <v>87</v>
      </c>
      <c r="C279" s="7" t="s">
        <v>101</v>
      </c>
      <c r="D279" s="7" t="s">
        <v>220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spans="1:16" ht="30" hidden="1" customHeight="1" x14ac:dyDescent="0.2">
      <c r="A280" s="7" t="s">
        <v>59</v>
      </c>
      <c r="B280" s="7" t="s">
        <v>87</v>
      </c>
      <c r="C280" s="7" t="s">
        <v>101</v>
      </c>
      <c r="D280" s="7" t="s">
        <v>221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spans="1:16" ht="30" hidden="1" customHeight="1" x14ac:dyDescent="0.2">
      <c r="A281" s="7" t="s">
        <v>59</v>
      </c>
      <c r="B281" s="7" t="s">
        <v>87</v>
      </c>
      <c r="C281" s="7" t="s">
        <v>101</v>
      </c>
      <c r="D281" s="7" t="s">
        <v>222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1:16" ht="30" hidden="1" customHeight="1" x14ac:dyDescent="0.2">
      <c r="A282" s="7" t="s">
        <v>59</v>
      </c>
      <c r="B282" s="7" t="s">
        <v>87</v>
      </c>
      <c r="C282" s="7" t="s">
        <v>104</v>
      </c>
      <c r="D282" s="7" t="s">
        <v>219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pans="1:16" ht="30" hidden="1" customHeight="1" x14ac:dyDescent="0.2">
      <c r="A283" s="7" t="s">
        <v>59</v>
      </c>
      <c r="B283" s="7" t="s">
        <v>87</v>
      </c>
      <c r="C283" s="7" t="s">
        <v>104</v>
      </c>
      <c r="D283" s="7" t="s">
        <v>220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 ht="30" hidden="1" customHeight="1" x14ac:dyDescent="0.2">
      <c r="A284" s="7" t="s">
        <v>59</v>
      </c>
      <c r="B284" s="7" t="s">
        <v>87</v>
      </c>
      <c r="C284" s="7" t="s">
        <v>104</v>
      </c>
      <c r="D284" s="7" t="s">
        <v>221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pans="1:16" ht="30" hidden="1" customHeight="1" x14ac:dyDescent="0.2">
      <c r="A285" s="7" t="s">
        <v>59</v>
      </c>
      <c r="B285" s="7" t="s">
        <v>87</v>
      </c>
      <c r="C285" s="7" t="s">
        <v>104</v>
      </c>
      <c r="D285" s="7" t="s">
        <v>222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pans="1:16" ht="30" hidden="1" customHeight="1" x14ac:dyDescent="0.2">
      <c r="A286" s="7" t="s">
        <v>59</v>
      </c>
      <c r="B286" s="7" t="s">
        <v>87</v>
      </c>
      <c r="C286" s="7" t="s">
        <v>89</v>
      </c>
      <c r="D286" s="7" t="s">
        <v>219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1:16" ht="30" hidden="1" customHeight="1" x14ac:dyDescent="0.2">
      <c r="A287" s="7" t="s">
        <v>59</v>
      </c>
      <c r="B287" s="7" t="s">
        <v>87</v>
      </c>
      <c r="C287" s="7" t="s">
        <v>89</v>
      </c>
      <c r="D287" s="7" t="s">
        <v>220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spans="1:16" ht="30" hidden="1" customHeight="1" x14ac:dyDescent="0.2">
      <c r="A288" s="7" t="s">
        <v>59</v>
      </c>
      <c r="B288" s="7" t="s">
        <v>87</v>
      </c>
      <c r="C288" s="7" t="s">
        <v>89</v>
      </c>
      <c r="D288" s="7" t="s">
        <v>221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spans="1:16" ht="30" hidden="1" customHeight="1" x14ac:dyDescent="0.2">
      <c r="A289" s="7" t="s">
        <v>59</v>
      </c>
      <c r="B289" s="7" t="s">
        <v>87</v>
      </c>
      <c r="C289" s="7" t="s">
        <v>89</v>
      </c>
      <c r="D289" s="7" t="s">
        <v>222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pans="1:16" ht="30" hidden="1" customHeight="1" x14ac:dyDescent="0.2">
      <c r="A290" s="7" t="s">
        <v>59</v>
      </c>
      <c r="B290" s="7" t="s">
        <v>87</v>
      </c>
      <c r="C290" s="7" t="s">
        <v>89</v>
      </c>
      <c r="D290" s="7" t="s">
        <v>219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pans="1:16" ht="30" hidden="1" customHeight="1" x14ac:dyDescent="0.2">
      <c r="A291" s="7" t="s">
        <v>59</v>
      </c>
      <c r="B291" s="7" t="s">
        <v>87</v>
      </c>
      <c r="C291" s="7" t="s">
        <v>89</v>
      </c>
      <c r="D291" s="7" t="s">
        <v>220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spans="1:16" ht="30" hidden="1" customHeight="1" x14ac:dyDescent="0.2">
      <c r="A292" s="7" t="s">
        <v>59</v>
      </c>
      <c r="B292" s="7" t="s">
        <v>87</v>
      </c>
      <c r="C292" s="7" t="s">
        <v>89</v>
      </c>
      <c r="D292" s="7" t="s">
        <v>221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1:16" ht="30" hidden="1" customHeight="1" x14ac:dyDescent="0.2">
      <c r="A293" s="7" t="s">
        <v>59</v>
      </c>
      <c r="B293" s="7" t="s">
        <v>87</v>
      </c>
      <c r="C293" s="7" t="s">
        <v>89</v>
      </c>
      <c r="D293" s="7" t="s">
        <v>222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spans="1:16" ht="30" hidden="1" customHeight="1" x14ac:dyDescent="0.2">
      <c r="A294" s="7" t="s">
        <v>59</v>
      </c>
      <c r="B294" s="7" t="s">
        <v>87</v>
      </c>
      <c r="C294" s="7" t="s">
        <v>90</v>
      </c>
      <c r="D294" s="7" t="s">
        <v>219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spans="1:16" ht="30" hidden="1" customHeight="1" x14ac:dyDescent="0.2">
      <c r="A295" s="7" t="s">
        <v>59</v>
      </c>
      <c r="B295" s="7" t="s">
        <v>87</v>
      </c>
      <c r="C295" s="7" t="s">
        <v>90</v>
      </c>
      <c r="D295" s="7" t="s">
        <v>220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1:16" ht="30" hidden="1" customHeight="1" x14ac:dyDescent="0.2">
      <c r="A296" s="7" t="s">
        <v>59</v>
      </c>
      <c r="B296" s="7" t="s">
        <v>87</v>
      </c>
      <c r="C296" s="7" t="s">
        <v>90</v>
      </c>
      <c r="D296" s="7" t="s">
        <v>221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spans="1:16" ht="30" hidden="1" customHeight="1" x14ac:dyDescent="0.2">
      <c r="A297" s="7" t="s">
        <v>59</v>
      </c>
      <c r="B297" s="7" t="s">
        <v>87</v>
      </c>
      <c r="C297" s="7" t="s">
        <v>90</v>
      </c>
      <c r="D297" s="7" t="s">
        <v>222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spans="1:16" ht="30" hidden="1" customHeight="1" x14ac:dyDescent="0.2">
      <c r="A298" s="7" t="s">
        <v>59</v>
      </c>
      <c r="B298" s="7" t="s">
        <v>87</v>
      </c>
      <c r="C298" s="7" t="s">
        <v>91</v>
      </c>
      <c r="D298" s="7" t="s">
        <v>219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spans="1:16" ht="30" hidden="1" customHeight="1" x14ac:dyDescent="0.2">
      <c r="A299" s="7" t="s">
        <v>59</v>
      </c>
      <c r="B299" s="7" t="s">
        <v>87</v>
      </c>
      <c r="C299" s="7" t="s">
        <v>91</v>
      </c>
      <c r="D299" s="7" t="s">
        <v>220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pans="1:16" ht="30" hidden="1" customHeight="1" x14ac:dyDescent="0.2">
      <c r="A300" s="7" t="s">
        <v>59</v>
      </c>
      <c r="B300" s="7" t="s">
        <v>87</v>
      </c>
      <c r="C300" s="7" t="s">
        <v>91</v>
      </c>
      <c r="D300" s="7" t="s">
        <v>221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spans="1:16" ht="30" hidden="1" customHeight="1" x14ac:dyDescent="0.2">
      <c r="A301" s="7" t="s">
        <v>59</v>
      </c>
      <c r="B301" s="7" t="s">
        <v>87</v>
      </c>
      <c r="C301" s="7" t="s">
        <v>91</v>
      </c>
      <c r="D301" s="7" t="s">
        <v>222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1:16" ht="30" hidden="1" customHeight="1" x14ac:dyDescent="0.2">
      <c r="A302" s="7" t="s">
        <v>59</v>
      </c>
      <c r="B302" s="7" t="s">
        <v>87</v>
      </c>
      <c r="C302" s="7" t="s">
        <v>92</v>
      </c>
      <c r="D302" s="7" t="s">
        <v>219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pans="1:16" ht="30" hidden="1" customHeight="1" x14ac:dyDescent="0.2">
      <c r="A303" s="7" t="s">
        <v>59</v>
      </c>
      <c r="B303" s="7" t="s">
        <v>87</v>
      </c>
      <c r="C303" s="7" t="s">
        <v>92</v>
      </c>
      <c r="D303" s="7" t="s">
        <v>220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spans="1:16" ht="30" hidden="1" customHeight="1" x14ac:dyDescent="0.2">
      <c r="A304" s="7" t="s">
        <v>59</v>
      </c>
      <c r="B304" s="7" t="s">
        <v>87</v>
      </c>
      <c r="C304" s="7" t="s">
        <v>92</v>
      </c>
      <c r="D304" s="7" t="s">
        <v>221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pans="1:16" ht="30" hidden="1" customHeight="1" x14ac:dyDescent="0.2">
      <c r="A305" s="7" t="s">
        <v>59</v>
      </c>
      <c r="B305" s="7" t="s">
        <v>87</v>
      </c>
      <c r="C305" s="7" t="s">
        <v>92</v>
      </c>
      <c r="D305" s="7" t="s">
        <v>222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spans="1:16" ht="30" hidden="1" customHeight="1" x14ac:dyDescent="0.2">
      <c r="A306" s="7" t="s">
        <v>59</v>
      </c>
      <c r="B306" s="7" t="s">
        <v>87</v>
      </c>
      <c r="C306" s="7" t="s">
        <v>93</v>
      </c>
      <c r="D306" s="7" t="s">
        <v>219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spans="1:16" ht="30" hidden="1" customHeight="1" x14ac:dyDescent="0.2">
      <c r="A307" s="7" t="s">
        <v>59</v>
      </c>
      <c r="B307" s="7" t="s">
        <v>87</v>
      </c>
      <c r="C307" s="7" t="s">
        <v>93</v>
      </c>
      <c r="D307" s="7" t="s">
        <v>220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1:16" ht="30" hidden="1" customHeight="1" x14ac:dyDescent="0.2">
      <c r="A308" s="7" t="s">
        <v>59</v>
      </c>
      <c r="B308" s="7" t="s">
        <v>87</v>
      </c>
      <c r="C308" s="7" t="s">
        <v>93</v>
      </c>
      <c r="D308" s="7" t="s">
        <v>221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spans="1:16" ht="30" hidden="1" customHeight="1" x14ac:dyDescent="0.2">
      <c r="A309" s="7" t="s">
        <v>59</v>
      </c>
      <c r="B309" s="7" t="s">
        <v>87</v>
      </c>
      <c r="C309" s="7" t="s">
        <v>93</v>
      </c>
      <c r="D309" s="7" t="s">
        <v>222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pans="1:16" ht="30" hidden="1" customHeight="1" x14ac:dyDescent="0.2">
      <c r="A310" s="7" t="s">
        <v>59</v>
      </c>
      <c r="B310" s="7" t="s">
        <v>87</v>
      </c>
      <c r="C310" s="7" t="s">
        <v>94</v>
      </c>
      <c r="D310" s="7" t="s">
        <v>219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pans="1:16" ht="30" hidden="1" customHeight="1" x14ac:dyDescent="0.2">
      <c r="A311" s="7" t="s">
        <v>59</v>
      </c>
      <c r="B311" s="7" t="s">
        <v>87</v>
      </c>
      <c r="C311" s="7" t="s">
        <v>94</v>
      </c>
      <c r="D311" s="7" t="s">
        <v>220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spans="1:16" ht="30" hidden="1" customHeight="1" x14ac:dyDescent="0.2">
      <c r="A312" s="7" t="s">
        <v>59</v>
      </c>
      <c r="B312" s="7" t="s">
        <v>87</v>
      </c>
      <c r="C312" s="7" t="s">
        <v>94</v>
      </c>
      <c r="D312" s="7" t="s">
        <v>221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pans="1:16" ht="30" hidden="1" customHeight="1" x14ac:dyDescent="0.2">
      <c r="A313" s="7" t="s">
        <v>59</v>
      </c>
      <c r="B313" s="7" t="s">
        <v>87</v>
      </c>
      <c r="C313" s="7" t="s">
        <v>94</v>
      </c>
      <c r="D313" s="7" t="s">
        <v>222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1:16" ht="30" hidden="1" customHeight="1" x14ac:dyDescent="0.2">
      <c r="A314" s="7" t="s">
        <v>59</v>
      </c>
      <c r="B314" s="7" t="s">
        <v>87</v>
      </c>
      <c r="C314" s="7" t="s">
        <v>95</v>
      </c>
      <c r="D314" s="7" t="s">
        <v>219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pans="1:16" ht="30" hidden="1" customHeight="1" x14ac:dyDescent="0.2">
      <c r="A315" s="7" t="s">
        <v>59</v>
      </c>
      <c r="B315" s="7" t="s">
        <v>87</v>
      </c>
      <c r="C315" s="7" t="s">
        <v>95</v>
      </c>
      <c r="D315" s="7" t="s">
        <v>220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spans="1:16" ht="30" hidden="1" customHeight="1" x14ac:dyDescent="0.2">
      <c r="A316" s="7" t="s">
        <v>59</v>
      </c>
      <c r="B316" s="7" t="s">
        <v>87</v>
      </c>
      <c r="C316" s="7" t="s">
        <v>95</v>
      </c>
      <c r="D316" s="7" t="s">
        <v>221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spans="1:16" ht="30" hidden="1" customHeight="1" x14ac:dyDescent="0.2">
      <c r="A317" s="7" t="s">
        <v>59</v>
      </c>
      <c r="B317" s="7" t="s">
        <v>87</v>
      </c>
      <c r="C317" s="7" t="s">
        <v>95</v>
      </c>
      <c r="D317" s="7" t="s">
        <v>222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pans="1:16" ht="30" hidden="1" customHeight="1" x14ac:dyDescent="0.2">
      <c r="A318" s="7" t="s">
        <v>59</v>
      </c>
      <c r="B318" s="7" t="s">
        <v>87</v>
      </c>
      <c r="C318" s="7" t="s">
        <v>97</v>
      </c>
      <c r="D318" s="7" t="s">
        <v>219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spans="1:16" ht="30" hidden="1" customHeight="1" x14ac:dyDescent="0.2">
      <c r="A319" s="7" t="s">
        <v>59</v>
      </c>
      <c r="B319" s="7" t="s">
        <v>87</v>
      </c>
      <c r="C319" s="7" t="s">
        <v>97</v>
      </c>
      <c r="D319" s="7" t="s">
        <v>220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pans="1:16" ht="30" hidden="1" customHeight="1" x14ac:dyDescent="0.2">
      <c r="A320" s="7" t="s">
        <v>59</v>
      </c>
      <c r="B320" s="7" t="s">
        <v>87</v>
      </c>
      <c r="C320" s="7" t="s">
        <v>97</v>
      </c>
      <c r="D320" s="7" t="s">
        <v>221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spans="1:16" ht="30" hidden="1" customHeight="1" x14ac:dyDescent="0.2">
      <c r="A321" s="7" t="s">
        <v>59</v>
      </c>
      <c r="B321" s="7" t="s">
        <v>87</v>
      </c>
      <c r="C321" s="7" t="s">
        <v>97</v>
      </c>
      <c r="D321" s="7" t="s">
        <v>222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spans="1:16" ht="30" hidden="1" customHeight="1" x14ac:dyDescent="0.2">
      <c r="A322" s="7" t="s">
        <v>59</v>
      </c>
      <c r="B322" s="7" t="s">
        <v>87</v>
      </c>
      <c r="C322" s="7" t="s">
        <v>96</v>
      </c>
      <c r="D322" s="7" t="s">
        <v>219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1:16" ht="30" hidden="1" customHeight="1" x14ac:dyDescent="0.2">
      <c r="A323" s="7" t="s">
        <v>59</v>
      </c>
      <c r="B323" s="7" t="s">
        <v>87</v>
      </c>
      <c r="C323" s="7" t="s">
        <v>96</v>
      </c>
      <c r="D323" s="7" t="s">
        <v>220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spans="1:16" ht="30" hidden="1" customHeight="1" x14ac:dyDescent="0.2">
      <c r="A324" s="7" t="s">
        <v>59</v>
      </c>
      <c r="B324" s="7" t="s">
        <v>87</v>
      </c>
      <c r="C324" s="7" t="s">
        <v>96</v>
      </c>
      <c r="D324" s="7" t="s">
        <v>221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pans="1:16" ht="30" hidden="1" customHeight="1" x14ac:dyDescent="0.2">
      <c r="A325" s="7" t="s">
        <v>59</v>
      </c>
      <c r="B325" s="7" t="s">
        <v>87</v>
      </c>
      <c r="C325" s="7" t="s">
        <v>96</v>
      </c>
      <c r="D325" s="7" t="s">
        <v>222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pans="1:16" ht="30" hidden="1" customHeight="1" x14ac:dyDescent="0.2">
      <c r="A326" s="7" t="s">
        <v>59</v>
      </c>
      <c r="B326" s="7" t="s">
        <v>64</v>
      </c>
      <c r="C326" s="7" t="s">
        <v>71</v>
      </c>
      <c r="D326" s="7" t="s">
        <v>219</v>
      </c>
      <c r="E326" s="7"/>
      <c r="F326" s="8"/>
      <c r="G326" s="7"/>
      <c r="H326" s="7"/>
      <c r="I326" s="8"/>
      <c r="J326" s="8"/>
      <c r="K326" s="8"/>
      <c r="L326" s="8"/>
      <c r="M326" s="9"/>
      <c r="N326" s="8"/>
      <c r="O326" s="10"/>
      <c r="P326" s="11"/>
    </row>
    <row r="327" spans="1:16" ht="30" hidden="1" customHeight="1" x14ac:dyDescent="0.2">
      <c r="A327" s="7" t="s">
        <v>59</v>
      </c>
      <c r="B327" s="7" t="s">
        <v>64</v>
      </c>
      <c r="C327" s="7" t="s">
        <v>71</v>
      </c>
      <c r="D327" s="7" t="s">
        <v>220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spans="1:16" ht="30" hidden="1" customHeight="1" x14ac:dyDescent="0.2">
      <c r="A328" s="7" t="s">
        <v>59</v>
      </c>
      <c r="B328" s="7" t="s">
        <v>64</v>
      </c>
      <c r="C328" s="7" t="s">
        <v>71</v>
      </c>
      <c r="D328" s="7" t="s">
        <v>221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spans="1:16" ht="30" hidden="1" customHeight="1" x14ac:dyDescent="0.2">
      <c r="A329" s="7" t="s">
        <v>59</v>
      </c>
      <c r="B329" s="7" t="s">
        <v>64</v>
      </c>
      <c r="C329" s="7" t="s">
        <v>71</v>
      </c>
      <c r="D329" s="7" t="s">
        <v>222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pans="1:16" ht="30" hidden="1" customHeight="1" x14ac:dyDescent="0.2">
      <c r="A330" s="7" t="s">
        <v>59</v>
      </c>
      <c r="B330" s="7" t="s">
        <v>64</v>
      </c>
      <c r="C330" s="7" t="s">
        <v>72</v>
      </c>
      <c r="D330" s="7" t="s">
        <v>219</v>
      </c>
      <c r="E330" s="7"/>
      <c r="F330" s="8"/>
      <c r="G330" s="7"/>
      <c r="H330" s="7"/>
      <c r="I330" s="8"/>
      <c r="J330" s="8"/>
      <c r="K330" s="8"/>
      <c r="L330" s="8"/>
      <c r="M330" s="9"/>
      <c r="N330" s="8"/>
      <c r="O330" s="10"/>
      <c r="P330" s="10"/>
    </row>
    <row r="331" spans="1:16" ht="30" hidden="1" customHeight="1" x14ac:dyDescent="0.2">
      <c r="A331" s="7" t="s">
        <v>59</v>
      </c>
      <c r="B331" s="7" t="s">
        <v>64</v>
      </c>
      <c r="C331" s="7" t="s">
        <v>72</v>
      </c>
      <c r="D331" s="7" t="s">
        <v>220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1:16" ht="30" hidden="1" customHeight="1" x14ac:dyDescent="0.2">
      <c r="A332" s="7" t="s">
        <v>59</v>
      </c>
      <c r="B332" s="7" t="s">
        <v>64</v>
      </c>
      <c r="C332" s="7" t="s">
        <v>72</v>
      </c>
      <c r="D332" s="7" t="s">
        <v>221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pans="1:16" ht="30" hidden="1" customHeight="1" x14ac:dyDescent="0.2">
      <c r="A333" s="7" t="s">
        <v>59</v>
      </c>
      <c r="B333" s="7" t="s">
        <v>64</v>
      </c>
      <c r="C333" s="7" t="s">
        <v>72</v>
      </c>
      <c r="D333" s="7" t="s">
        <v>222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pans="1:16" ht="30" hidden="1" customHeight="1" x14ac:dyDescent="0.2">
      <c r="A334" s="7" t="s">
        <v>59</v>
      </c>
      <c r="B334" s="7" t="s">
        <v>64</v>
      </c>
      <c r="C334" s="7" t="s">
        <v>73</v>
      </c>
      <c r="D334" s="7" t="s">
        <v>219</v>
      </c>
      <c r="E334" s="7"/>
      <c r="F334" s="8"/>
      <c r="G334" s="7"/>
      <c r="H334" s="7"/>
      <c r="I334" s="8"/>
      <c r="J334" s="8"/>
      <c r="K334" s="8"/>
      <c r="L334" s="8"/>
      <c r="M334" s="9"/>
      <c r="N334" s="8"/>
      <c r="O334" s="10"/>
      <c r="P334" s="10"/>
    </row>
    <row r="335" spans="1:16" ht="30" hidden="1" customHeight="1" x14ac:dyDescent="0.2">
      <c r="A335" s="7" t="s">
        <v>59</v>
      </c>
      <c r="B335" s="7" t="s">
        <v>64</v>
      </c>
      <c r="C335" s="7" t="s">
        <v>73</v>
      </c>
      <c r="D335" s="7" t="s">
        <v>220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pans="1:16" ht="30" hidden="1" customHeight="1" x14ac:dyDescent="0.2">
      <c r="A336" s="7" t="s">
        <v>59</v>
      </c>
      <c r="B336" s="7" t="s">
        <v>64</v>
      </c>
      <c r="C336" s="7" t="s">
        <v>73</v>
      </c>
      <c r="D336" s="7" t="s">
        <v>221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pans="1:16" ht="30" hidden="1" customHeight="1" x14ac:dyDescent="0.2">
      <c r="A337" s="7" t="s">
        <v>59</v>
      </c>
      <c r="B337" s="7" t="s">
        <v>64</v>
      </c>
      <c r="C337" s="7" t="s">
        <v>73</v>
      </c>
      <c r="D337" s="7" t="s">
        <v>222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pans="1:16" ht="30" hidden="1" customHeight="1" x14ac:dyDescent="0.2">
      <c r="A338" s="7" t="s">
        <v>59</v>
      </c>
      <c r="B338" s="7" t="s">
        <v>105</v>
      </c>
      <c r="C338" s="7" t="s">
        <v>107</v>
      </c>
      <c r="D338" s="7" t="s">
        <v>219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spans="1:16" ht="30" hidden="1" customHeight="1" x14ac:dyDescent="0.2">
      <c r="A339" s="7" t="s">
        <v>59</v>
      </c>
      <c r="B339" s="7" t="s">
        <v>105</v>
      </c>
      <c r="C339" s="7" t="s">
        <v>107</v>
      </c>
      <c r="D339" s="7" t="s">
        <v>220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spans="1:16" ht="30" hidden="1" customHeight="1" x14ac:dyDescent="0.2">
      <c r="A340" s="7" t="s">
        <v>59</v>
      </c>
      <c r="B340" s="7" t="s">
        <v>105</v>
      </c>
      <c r="C340" s="7" t="s">
        <v>107</v>
      </c>
      <c r="D340" s="7" t="s">
        <v>221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1:16" ht="30" hidden="1" customHeight="1" x14ac:dyDescent="0.2">
      <c r="A341" s="7" t="s">
        <v>59</v>
      </c>
      <c r="B341" s="7" t="s">
        <v>105</v>
      </c>
      <c r="C341" s="7" t="s">
        <v>107</v>
      </c>
      <c r="D341" s="7" t="s">
        <v>222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pans="1:16" ht="30" hidden="1" customHeight="1" x14ac:dyDescent="0.2">
      <c r="A342" s="7" t="s">
        <v>59</v>
      </c>
      <c r="B342" s="7" t="s">
        <v>105</v>
      </c>
      <c r="C342" s="7" t="s">
        <v>106</v>
      </c>
      <c r="D342" s="7" t="s">
        <v>219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1:16" ht="30" hidden="1" customHeight="1" x14ac:dyDescent="0.2">
      <c r="A343" s="7" t="s">
        <v>59</v>
      </c>
      <c r="B343" s="7" t="s">
        <v>105</v>
      </c>
      <c r="C343" s="7" t="s">
        <v>106</v>
      </c>
      <c r="D343" s="7" t="s">
        <v>220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1:16" ht="30" hidden="1" customHeight="1" x14ac:dyDescent="0.2">
      <c r="A344" s="7" t="s">
        <v>59</v>
      </c>
      <c r="B344" s="7" t="s">
        <v>105</v>
      </c>
      <c r="C344" s="7" t="s">
        <v>106</v>
      </c>
      <c r="D344" s="7" t="s">
        <v>221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pans="1:16" ht="30" hidden="1" customHeight="1" x14ac:dyDescent="0.2">
      <c r="A345" s="7" t="s">
        <v>59</v>
      </c>
      <c r="B345" s="7" t="s">
        <v>105</v>
      </c>
      <c r="C345" s="7" t="s">
        <v>106</v>
      </c>
      <c r="D345" s="7" t="s">
        <v>222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pans="1:16" ht="30" hidden="1" customHeight="1" x14ac:dyDescent="0.2">
      <c r="A346" s="7" t="s">
        <v>59</v>
      </c>
      <c r="B346" s="7" t="s">
        <v>105</v>
      </c>
      <c r="C346" s="7" t="s">
        <v>108</v>
      </c>
      <c r="D346" s="7" t="s">
        <v>219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1:16" ht="30" hidden="1" customHeight="1" x14ac:dyDescent="0.2">
      <c r="A347" s="7" t="s">
        <v>59</v>
      </c>
      <c r="B347" s="7" t="s">
        <v>105</v>
      </c>
      <c r="C347" s="7" t="s">
        <v>108</v>
      </c>
      <c r="D347" s="7" t="s">
        <v>220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1:16" ht="30" hidden="1" customHeight="1" x14ac:dyDescent="0.2">
      <c r="A348" s="7" t="s">
        <v>59</v>
      </c>
      <c r="B348" s="7" t="s">
        <v>105</v>
      </c>
      <c r="C348" s="7" t="s">
        <v>108</v>
      </c>
      <c r="D348" s="7" t="s">
        <v>221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pans="1:16" ht="30" hidden="1" customHeight="1" x14ac:dyDescent="0.2">
      <c r="A349" s="7" t="s">
        <v>59</v>
      </c>
      <c r="B349" s="7" t="s">
        <v>105</v>
      </c>
      <c r="C349" s="7" t="s">
        <v>108</v>
      </c>
      <c r="D349" s="7" t="s">
        <v>222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 ht="30" hidden="1" customHeight="1" x14ac:dyDescent="0.2">
      <c r="A350" s="7" t="s">
        <v>59</v>
      </c>
      <c r="B350" s="7" t="s">
        <v>105</v>
      </c>
      <c r="C350" s="7" t="s">
        <v>109</v>
      </c>
      <c r="D350" s="7" t="s">
        <v>219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 ht="30" hidden="1" customHeight="1" x14ac:dyDescent="0.2">
      <c r="A351" s="7" t="s">
        <v>59</v>
      </c>
      <c r="B351" s="7" t="s">
        <v>105</v>
      </c>
      <c r="C351" s="7" t="s">
        <v>109</v>
      </c>
      <c r="D351" s="7" t="s">
        <v>220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1:16" ht="30" hidden="1" customHeight="1" x14ac:dyDescent="0.2">
      <c r="A352" s="7" t="s">
        <v>59</v>
      </c>
      <c r="B352" s="7" t="s">
        <v>105</v>
      </c>
      <c r="C352" s="7" t="s">
        <v>109</v>
      </c>
      <c r="D352" s="7" t="s">
        <v>221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1:16" ht="30" hidden="1" customHeight="1" x14ac:dyDescent="0.2">
      <c r="A353" s="7" t="s">
        <v>59</v>
      </c>
      <c r="B353" s="7" t="s">
        <v>105</v>
      </c>
      <c r="C353" s="7" t="s">
        <v>109</v>
      </c>
      <c r="D353" s="7" t="s">
        <v>222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1:16" ht="30" hidden="1" customHeight="1" x14ac:dyDescent="0.2">
      <c r="A354" s="7" t="s">
        <v>59</v>
      </c>
      <c r="B354" s="7" t="s">
        <v>105</v>
      </c>
      <c r="C354" s="7" t="s">
        <v>110</v>
      </c>
      <c r="D354" s="7" t="s">
        <v>219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spans="1:16" ht="30" hidden="1" customHeight="1" x14ac:dyDescent="0.2">
      <c r="A355" s="7" t="s">
        <v>59</v>
      </c>
      <c r="B355" s="7" t="s">
        <v>105</v>
      </c>
      <c r="C355" s="7" t="s">
        <v>110</v>
      </c>
      <c r="D355" s="7" t="s">
        <v>220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spans="1:16" ht="30" hidden="1" customHeight="1" x14ac:dyDescent="0.2">
      <c r="A356" s="7" t="s">
        <v>59</v>
      </c>
      <c r="B356" s="7" t="s">
        <v>105</v>
      </c>
      <c r="C356" s="7" t="s">
        <v>110</v>
      </c>
      <c r="D356" s="7" t="s">
        <v>221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spans="1:16" ht="30" hidden="1" customHeight="1" x14ac:dyDescent="0.2">
      <c r="A357" s="7" t="s">
        <v>59</v>
      </c>
      <c r="B357" s="7" t="s">
        <v>105</v>
      </c>
      <c r="C357" s="7" t="s">
        <v>110</v>
      </c>
      <c r="D357" s="7" t="s">
        <v>222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spans="1:16" ht="30" hidden="1" customHeight="1" x14ac:dyDescent="0.2">
      <c r="A358" s="7" t="s">
        <v>59</v>
      </c>
      <c r="B358" s="7" t="s">
        <v>112</v>
      </c>
      <c r="C358" s="7" t="s">
        <v>111</v>
      </c>
      <c r="D358" s="7" t="s">
        <v>219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pans="1:16" ht="30" hidden="1" customHeight="1" x14ac:dyDescent="0.2">
      <c r="A359" s="7" t="s">
        <v>59</v>
      </c>
      <c r="B359" s="7" t="s">
        <v>112</v>
      </c>
      <c r="C359" s="7" t="s">
        <v>111</v>
      </c>
      <c r="D359" s="7" t="s">
        <v>220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spans="1:16" ht="30" hidden="1" customHeight="1" x14ac:dyDescent="0.2">
      <c r="A360" s="7" t="s">
        <v>59</v>
      </c>
      <c r="B360" s="7" t="s">
        <v>112</v>
      </c>
      <c r="C360" s="7" t="s">
        <v>111</v>
      </c>
      <c r="D360" s="7" t="s">
        <v>221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spans="1:16" ht="30" hidden="1" customHeight="1" x14ac:dyDescent="0.2">
      <c r="A361" s="7" t="s">
        <v>59</v>
      </c>
      <c r="B361" s="7" t="s">
        <v>112</v>
      </c>
      <c r="C361" s="7" t="s">
        <v>111</v>
      </c>
      <c r="D361" s="7" t="s">
        <v>222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spans="1:16" ht="30" hidden="1" customHeight="1" x14ac:dyDescent="0.2">
      <c r="A362" s="7" t="s">
        <v>59</v>
      </c>
      <c r="B362" s="7" t="s">
        <v>112</v>
      </c>
      <c r="C362" s="7" t="s">
        <v>113</v>
      </c>
      <c r="D362" s="7" t="s">
        <v>219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spans="1:16" ht="30" hidden="1" customHeight="1" x14ac:dyDescent="0.2">
      <c r="A363" s="7" t="s">
        <v>59</v>
      </c>
      <c r="B363" s="7" t="s">
        <v>112</v>
      </c>
      <c r="C363" s="7" t="s">
        <v>113</v>
      </c>
      <c r="D363" s="7" t="s">
        <v>220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spans="1:16" ht="30" hidden="1" customHeight="1" x14ac:dyDescent="0.2">
      <c r="A364" s="7" t="s">
        <v>59</v>
      </c>
      <c r="B364" s="7" t="s">
        <v>112</v>
      </c>
      <c r="C364" s="7" t="s">
        <v>113</v>
      </c>
      <c r="D364" s="7" t="s">
        <v>221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spans="1:16" ht="30" hidden="1" customHeight="1" x14ac:dyDescent="0.2">
      <c r="A365" s="7" t="s">
        <v>59</v>
      </c>
      <c r="B365" s="7" t="s">
        <v>112</v>
      </c>
      <c r="C365" s="7" t="s">
        <v>113</v>
      </c>
      <c r="D365" s="7" t="s">
        <v>222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spans="1:16" ht="30" hidden="1" customHeight="1" x14ac:dyDescent="0.2">
      <c r="A366" s="7" t="s">
        <v>59</v>
      </c>
      <c r="B366" s="7" t="s">
        <v>112</v>
      </c>
      <c r="C366" s="7" t="s">
        <v>114</v>
      </c>
      <c r="D366" s="7" t="s">
        <v>219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spans="1:16" ht="30" hidden="1" customHeight="1" x14ac:dyDescent="0.2">
      <c r="A367" s="7" t="s">
        <v>59</v>
      </c>
      <c r="B367" s="7" t="s">
        <v>112</v>
      </c>
      <c r="C367" s="7" t="s">
        <v>114</v>
      </c>
      <c r="D367" s="7" t="s">
        <v>220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spans="1:16" ht="30" hidden="1" customHeight="1" x14ac:dyDescent="0.2">
      <c r="A368" s="7" t="s">
        <v>59</v>
      </c>
      <c r="B368" s="7" t="s">
        <v>112</v>
      </c>
      <c r="C368" s="7" t="s">
        <v>114</v>
      </c>
      <c r="D368" s="7" t="s">
        <v>221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spans="1:16" ht="30" hidden="1" customHeight="1" x14ac:dyDescent="0.2">
      <c r="A369" s="7" t="s">
        <v>59</v>
      </c>
      <c r="B369" s="7" t="s">
        <v>112</v>
      </c>
      <c r="C369" s="7" t="s">
        <v>114</v>
      </c>
      <c r="D369" s="7" t="s">
        <v>222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spans="1:16" ht="30" hidden="1" customHeight="1" x14ac:dyDescent="0.2">
      <c r="A370" s="7" t="s">
        <v>59</v>
      </c>
      <c r="B370" s="7" t="s">
        <v>112</v>
      </c>
      <c r="C370" s="7" t="s">
        <v>117</v>
      </c>
      <c r="D370" s="7" t="s">
        <v>219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spans="1:16" ht="30" hidden="1" customHeight="1" x14ac:dyDescent="0.2">
      <c r="A371" s="7" t="s">
        <v>59</v>
      </c>
      <c r="B371" s="7" t="s">
        <v>112</v>
      </c>
      <c r="C371" s="7" t="s">
        <v>117</v>
      </c>
      <c r="D371" s="7" t="s">
        <v>220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spans="1:16" ht="30" hidden="1" customHeight="1" x14ac:dyDescent="0.2">
      <c r="A372" s="7" t="s">
        <v>59</v>
      </c>
      <c r="B372" s="7" t="s">
        <v>112</v>
      </c>
      <c r="C372" s="7" t="s">
        <v>117</v>
      </c>
      <c r="D372" s="7" t="s">
        <v>221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spans="1:16" ht="30" hidden="1" customHeight="1" x14ac:dyDescent="0.2">
      <c r="A373" s="7" t="s">
        <v>59</v>
      </c>
      <c r="B373" s="7" t="s">
        <v>112</v>
      </c>
      <c r="C373" s="7" t="s">
        <v>117</v>
      </c>
      <c r="D373" s="7" t="s">
        <v>222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spans="1:16" ht="30" hidden="1" customHeight="1" x14ac:dyDescent="0.2">
      <c r="A374" s="7" t="s">
        <v>59</v>
      </c>
      <c r="B374" s="7" t="s">
        <v>112</v>
      </c>
      <c r="C374" s="7" t="s">
        <v>115</v>
      </c>
      <c r="D374" s="7" t="s">
        <v>219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spans="1:16" ht="30" hidden="1" customHeight="1" x14ac:dyDescent="0.2">
      <c r="A375" s="7" t="s">
        <v>59</v>
      </c>
      <c r="B375" s="7" t="s">
        <v>112</v>
      </c>
      <c r="C375" s="7" t="s">
        <v>115</v>
      </c>
      <c r="D375" s="7" t="s">
        <v>220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spans="1:16" ht="30" hidden="1" customHeight="1" x14ac:dyDescent="0.2">
      <c r="A376" s="7" t="s">
        <v>59</v>
      </c>
      <c r="B376" s="7" t="s">
        <v>112</v>
      </c>
      <c r="C376" s="7" t="s">
        <v>115</v>
      </c>
      <c r="D376" s="7" t="s">
        <v>221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spans="1:16" ht="30" hidden="1" customHeight="1" x14ac:dyDescent="0.2">
      <c r="A377" s="7" t="s">
        <v>59</v>
      </c>
      <c r="B377" s="7" t="s">
        <v>112</v>
      </c>
      <c r="C377" s="7" t="s">
        <v>115</v>
      </c>
      <c r="D377" s="7" t="s">
        <v>222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spans="1:16" ht="30" hidden="1" customHeight="1" x14ac:dyDescent="0.2">
      <c r="A378" s="7" t="s">
        <v>59</v>
      </c>
      <c r="B378" s="7" t="s">
        <v>112</v>
      </c>
      <c r="C378" s="7" t="s">
        <v>116</v>
      </c>
      <c r="D378" s="7" t="s">
        <v>219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spans="1:16" ht="30" hidden="1" customHeight="1" x14ac:dyDescent="0.2">
      <c r="A379" s="7" t="s">
        <v>59</v>
      </c>
      <c r="B379" s="7" t="s">
        <v>112</v>
      </c>
      <c r="C379" s="7" t="s">
        <v>116</v>
      </c>
      <c r="D379" s="7" t="s">
        <v>220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spans="1:16" ht="30" hidden="1" customHeight="1" x14ac:dyDescent="0.2">
      <c r="A380" s="7" t="s">
        <v>59</v>
      </c>
      <c r="B380" s="7" t="s">
        <v>112</v>
      </c>
      <c r="C380" s="7" t="s">
        <v>116</v>
      </c>
      <c r="D380" s="7" t="s">
        <v>221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spans="1:16" ht="30" hidden="1" customHeight="1" x14ac:dyDescent="0.2">
      <c r="A381" s="7" t="s">
        <v>59</v>
      </c>
      <c r="B381" s="7" t="s">
        <v>112</v>
      </c>
      <c r="C381" s="7" t="s">
        <v>116</v>
      </c>
      <c r="D381" s="7" t="s">
        <v>222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spans="1:16" ht="30" hidden="1" customHeight="1" x14ac:dyDescent="0.2">
      <c r="A382" s="7" t="s">
        <v>59</v>
      </c>
      <c r="B382" s="7" t="s">
        <v>112</v>
      </c>
      <c r="C382" s="7" t="s">
        <v>118</v>
      </c>
      <c r="D382" s="7" t="s">
        <v>219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spans="1:16" ht="30" hidden="1" customHeight="1" x14ac:dyDescent="0.2">
      <c r="A383" s="7" t="s">
        <v>59</v>
      </c>
      <c r="B383" s="7" t="s">
        <v>112</v>
      </c>
      <c r="C383" s="7" t="s">
        <v>118</v>
      </c>
      <c r="D383" s="7" t="s">
        <v>220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spans="1:16" ht="30" hidden="1" customHeight="1" x14ac:dyDescent="0.2">
      <c r="A384" s="7" t="s">
        <v>59</v>
      </c>
      <c r="B384" s="7" t="s">
        <v>112</v>
      </c>
      <c r="C384" s="7" t="s">
        <v>118</v>
      </c>
      <c r="D384" s="7" t="s">
        <v>221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spans="1:16" ht="30" hidden="1" customHeight="1" x14ac:dyDescent="0.2">
      <c r="A385" s="7" t="s">
        <v>59</v>
      </c>
      <c r="B385" s="7" t="s">
        <v>112</v>
      </c>
      <c r="C385" s="7" t="s">
        <v>118</v>
      </c>
      <c r="D385" s="7" t="s">
        <v>222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spans="1:16" ht="30" hidden="1" customHeight="1" x14ac:dyDescent="0.2">
      <c r="A386" s="7" t="s">
        <v>59</v>
      </c>
      <c r="B386" s="7" t="s">
        <v>112</v>
      </c>
      <c r="C386" s="7" t="s">
        <v>121</v>
      </c>
      <c r="D386" s="7" t="s">
        <v>219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spans="1:16" ht="30" hidden="1" customHeight="1" x14ac:dyDescent="0.2">
      <c r="A387" s="7" t="s">
        <v>59</v>
      </c>
      <c r="B387" s="7" t="s">
        <v>112</v>
      </c>
      <c r="C387" s="7" t="s">
        <v>121</v>
      </c>
      <c r="D387" s="7" t="s">
        <v>220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spans="1:16" ht="30" hidden="1" customHeight="1" x14ac:dyDescent="0.2">
      <c r="A388" s="7" t="s">
        <v>59</v>
      </c>
      <c r="B388" s="7" t="s">
        <v>112</v>
      </c>
      <c r="C388" s="7" t="s">
        <v>121</v>
      </c>
      <c r="D388" s="7" t="s">
        <v>221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spans="1:16" ht="30" hidden="1" customHeight="1" x14ac:dyDescent="0.2">
      <c r="A389" s="7" t="s">
        <v>59</v>
      </c>
      <c r="B389" s="7" t="s">
        <v>112</v>
      </c>
      <c r="C389" s="7" t="s">
        <v>121</v>
      </c>
      <c r="D389" s="7" t="s">
        <v>222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 ht="30" hidden="1" customHeight="1" x14ac:dyDescent="0.2">
      <c r="A390" s="7" t="s">
        <v>59</v>
      </c>
      <c r="B390" s="7" t="s">
        <v>112</v>
      </c>
      <c r="C390" s="7" t="s">
        <v>122</v>
      </c>
      <c r="D390" s="7" t="s">
        <v>219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spans="1:16" ht="30" hidden="1" customHeight="1" x14ac:dyDescent="0.2">
      <c r="A391" s="7" t="s">
        <v>59</v>
      </c>
      <c r="B391" s="7" t="s">
        <v>112</v>
      </c>
      <c r="C391" s="7" t="s">
        <v>122</v>
      </c>
      <c r="D391" s="7" t="s">
        <v>220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spans="1:16" ht="30" hidden="1" customHeight="1" x14ac:dyDescent="0.2">
      <c r="A392" s="7" t="s">
        <v>59</v>
      </c>
      <c r="B392" s="7" t="s">
        <v>112</v>
      </c>
      <c r="C392" s="7" t="s">
        <v>122</v>
      </c>
      <c r="D392" s="7" t="s">
        <v>221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spans="1:16" ht="30" hidden="1" customHeight="1" x14ac:dyDescent="0.2">
      <c r="A393" s="7" t="s">
        <v>59</v>
      </c>
      <c r="B393" s="7" t="s">
        <v>112</v>
      </c>
      <c r="C393" s="7" t="s">
        <v>122</v>
      </c>
      <c r="D393" s="7" t="s">
        <v>222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spans="1:16" ht="30" hidden="1" customHeight="1" x14ac:dyDescent="0.2">
      <c r="A394" s="7" t="s">
        <v>59</v>
      </c>
      <c r="B394" s="7" t="s">
        <v>112</v>
      </c>
      <c r="C394" s="7" t="s">
        <v>119</v>
      </c>
      <c r="D394" s="7" t="s">
        <v>219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spans="1:16" ht="30" hidden="1" customHeight="1" x14ac:dyDescent="0.2">
      <c r="A395" s="7" t="s">
        <v>59</v>
      </c>
      <c r="B395" s="7" t="s">
        <v>112</v>
      </c>
      <c r="C395" s="7" t="s">
        <v>119</v>
      </c>
      <c r="D395" s="7" t="s">
        <v>220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spans="1:16" ht="30" hidden="1" customHeight="1" x14ac:dyDescent="0.2">
      <c r="A396" s="7" t="s">
        <v>59</v>
      </c>
      <c r="B396" s="7" t="s">
        <v>112</v>
      </c>
      <c r="C396" s="7" t="s">
        <v>119</v>
      </c>
      <c r="D396" s="7" t="s">
        <v>221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spans="1:16" ht="30" hidden="1" customHeight="1" x14ac:dyDescent="0.2">
      <c r="A397" s="7" t="s">
        <v>59</v>
      </c>
      <c r="B397" s="7" t="s">
        <v>112</v>
      </c>
      <c r="C397" s="7" t="s">
        <v>119</v>
      </c>
      <c r="D397" s="7" t="s">
        <v>222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spans="1:16" ht="30" hidden="1" customHeight="1" x14ac:dyDescent="0.2">
      <c r="A398" s="7" t="s">
        <v>59</v>
      </c>
      <c r="B398" s="7" t="s">
        <v>136</v>
      </c>
      <c r="C398" s="7" t="s">
        <v>57</v>
      </c>
      <c r="D398" s="7" t="s">
        <v>219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spans="1:16" ht="30" hidden="1" customHeight="1" x14ac:dyDescent="0.2">
      <c r="A399" s="7" t="s">
        <v>59</v>
      </c>
      <c r="B399" s="7" t="s">
        <v>136</v>
      </c>
      <c r="C399" s="7" t="s">
        <v>57</v>
      </c>
      <c r="D399" s="7" t="s">
        <v>220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spans="1:16" ht="30" hidden="1" customHeight="1" x14ac:dyDescent="0.2">
      <c r="A400" s="7" t="s">
        <v>59</v>
      </c>
      <c r="B400" s="7" t="s">
        <v>136</v>
      </c>
      <c r="C400" s="7" t="s">
        <v>57</v>
      </c>
      <c r="D400" s="7" t="s">
        <v>221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spans="1:16" ht="30" hidden="1" customHeight="1" x14ac:dyDescent="0.2">
      <c r="A401" s="7" t="s">
        <v>59</v>
      </c>
      <c r="B401" s="7" t="s">
        <v>136</v>
      </c>
      <c r="C401" s="7" t="s">
        <v>57</v>
      </c>
      <c r="D401" s="7" t="s">
        <v>222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spans="1:16" ht="30" hidden="1" customHeight="1" x14ac:dyDescent="0.2">
      <c r="A402" s="7" t="s">
        <v>59</v>
      </c>
      <c r="B402" s="7" t="s">
        <v>136</v>
      </c>
      <c r="C402" s="7" t="s">
        <v>57</v>
      </c>
      <c r="D402" s="7" t="s">
        <v>219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spans="1:16" ht="30" hidden="1" customHeight="1" x14ac:dyDescent="0.2">
      <c r="A403" s="7" t="s">
        <v>59</v>
      </c>
      <c r="B403" s="7" t="s">
        <v>136</v>
      </c>
      <c r="C403" s="7" t="s">
        <v>57</v>
      </c>
      <c r="D403" s="7" t="s">
        <v>220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spans="1:16" ht="30" hidden="1" customHeight="1" x14ac:dyDescent="0.2">
      <c r="A404" s="7" t="s">
        <v>59</v>
      </c>
      <c r="B404" s="7" t="s">
        <v>136</v>
      </c>
      <c r="C404" s="7" t="s">
        <v>57</v>
      </c>
      <c r="D404" s="7" t="s">
        <v>221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spans="1:16" ht="30" hidden="1" customHeight="1" x14ac:dyDescent="0.2">
      <c r="A405" s="7" t="s">
        <v>59</v>
      </c>
      <c r="B405" s="7" t="s">
        <v>136</v>
      </c>
      <c r="C405" s="7" t="s">
        <v>57</v>
      </c>
      <c r="D405" s="7" t="s">
        <v>222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spans="1:16" ht="30" hidden="1" customHeight="1" x14ac:dyDescent="0.2">
      <c r="A406" s="7" t="s">
        <v>59</v>
      </c>
      <c r="B406" s="7" t="s">
        <v>136</v>
      </c>
      <c r="C406" s="7" t="s">
        <v>137</v>
      </c>
      <c r="D406" s="7" t="s">
        <v>219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spans="1:16" ht="30" hidden="1" customHeight="1" x14ac:dyDescent="0.2">
      <c r="A407" s="7" t="s">
        <v>59</v>
      </c>
      <c r="B407" s="7" t="s">
        <v>136</v>
      </c>
      <c r="C407" s="7" t="s">
        <v>137</v>
      </c>
      <c r="D407" s="7" t="s">
        <v>220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spans="1:16" ht="30" hidden="1" customHeight="1" x14ac:dyDescent="0.2">
      <c r="A408" s="7" t="s">
        <v>59</v>
      </c>
      <c r="B408" s="7" t="s">
        <v>136</v>
      </c>
      <c r="C408" s="7" t="s">
        <v>137</v>
      </c>
      <c r="D408" s="7" t="s">
        <v>221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spans="1:16" ht="30" hidden="1" customHeight="1" x14ac:dyDescent="0.2">
      <c r="A409" s="7" t="s">
        <v>59</v>
      </c>
      <c r="B409" s="7" t="s">
        <v>136</v>
      </c>
      <c r="C409" s="7" t="s">
        <v>137</v>
      </c>
      <c r="D409" s="7" t="s">
        <v>222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spans="1:16" ht="30" hidden="1" customHeight="1" x14ac:dyDescent="0.2">
      <c r="A410" s="7" t="s">
        <v>59</v>
      </c>
      <c r="B410" s="7" t="s">
        <v>136</v>
      </c>
      <c r="C410" s="7" t="s">
        <v>144</v>
      </c>
      <c r="D410" s="7" t="s">
        <v>219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spans="1:16" ht="30" hidden="1" customHeight="1" x14ac:dyDescent="0.2">
      <c r="A411" s="7" t="s">
        <v>59</v>
      </c>
      <c r="B411" s="7" t="s">
        <v>136</v>
      </c>
      <c r="C411" s="7" t="s">
        <v>144</v>
      </c>
      <c r="D411" s="7" t="s">
        <v>220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spans="1:16" ht="30" hidden="1" customHeight="1" x14ac:dyDescent="0.2">
      <c r="A412" s="7" t="s">
        <v>59</v>
      </c>
      <c r="B412" s="7" t="s">
        <v>136</v>
      </c>
      <c r="C412" s="7" t="s">
        <v>144</v>
      </c>
      <c r="D412" s="7" t="s">
        <v>221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spans="1:16" ht="30" hidden="1" customHeight="1" x14ac:dyDescent="0.2">
      <c r="A413" s="7" t="s">
        <v>59</v>
      </c>
      <c r="B413" s="7" t="s">
        <v>136</v>
      </c>
      <c r="C413" s="7" t="s">
        <v>144</v>
      </c>
      <c r="D413" s="7" t="s">
        <v>222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spans="1:16" ht="30" hidden="1" customHeight="1" x14ac:dyDescent="0.2">
      <c r="A414" s="7" t="s">
        <v>59</v>
      </c>
      <c r="B414" s="7" t="s">
        <v>136</v>
      </c>
      <c r="C414" s="7" t="s">
        <v>145</v>
      </c>
      <c r="D414" s="7" t="s">
        <v>219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spans="1:16" ht="30" hidden="1" customHeight="1" x14ac:dyDescent="0.2">
      <c r="A415" s="7" t="s">
        <v>59</v>
      </c>
      <c r="B415" s="7" t="s">
        <v>136</v>
      </c>
      <c r="C415" s="7" t="s">
        <v>145</v>
      </c>
      <c r="D415" s="7" t="s">
        <v>220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spans="1:16" ht="30" hidden="1" customHeight="1" x14ac:dyDescent="0.2">
      <c r="A416" s="7" t="s">
        <v>59</v>
      </c>
      <c r="B416" s="7" t="s">
        <v>136</v>
      </c>
      <c r="C416" s="7" t="s">
        <v>145</v>
      </c>
      <c r="D416" s="7" t="s">
        <v>221</v>
      </c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spans="1:16" ht="30" hidden="1" customHeight="1" x14ac:dyDescent="0.2">
      <c r="A417" s="7" t="s">
        <v>59</v>
      </c>
      <c r="B417" s="7" t="s">
        <v>136</v>
      </c>
      <c r="C417" s="7" t="s">
        <v>145</v>
      </c>
      <c r="D417" s="7" t="s">
        <v>222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spans="1:16" ht="30" hidden="1" customHeight="1" x14ac:dyDescent="0.2">
      <c r="A418" s="7" t="s">
        <v>59</v>
      </c>
      <c r="B418" s="7" t="s">
        <v>136</v>
      </c>
      <c r="C418" s="7" t="s">
        <v>146</v>
      </c>
      <c r="D418" s="7" t="s">
        <v>219</v>
      </c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spans="1:16" ht="30" hidden="1" customHeight="1" x14ac:dyDescent="0.2">
      <c r="A419" s="7" t="s">
        <v>59</v>
      </c>
      <c r="B419" s="7" t="s">
        <v>136</v>
      </c>
      <c r="C419" s="7" t="s">
        <v>146</v>
      </c>
      <c r="D419" s="7" t="s">
        <v>220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spans="1:16" ht="30" hidden="1" customHeight="1" x14ac:dyDescent="0.2">
      <c r="A420" s="7" t="s">
        <v>59</v>
      </c>
      <c r="B420" s="7" t="s">
        <v>136</v>
      </c>
      <c r="C420" s="7" t="s">
        <v>146</v>
      </c>
      <c r="D420" s="7" t="s">
        <v>221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spans="1:16" ht="30" hidden="1" customHeight="1" x14ac:dyDescent="0.2">
      <c r="A421" s="7" t="s">
        <v>59</v>
      </c>
      <c r="B421" s="7" t="s">
        <v>136</v>
      </c>
      <c r="C421" s="7" t="s">
        <v>146</v>
      </c>
      <c r="D421" s="7" t="s">
        <v>222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  <row r="422" spans="1:16" ht="30" hidden="1" customHeight="1" x14ac:dyDescent="0.2">
      <c r="A422" s="7" t="s">
        <v>59</v>
      </c>
      <c r="B422" s="7" t="s">
        <v>136</v>
      </c>
      <c r="C422" s="7" t="s">
        <v>147</v>
      </c>
      <c r="D422" s="7" t="s">
        <v>219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</row>
    <row r="423" spans="1:16" ht="30" hidden="1" customHeight="1" x14ac:dyDescent="0.2">
      <c r="A423" s="7" t="s">
        <v>59</v>
      </c>
      <c r="B423" s="7" t="s">
        <v>136</v>
      </c>
      <c r="C423" s="7" t="s">
        <v>147</v>
      </c>
      <c r="D423" s="7" t="s">
        <v>220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</row>
    <row r="424" spans="1:16" ht="30" hidden="1" customHeight="1" x14ac:dyDescent="0.2">
      <c r="A424" s="7" t="s">
        <v>59</v>
      </c>
      <c r="B424" s="7" t="s">
        <v>136</v>
      </c>
      <c r="C424" s="7" t="s">
        <v>147</v>
      </c>
      <c r="D424" s="7" t="s">
        <v>221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</row>
    <row r="425" spans="1:16" ht="30" hidden="1" customHeight="1" x14ac:dyDescent="0.2">
      <c r="A425" s="7" t="s">
        <v>59</v>
      </c>
      <c r="B425" s="7" t="s">
        <v>136</v>
      </c>
      <c r="C425" s="7" t="s">
        <v>147</v>
      </c>
      <c r="D425" s="7" t="s">
        <v>222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</row>
    <row r="426" spans="1:16" ht="30" hidden="1" customHeight="1" x14ac:dyDescent="0.2">
      <c r="A426" s="7" t="s">
        <v>59</v>
      </c>
      <c r="B426" s="7" t="s">
        <v>136</v>
      </c>
      <c r="C426" s="7" t="s">
        <v>148</v>
      </c>
      <c r="D426" s="7" t="s">
        <v>219</v>
      </c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</row>
    <row r="427" spans="1:16" ht="30" hidden="1" customHeight="1" x14ac:dyDescent="0.2">
      <c r="A427" s="7" t="s">
        <v>59</v>
      </c>
      <c r="B427" s="7" t="s">
        <v>136</v>
      </c>
      <c r="C427" s="7" t="s">
        <v>148</v>
      </c>
      <c r="D427" s="7" t="s">
        <v>220</v>
      </c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</row>
    <row r="428" spans="1:16" ht="30" hidden="1" customHeight="1" x14ac:dyDescent="0.2">
      <c r="A428" s="7" t="s">
        <v>59</v>
      </c>
      <c r="B428" s="7" t="s">
        <v>136</v>
      </c>
      <c r="C428" s="7" t="s">
        <v>148</v>
      </c>
      <c r="D428" s="7" t="s">
        <v>221</v>
      </c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</row>
    <row r="429" spans="1:16" ht="30" hidden="1" customHeight="1" x14ac:dyDescent="0.2">
      <c r="A429" s="7" t="s">
        <v>59</v>
      </c>
      <c r="B429" s="7" t="s">
        <v>136</v>
      </c>
      <c r="C429" s="7" t="s">
        <v>148</v>
      </c>
      <c r="D429" s="7" t="s">
        <v>222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</row>
    <row r="430" spans="1:16" ht="30" hidden="1" customHeight="1" x14ac:dyDescent="0.2">
      <c r="A430" s="7" t="s">
        <v>59</v>
      </c>
      <c r="B430" s="7" t="s">
        <v>136</v>
      </c>
      <c r="C430" s="7" t="s">
        <v>134</v>
      </c>
      <c r="D430" s="7" t="s">
        <v>219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</row>
    <row r="431" spans="1:16" ht="30" hidden="1" customHeight="1" x14ac:dyDescent="0.2">
      <c r="A431" s="7" t="s">
        <v>59</v>
      </c>
      <c r="B431" s="7" t="s">
        <v>136</v>
      </c>
      <c r="C431" s="7" t="s">
        <v>134</v>
      </c>
      <c r="D431" s="7" t="s">
        <v>220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</row>
    <row r="432" spans="1:16" ht="30" hidden="1" customHeight="1" x14ac:dyDescent="0.2">
      <c r="A432" s="7" t="s">
        <v>59</v>
      </c>
      <c r="B432" s="7" t="s">
        <v>136</v>
      </c>
      <c r="C432" s="7" t="s">
        <v>134</v>
      </c>
      <c r="D432" s="7" t="s">
        <v>221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</row>
    <row r="433" spans="1:16" ht="30" hidden="1" customHeight="1" x14ac:dyDescent="0.2">
      <c r="A433" s="7" t="s">
        <v>59</v>
      </c>
      <c r="B433" s="7" t="s">
        <v>136</v>
      </c>
      <c r="C433" s="7" t="s">
        <v>134</v>
      </c>
      <c r="D433" s="7" t="s">
        <v>222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</row>
    <row r="434" spans="1:16" ht="30" hidden="1" customHeight="1" x14ac:dyDescent="0.2">
      <c r="A434" s="7" t="s">
        <v>59</v>
      </c>
      <c r="B434" s="7" t="s">
        <v>136</v>
      </c>
      <c r="C434" s="7" t="s">
        <v>138</v>
      </c>
      <c r="D434" s="7" t="s">
        <v>219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</row>
    <row r="435" spans="1:16" ht="30" hidden="1" customHeight="1" x14ac:dyDescent="0.2">
      <c r="A435" s="7" t="s">
        <v>59</v>
      </c>
      <c r="B435" s="7" t="s">
        <v>136</v>
      </c>
      <c r="C435" s="7" t="s">
        <v>138</v>
      </c>
      <c r="D435" s="7" t="s">
        <v>220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</row>
    <row r="436" spans="1:16" ht="30" hidden="1" customHeight="1" x14ac:dyDescent="0.2">
      <c r="A436" s="7" t="s">
        <v>59</v>
      </c>
      <c r="B436" s="7" t="s">
        <v>136</v>
      </c>
      <c r="C436" s="7" t="s">
        <v>138</v>
      </c>
      <c r="D436" s="7" t="s">
        <v>221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</row>
    <row r="437" spans="1:16" ht="30" hidden="1" customHeight="1" x14ac:dyDescent="0.2">
      <c r="A437" s="7" t="s">
        <v>59</v>
      </c>
      <c r="B437" s="7" t="s">
        <v>136</v>
      </c>
      <c r="C437" s="7" t="s">
        <v>138</v>
      </c>
      <c r="D437" s="7" t="s">
        <v>222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</row>
    <row r="438" spans="1:16" ht="30" hidden="1" customHeight="1" x14ac:dyDescent="0.2">
      <c r="A438" s="7" t="s">
        <v>59</v>
      </c>
      <c r="B438" s="7" t="s">
        <v>136</v>
      </c>
      <c r="C438" s="7" t="s">
        <v>139</v>
      </c>
      <c r="D438" s="7" t="s">
        <v>219</v>
      </c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</row>
    <row r="439" spans="1:16" ht="30" hidden="1" customHeight="1" x14ac:dyDescent="0.2">
      <c r="A439" s="7" t="s">
        <v>59</v>
      </c>
      <c r="B439" s="7" t="s">
        <v>136</v>
      </c>
      <c r="C439" s="7" t="s">
        <v>139</v>
      </c>
      <c r="D439" s="7" t="s">
        <v>220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</row>
    <row r="440" spans="1:16" ht="30" hidden="1" customHeight="1" x14ac:dyDescent="0.2">
      <c r="A440" s="7" t="s">
        <v>59</v>
      </c>
      <c r="B440" s="7" t="s">
        <v>136</v>
      </c>
      <c r="C440" s="7" t="s">
        <v>139</v>
      </c>
      <c r="D440" s="7" t="s">
        <v>221</v>
      </c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</row>
    <row r="441" spans="1:16" ht="30" hidden="1" customHeight="1" x14ac:dyDescent="0.2">
      <c r="A441" s="7" t="s">
        <v>59</v>
      </c>
      <c r="B441" s="7" t="s">
        <v>136</v>
      </c>
      <c r="C441" s="7" t="s">
        <v>139</v>
      </c>
      <c r="D441" s="7" t="s">
        <v>222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</row>
    <row r="442" spans="1:16" ht="30" hidden="1" customHeight="1" x14ac:dyDescent="0.2">
      <c r="A442" s="7" t="s">
        <v>59</v>
      </c>
      <c r="B442" s="7" t="s">
        <v>136</v>
      </c>
      <c r="C442" s="7" t="s">
        <v>140</v>
      </c>
      <c r="D442" s="7" t="s">
        <v>219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</row>
    <row r="443" spans="1:16" ht="30" hidden="1" customHeight="1" x14ac:dyDescent="0.2">
      <c r="A443" s="7" t="s">
        <v>59</v>
      </c>
      <c r="B443" s="7" t="s">
        <v>136</v>
      </c>
      <c r="C443" s="7" t="s">
        <v>140</v>
      </c>
      <c r="D443" s="7" t="s">
        <v>220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</row>
    <row r="444" spans="1:16" ht="30" hidden="1" customHeight="1" x14ac:dyDescent="0.2">
      <c r="A444" s="7" t="s">
        <v>59</v>
      </c>
      <c r="B444" s="7" t="s">
        <v>136</v>
      </c>
      <c r="C444" s="7" t="s">
        <v>140</v>
      </c>
      <c r="D444" s="7" t="s">
        <v>221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</row>
    <row r="445" spans="1:16" ht="30" hidden="1" customHeight="1" x14ac:dyDescent="0.2">
      <c r="A445" s="7" t="s">
        <v>59</v>
      </c>
      <c r="B445" s="7" t="s">
        <v>136</v>
      </c>
      <c r="C445" s="7" t="s">
        <v>140</v>
      </c>
      <c r="D445" s="7" t="s">
        <v>222</v>
      </c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</row>
    <row r="446" spans="1:16" ht="30" hidden="1" customHeight="1" x14ac:dyDescent="0.2">
      <c r="A446" s="7" t="s">
        <v>59</v>
      </c>
      <c r="B446" s="7" t="s">
        <v>136</v>
      </c>
      <c r="C446" s="7" t="s">
        <v>141</v>
      </c>
      <c r="D446" s="7" t="s">
        <v>219</v>
      </c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</row>
    <row r="447" spans="1:16" ht="30" hidden="1" customHeight="1" x14ac:dyDescent="0.2">
      <c r="A447" s="7" t="s">
        <v>59</v>
      </c>
      <c r="B447" s="7" t="s">
        <v>136</v>
      </c>
      <c r="C447" s="7" t="s">
        <v>141</v>
      </c>
      <c r="D447" s="7" t="s">
        <v>220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</row>
    <row r="448" spans="1:16" ht="30" hidden="1" customHeight="1" x14ac:dyDescent="0.2">
      <c r="A448" s="7" t="s">
        <v>59</v>
      </c>
      <c r="B448" s="7" t="s">
        <v>136</v>
      </c>
      <c r="C448" s="7" t="s">
        <v>141</v>
      </c>
      <c r="D448" s="7" t="s">
        <v>221</v>
      </c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</row>
    <row r="449" spans="1:16" ht="30" hidden="1" customHeight="1" x14ac:dyDescent="0.2">
      <c r="A449" s="7" t="s">
        <v>59</v>
      </c>
      <c r="B449" s="7" t="s">
        <v>136</v>
      </c>
      <c r="C449" s="7" t="s">
        <v>141</v>
      </c>
      <c r="D449" s="7" t="s">
        <v>222</v>
      </c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</row>
    <row r="450" spans="1:16" ht="30" hidden="1" customHeight="1" x14ac:dyDescent="0.2">
      <c r="A450" s="7" t="s">
        <v>59</v>
      </c>
      <c r="B450" s="7" t="s">
        <v>136</v>
      </c>
      <c r="C450" s="7" t="s">
        <v>142</v>
      </c>
      <c r="D450" s="7" t="s">
        <v>219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</row>
    <row r="451" spans="1:16" ht="30" hidden="1" customHeight="1" x14ac:dyDescent="0.2">
      <c r="A451" s="7" t="s">
        <v>59</v>
      </c>
      <c r="B451" s="7" t="s">
        <v>136</v>
      </c>
      <c r="C451" s="7" t="s">
        <v>142</v>
      </c>
      <c r="D451" s="7" t="s">
        <v>220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</row>
    <row r="452" spans="1:16" ht="30" hidden="1" customHeight="1" x14ac:dyDescent="0.2">
      <c r="A452" s="7" t="s">
        <v>59</v>
      </c>
      <c r="B452" s="7" t="s">
        <v>136</v>
      </c>
      <c r="C452" s="7" t="s">
        <v>142</v>
      </c>
      <c r="D452" s="7" t="s">
        <v>221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</row>
    <row r="453" spans="1:16" ht="30" hidden="1" customHeight="1" x14ac:dyDescent="0.2">
      <c r="A453" s="7" t="s">
        <v>59</v>
      </c>
      <c r="B453" s="7" t="s">
        <v>136</v>
      </c>
      <c r="C453" s="7" t="s">
        <v>142</v>
      </c>
      <c r="D453" s="7" t="s">
        <v>222</v>
      </c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</row>
    <row r="454" spans="1:16" ht="30" hidden="1" customHeight="1" x14ac:dyDescent="0.2">
      <c r="A454" s="7" t="s">
        <v>59</v>
      </c>
      <c r="B454" s="7" t="s">
        <v>136</v>
      </c>
      <c r="C454" s="7" t="s">
        <v>143</v>
      </c>
      <c r="D454" s="7" t="s">
        <v>219</v>
      </c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</row>
    <row r="455" spans="1:16" ht="30" hidden="1" customHeight="1" x14ac:dyDescent="0.2">
      <c r="A455" s="7" t="s">
        <v>59</v>
      </c>
      <c r="B455" s="7" t="s">
        <v>136</v>
      </c>
      <c r="C455" s="7" t="s">
        <v>143</v>
      </c>
      <c r="D455" s="7" t="s">
        <v>220</v>
      </c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</row>
    <row r="456" spans="1:16" ht="30" hidden="1" customHeight="1" x14ac:dyDescent="0.2">
      <c r="A456" s="7" t="s">
        <v>59</v>
      </c>
      <c r="B456" s="7" t="s">
        <v>136</v>
      </c>
      <c r="C456" s="7" t="s">
        <v>143</v>
      </c>
      <c r="D456" s="7" t="s">
        <v>221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</row>
    <row r="457" spans="1:16" ht="30" hidden="1" customHeight="1" x14ac:dyDescent="0.2">
      <c r="A457" s="7" t="s">
        <v>59</v>
      </c>
      <c r="B457" s="7" t="s">
        <v>136</v>
      </c>
      <c r="C457" s="7" t="s">
        <v>143</v>
      </c>
      <c r="D457" s="7" t="s">
        <v>222</v>
      </c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</row>
    <row r="458" spans="1:16" ht="30" hidden="1" customHeight="1" x14ac:dyDescent="0.2">
      <c r="A458" s="7" t="s">
        <v>59</v>
      </c>
      <c r="B458" s="7" t="s">
        <v>189</v>
      </c>
      <c r="C458" s="7" t="s">
        <v>192</v>
      </c>
      <c r="D458" s="7" t="s">
        <v>219</v>
      </c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</row>
    <row r="459" spans="1:16" ht="30" hidden="1" customHeight="1" x14ac:dyDescent="0.2">
      <c r="A459" s="7" t="s">
        <v>59</v>
      </c>
      <c r="B459" s="7" t="s">
        <v>189</v>
      </c>
      <c r="C459" s="7" t="s">
        <v>192</v>
      </c>
      <c r="D459" s="7" t="s">
        <v>220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</row>
    <row r="460" spans="1:16" ht="30" hidden="1" customHeight="1" x14ac:dyDescent="0.2">
      <c r="A460" s="7" t="s">
        <v>59</v>
      </c>
      <c r="B460" s="7" t="s">
        <v>189</v>
      </c>
      <c r="C460" s="7" t="s">
        <v>192</v>
      </c>
      <c r="D460" s="7" t="s">
        <v>221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</row>
    <row r="461" spans="1:16" ht="30" hidden="1" customHeight="1" x14ac:dyDescent="0.2">
      <c r="A461" s="7" t="s">
        <v>59</v>
      </c>
      <c r="B461" s="7" t="s">
        <v>189</v>
      </c>
      <c r="C461" s="7" t="s">
        <v>192</v>
      </c>
      <c r="D461" s="7" t="s">
        <v>222</v>
      </c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</row>
    <row r="462" spans="1:16" ht="30" hidden="1" customHeight="1" x14ac:dyDescent="0.2">
      <c r="A462" s="7" t="s">
        <v>59</v>
      </c>
      <c r="B462" s="7" t="s">
        <v>189</v>
      </c>
      <c r="C462" s="7" t="s">
        <v>198</v>
      </c>
      <c r="D462" s="7" t="s">
        <v>219</v>
      </c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</row>
    <row r="463" spans="1:16" ht="30" hidden="1" customHeight="1" x14ac:dyDescent="0.2">
      <c r="A463" s="7" t="s">
        <v>59</v>
      </c>
      <c r="B463" s="7" t="s">
        <v>189</v>
      </c>
      <c r="C463" s="7" t="s">
        <v>198</v>
      </c>
      <c r="D463" s="7" t="s">
        <v>220</v>
      </c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</row>
    <row r="464" spans="1:16" ht="30" hidden="1" customHeight="1" x14ac:dyDescent="0.2">
      <c r="A464" s="7" t="s">
        <v>59</v>
      </c>
      <c r="B464" s="7" t="s">
        <v>189</v>
      </c>
      <c r="C464" s="7" t="s">
        <v>198</v>
      </c>
      <c r="D464" s="7" t="s">
        <v>221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</row>
    <row r="465" spans="1:16" ht="30" hidden="1" customHeight="1" x14ac:dyDescent="0.2">
      <c r="A465" s="7" t="s">
        <v>59</v>
      </c>
      <c r="B465" s="7" t="s">
        <v>189</v>
      </c>
      <c r="C465" s="7" t="s">
        <v>198</v>
      </c>
      <c r="D465" s="7" t="s">
        <v>222</v>
      </c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</row>
    <row r="466" spans="1:16" ht="30" hidden="1" customHeight="1" x14ac:dyDescent="0.2">
      <c r="A466" s="7" t="s">
        <v>59</v>
      </c>
      <c r="B466" s="7" t="s">
        <v>189</v>
      </c>
      <c r="C466" s="7" t="s">
        <v>199</v>
      </c>
      <c r="D466" s="7" t="s">
        <v>219</v>
      </c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</row>
    <row r="467" spans="1:16" ht="30" hidden="1" customHeight="1" x14ac:dyDescent="0.2">
      <c r="A467" s="7" t="s">
        <v>59</v>
      </c>
      <c r="B467" s="7" t="s">
        <v>189</v>
      </c>
      <c r="C467" s="7" t="s">
        <v>199</v>
      </c>
      <c r="D467" s="7" t="s">
        <v>220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</row>
    <row r="468" spans="1:16" ht="30" hidden="1" customHeight="1" x14ac:dyDescent="0.2">
      <c r="A468" s="7" t="s">
        <v>59</v>
      </c>
      <c r="B468" s="7" t="s">
        <v>189</v>
      </c>
      <c r="C468" s="7" t="s">
        <v>199</v>
      </c>
      <c r="D468" s="7" t="s">
        <v>221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</row>
    <row r="469" spans="1:16" ht="30" hidden="1" customHeight="1" x14ac:dyDescent="0.2">
      <c r="A469" s="7" t="s">
        <v>59</v>
      </c>
      <c r="B469" s="7" t="s">
        <v>189</v>
      </c>
      <c r="C469" s="7" t="s">
        <v>199</v>
      </c>
      <c r="D469" s="7" t="s">
        <v>222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</row>
    <row r="470" spans="1:16" ht="30" hidden="1" customHeight="1" x14ac:dyDescent="0.2">
      <c r="A470" s="7" t="s">
        <v>59</v>
      </c>
      <c r="B470" s="7" t="s">
        <v>190</v>
      </c>
      <c r="C470" s="7" t="s">
        <v>197</v>
      </c>
      <c r="D470" s="7" t="s">
        <v>219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</row>
    <row r="471" spans="1:16" ht="30" hidden="1" customHeight="1" x14ac:dyDescent="0.2">
      <c r="A471" s="7" t="s">
        <v>59</v>
      </c>
      <c r="B471" s="7" t="s">
        <v>190</v>
      </c>
      <c r="C471" s="7" t="s">
        <v>197</v>
      </c>
      <c r="D471" s="7" t="s">
        <v>220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</row>
    <row r="472" spans="1:16" ht="30" hidden="1" customHeight="1" x14ac:dyDescent="0.2">
      <c r="A472" s="7" t="s">
        <v>59</v>
      </c>
      <c r="B472" s="7" t="s">
        <v>190</v>
      </c>
      <c r="C472" s="7" t="s">
        <v>197</v>
      </c>
      <c r="D472" s="7" t="s">
        <v>221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</row>
    <row r="473" spans="1:16" ht="30" hidden="1" customHeight="1" x14ac:dyDescent="0.2">
      <c r="A473" s="7" t="s">
        <v>59</v>
      </c>
      <c r="B473" s="7" t="s">
        <v>190</v>
      </c>
      <c r="C473" s="7" t="s">
        <v>197</v>
      </c>
      <c r="D473" s="7" t="s">
        <v>222</v>
      </c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</row>
    <row r="474" spans="1:16" ht="30" hidden="1" customHeight="1" x14ac:dyDescent="0.2">
      <c r="A474" s="7" t="s">
        <v>59</v>
      </c>
      <c r="B474" s="7" t="s">
        <v>190</v>
      </c>
      <c r="C474" s="7" t="s">
        <v>194</v>
      </c>
      <c r="D474" s="7" t="s">
        <v>219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</row>
    <row r="475" spans="1:16" ht="30" hidden="1" customHeight="1" x14ac:dyDescent="0.2">
      <c r="A475" s="7" t="s">
        <v>59</v>
      </c>
      <c r="B475" s="7" t="s">
        <v>190</v>
      </c>
      <c r="C475" s="7" t="s">
        <v>194</v>
      </c>
      <c r="D475" s="7" t="s">
        <v>220</v>
      </c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</row>
    <row r="476" spans="1:16" ht="30" hidden="1" customHeight="1" x14ac:dyDescent="0.2">
      <c r="A476" s="7" t="s">
        <v>59</v>
      </c>
      <c r="B476" s="7" t="s">
        <v>190</v>
      </c>
      <c r="C476" s="7" t="s">
        <v>194</v>
      </c>
      <c r="D476" s="7" t="s">
        <v>221</v>
      </c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</row>
    <row r="477" spans="1:16" ht="30" hidden="1" customHeight="1" x14ac:dyDescent="0.2">
      <c r="A477" s="7" t="s">
        <v>59</v>
      </c>
      <c r="B477" s="7" t="s">
        <v>190</v>
      </c>
      <c r="C477" s="7" t="s">
        <v>194</v>
      </c>
      <c r="D477" s="7" t="s">
        <v>222</v>
      </c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</row>
    <row r="478" spans="1:16" ht="30" hidden="1" customHeight="1" x14ac:dyDescent="0.2">
      <c r="A478" s="7" t="s">
        <v>59</v>
      </c>
      <c r="B478" s="7" t="s">
        <v>22</v>
      </c>
      <c r="C478" s="7" t="s">
        <v>23</v>
      </c>
      <c r="D478" s="7" t="s">
        <v>219</v>
      </c>
      <c r="E478" s="7"/>
      <c r="F478" s="8"/>
      <c r="G478" s="7"/>
      <c r="H478" s="7"/>
      <c r="I478" s="8"/>
      <c r="J478" s="8"/>
      <c r="K478" s="8"/>
      <c r="L478" s="8"/>
      <c r="M478" s="9"/>
      <c r="N478" s="8"/>
      <c r="O478" s="10"/>
      <c r="P478" s="11"/>
    </row>
    <row r="479" spans="1:16" ht="30" hidden="1" customHeight="1" x14ac:dyDescent="0.2">
      <c r="A479" s="7" t="s">
        <v>59</v>
      </c>
      <c r="B479" s="7" t="s">
        <v>22</v>
      </c>
      <c r="C479" s="7" t="s">
        <v>23</v>
      </c>
      <c r="D479" s="7" t="s">
        <v>220</v>
      </c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</row>
    <row r="480" spans="1:16" ht="30" hidden="1" customHeight="1" x14ac:dyDescent="0.2">
      <c r="A480" s="7" t="s">
        <v>59</v>
      </c>
      <c r="B480" s="7" t="s">
        <v>22</v>
      </c>
      <c r="C480" s="7" t="s">
        <v>23</v>
      </c>
      <c r="D480" s="7" t="s">
        <v>221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</row>
    <row r="481" spans="1:16" ht="30" hidden="1" customHeight="1" x14ac:dyDescent="0.2">
      <c r="A481" s="7" t="s">
        <v>59</v>
      </c>
      <c r="B481" s="7" t="s">
        <v>22</v>
      </c>
      <c r="C481" s="7" t="s">
        <v>23</v>
      </c>
      <c r="D481" s="7" t="s">
        <v>222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</row>
    <row r="482" spans="1:16" ht="30" hidden="1" customHeight="1" x14ac:dyDescent="0.2">
      <c r="A482" s="7" t="s">
        <v>59</v>
      </c>
      <c r="B482" s="7" t="s">
        <v>22</v>
      </c>
      <c r="C482" s="7" t="s">
        <v>32</v>
      </c>
      <c r="D482" s="7" t="s">
        <v>219</v>
      </c>
      <c r="E482" s="7"/>
      <c r="F482" s="8"/>
      <c r="G482" s="7"/>
      <c r="H482" s="7"/>
      <c r="I482" s="8"/>
      <c r="J482" s="8"/>
      <c r="K482" s="8"/>
      <c r="L482" s="8"/>
      <c r="M482" s="9"/>
      <c r="N482" s="8"/>
      <c r="O482" s="10"/>
      <c r="P482" s="11"/>
    </row>
    <row r="483" spans="1:16" ht="30" hidden="1" customHeight="1" x14ac:dyDescent="0.2">
      <c r="A483" s="7" t="s">
        <v>59</v>
      </c>
      <c r="B483" s="7" t="s">
        <v>22</v>
      </c>
      <c r="C483" s="7" t="s">
        <v>32</v>
      </c>
      <c r="D483" s="7" t="s">
        <v>220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</row>
    <row r="484" spans="1:16" ht="30" hidden="1" customHeight="1" x14ac:dyDescent="0.2">
      <c r="A484" s="7" t="s">
        <v>59</v>
      </c>
      <c r="B484" s="7" t="s">
        <v>22</v>
      </c>
      <c r="C484" s="7" t="s">
        <v>32</v>
      </c>
      <c r="D484" s="7" t="s">
        <v>221</v>
      </c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</row>
    <row r="485" spans="1:16" ht="30" hidden="1" customHeight="1" x14ac:dyDescent="0.2">
      <c r="A485" s="7" t="s">
        <v>59</v>
      </c>
      <c r="B485" s="7" t="s">
        <v>22</v>
      </c>
      <c r="C485" s="7" t="s">
        <v>32</v>
      </c>
      <c r="D485" s="7" t="s">
        <v>222</v>
      </c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</row>
    <row r="486" spans="1:16" ht="30" hidden="1" customHeight="1" x14ac:dyDescent="0.2">
      <c r="A486" s="7" t="s">
        <v>59</v>
      </c>
      <c r="B486" s="7" t="s">
        <v>22</v>
      </c>
      <c r="C486" s="7" t="s">
        <v>33</v>
      </c>
      <c r="D486" s="7" t="s">
        <v>219</v>
      </c>
      <c r="E486" s="7"/>
      <c r="F486" s="8"/>
      <c r="G486" s="7"/>
      <c r="H486" s="7"/>
      <c r="I486" s="8"/>
      <c r="J486" s="8"/>
      <c r="K486" s="8"/>
      <c r="L486" s="8"/>
      <c r="M486" s="9"/>
      <c r="N486" s="8"/>
      <c r="O486" s="10"/>
      <c r="P486" s="11"/>
    </row>
    <row r="487" spans="1:16" ht="30" hidden="1" customHeight="1" x14ac:dyDescent="0.2">
      <c r="A487" s="7" t="s">
        <v>59</v>
      </c>
      <c r="B487" s="7" t="s">
        <v>22</v>
      </c>
      <c r="C487" s="7" t="s">
        <v>33</v>
      </c>
      <c r="D487" s="7" t="s">
        <v>220</v>
      </c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</row>
    <row r="488" spans="1:16" ht="30" hidden="1" customHeight="1" x14ac:dyDescent="0.2">
      <c r="A488" s="7" t="s">
        <v>59</v>
      </c>
      <c r="B488" s="7" t="s">
        <v>22</v>
      </c>
      <c r="C488" s="7" t="s">
        <v>33</v>
      </c>
      <c r="D488" s="7" t="s">
        <v>221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</row>
    <row r="489" spans="1:16" ht="30" hidden="1" customHeight="1" x14ac:dyDescent="0.2">
      <c r="A489" s="7" t="s">
        <v>59</v>
      </c>
      <c r="B489" s="7" t="s">
        <v>22</v>
      </c>
      <c r="C489" s="7" t="s">
        <v>33</v>
      </c>
      <c r="D489" s="7" t="s">
        <v>222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</row>
    <row r="490" spans="1:16" ht="30" hidden="1" customHeight="1" x14ac:dyDescent="0.2">
      <c r="A490" s="7" t="s">
        <v>59</v>
      </c>
      <c r="B490" s="7" t="s">
        <v>22</v>
      </c>
      <c r="C490" s="7" t="s">
        <v>34</v>
      </c>
      <c r="D490" s="7" t="s">
        <v>219</v>
      </c>
      <c r="E490" s="7"/>
      <c r="F490" s="8"/>
      <c r="G490" s="7"/>
      <c r="H490" s="7"/>
      <c r="I490" s="8"/>
      <c r="J490" s="8"/>
      <c r="K490" s="8"/>
      <c r="L490" s="8"/>
      <c r="M490" s="9"/>
      <c r="N490" s="8"/>
      <c r="O490" s="10"/>
      <c r="P490" s="11"/>
    </row>
    <row r="491" spans="1:16" ht="30" hidden="1" customHeight="1" x14ac:dyDescent="0.2">
      <c r="A491" s="7" t="s">
        <v>59</v>
      </c>
      <c r="B491" s="7" t="s">
        <v>22</v>
      </c>
      <c r="C491" s="7" t="s">
        <v>34</v>
      </c>
      <c r="D491" s="7" t="s">
        <v>220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</row>
    <row r="492" spans="1:16" ht="30" hidden="1" customHeight="1" x14ac:dyDescent="0.2">
      <c r="A492" s="7" t="s">
        <v>59</v>
      </c>
      <c r="B492" s="7" t="s">
        <v>22</v>
      </c>
      <c r="C492" s="7" t="s">
        <v>34</v>
      </c>
      <c r="D492" s="7" t="s">
        <v>221</v>
      </c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</row>
    <row r="493" spans="1:16" ht="30" hidden="1" customHeight="1" x14ac:dyDescent="0.2">
      <c r="A493" s="7" t="s">
        <v>59</v>
      </c>
      <c r="B493" s="7" t="s">
        <v>22</v>
      </c>
      <c r="C493" s="7" t="s">
        <v>34</v>
      </c>
      <c r="D493" s="7" t="s">
        <v>222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</row>
    <row r="494" spans="1:16" ht="30" hidden="1" customHeight="1" x14ac:dyDescent="0.2">
      <c r="A494" s="7" t="s">
        <v>59</v>
      </c>
      <c r="B494" s="7" t="s">
        <v>22</v>
      </c>
      <c r="C494" s="7" t="s">
        <v>35</v>
      </c>
      <c r="D494" s="7" t="s">
        <v>219</v>
      </c>
      <c r="E494" s="7"/>
      <c r="F494" s="8"/>
      <c r="G494" s="7"/>
      <c r="H494" s="7"/>
      <c r="I494" s="8"/>
      <c r="J494" s="8"/>
      <c r="K494" s="8"/>
      <c r="L494" s="8"/>
      <c r="M494" s="9"/>
      <c r="N494" s="8"/>
      <c r="O494" s="10"/>
      <c r="P494" s="10"/>
    </row>
    <row r="495" spans="1:16" ht="30" hidden="1" customHeight="1" x14ac:dyDescent="0.2">
      <c r="A495" s="7" t="s">
        <v>59</v>
      </c>
      <c r="B495" s="7" t="s">
        <v>22</v>
      </c>
      <c r="C495" s="7" t="s">
        <v>35</v>
      </c>
      <c r="D495" s="7" t="s">
        <v>220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</row>
    <row r="496" spans="1:16" ht="30" hidden="1" customHeight="1" x14ac:dyDescent="0.2">
      <c r="A496" s="7" t="s">
        <v>59</v>
      </c>
      <c r="B496" s="7" t="s">
        <v>22</v>
      </c>
      <c r="C496" s="7" t="s">
        <v>35</v>
      </c>
      <c r="D496" s="7" t="s">
        <v>221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</row>
    <row r="497" spans="1:16" ht="30" hidden="1" customHeight="1" x14ac:dyDescent="0.2">
      <c r="A497" s="7" t="s">
        <v>59</v>
      </c>
      <c r="B497" s="7" t="s">
        <v>22</v>
      </c>
      <c r="C497" s="7" t="s">
        <v>35</v>
      </c>
      <c r="D497" s="7" t="s">
        <v>222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</row>
    <row r="498" spans="1:16" ht="30" hidden="1" customHeight="1" x14ac:dyDescent="0.2">
      <c r="A498" s="7" t="s">
        <v>59</v>
      </c>
      <c r="B498" s="7" t="s">
        <v>22</v>
      </c>
      <c r="C498" s="7" t="s">
        <v>36</v>
      </c>
      <c r="D498" s="7" t="s">
        <v>219</v>
      </c>
      <c r="E498" s="7"/>
      <c r="F498" s="8"/>
      <c r="G498" s="7"/>
      <c r="H498" s="7"/>
      <c r="I498" s="8"/>
      <c r="J498" s="8"/>
      <c r="K498" s="8"/>
      <c r="L498" s="8"/>
      <c r="M498" s="9"/>
      <c r="N498" s="8"/>
      <c r="O498" s="10"/>
      <c r="P498" s="11"/>
    </row>
    <row r="499" spans="1:16" ht="30" hidden="1" customHeight="1" x14ac:dyDescent="0.2">
      <c r="A499" s="7" t="s">
        <v>59</v>
      </c>
      <c r="B499" s="7" t="s">
        <v>22</v>
      </c>
      <c r="C499" s="7" t="s">
        <v>36</v>
      </c>
      <c r="D499" s="7" t="s">
        <v>220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</row>
    <row r="500" spans="1:16" ht="30" hidden="1" customHeight="1" x14ac:dyDescent="0.2">
      <c r="A500" s="7" t="s">
        <v>59</v>
      </c>
      <c r="B500" s="7" t="s">
        <v>22</v>
      </c>
      <c r="C500" s="7" t="s">
        <v>36</v>
      </c>
      <c r="D500" s="7" t="s">
        <v>221</v>
      </c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</row>
    <row r="501" spans="1:16" ht="30" hidden="1" customHeight="1" x14ac:dyDescent="0.2">
      <c r="A501" s="7" t="s">
        <v>59</v>
      </c>
      <c r="B501" s="7" t="s">
        <v>22</v>
      </c>
      <c r="C501" s="7" t="s">
        <v>36</v>
      </c>
      <c r="D501" s="7" t="s">
        <v>222</v>
      </c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</row>
    <row r="502" spans="1:16" ht="30" hidden="1" customHeight="1" x14ac:dyDescent="0.2">
      <c r="A502" s="7" t="s">
        <v>59</v>
      </c>
      <c r="B502" s="7" t="s">
        <v>22</v>
      </c>
      <c r="C502" s="7" t="s">
        <v>37</v>
      </c>
      <c r="D502" s="7" t="s">
        <v>219</v>
      </c>
      <c r="E502" s="7"/>
      <c r="F502" s="8"/>
      <c r="G502" s="7"/>
      <c r="H502" s="7"/>
      <c r="I502" s="8"/>
      <c r="J502" s="8"/>
      <c r="K502" s="8"/>
      <c r="L502" s="8"/>
      <c r="M502" s="9"/>
      <c r="N502" s="8"/>
      <c r="O502" s="10"/>
      <c r="P502" s="11"/>
    </row>
    <row r="503" spans="1:16" ht="30" hidden="1" customHeight="1" x14ac:dyDescent="0.2">
      <c r="A503" s="7" t="s">
        <v>59</v>
      </c>
      <c r="B503" s="7" t="s">
        <v>22</v>
      </c>
      <c r="C503" s="7" t="s">
        <v>37</v>
      </c>
      <c r="D503" s="7" t="s">
        <v>220</v>
      </c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</row>
    <row r="504" spans="1:16" ht="30" hidden="1" customHeight="1" x14ac:dyDescent="0.2">
      <c r="A504" s="7" t="s">
        <v>59</v>
      </c>
      <c r="B504" s="7" t="s">
        <v>22</v>
      </c>
      <c r="C504" s="7" t="s">
        <v>37</v>
      </c>
      <c r="D504" s="7" t="s">
        <v>221</v>
      </c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</row>
    <row r="505" spans="1:16" ht="30" hidden="1" customHeight="1" x14ac:dyDescent="0.2">
      <c r="A505" s="7" t="s">
        <v>59</v>
      </c>
      <c r="B505" s="7" t="s">
        <v>22</v>
      </c>
      <c r="C505" s="7" t="s">
        <v>37</v>
      </c>
      <c r="D505" s="7" t="s">
        <v>222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</row>
    <row r="506" spans="1:16" ht="30" hidden="1" customHeight="1" x14ac:dyDescent="0.2">
      <c r="A506" s="7" t="s">
        <v>59</v>
      </c>
      <c r="B506" s="7" t="s">
        <v>22</v>
      </c>
      <c r="C506" s="7" t="s">
        <v>38</v>
      </c>
      <c r="D506" s="7" t="s">
        <v>219</v>
      </c>
      <c r="E506" s="7"/>
      <c r="F506" s="8"/>
      <c r="G506" s="7"/>
      <c r="H506" s="7"/>
      <c r="I506" s="8"/>
      <c r="J506" s="8"/>
      <c r="K506" s="8"/>
      <c r="L506" s="8"/>
      <c r="M506" s="9"/>
      <c r="N506" s="8"/>
      <c r="O506" s="10"/>
      <c r="P506" s="12"/>
    </row>
    <row r="507" spans="1:16" ht="30" hidden="1" customHeight="1" x14ac:dyDescent="0.2">
      <c r="A507" s="7" t="s">
        <v>59</v>
      </c>
      <c r="B507" s="7" t="s">
        <v>22</v>
      </c>
      <c r="C507" s="7" t="s">
        <v>38</v>
      </c>
      <c r="D507" s="7" t="s">
        <v>220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</row>
    <row r="508" spans="1:16" ht="30" hidden="1" customHeight="1" x14ac:dyDescent="0.2">
      <c r="A508" s="7" t="s">
        <v>59</v>
      </c>
      <c r="B508" s="7" t="s">
        <v>22</v>
      </c>
      <c r="C508" s="7" t="s">
        <v>38</v>
      </c>
      <c r="D508" s="7" t="s">
        <v>221</v>
      </c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</row>
    <row r="509" spans="1:16" ht="30" hidden="1" customHeight="1" x14ac:dyDescent="0.2">
      <c r="A509" s="7" t="s">
        <v>59</v>
      </c>
      <c r="B509" s="7" t="s">
        <v>22</v>
      </c>
      <c r="C509" s="7" t="s">
        <v>38</v>
      </c>
      <c r="D509" s="7" t="s">
        <v>222</v>
      </c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</row>
    <row r="510" spans="1:16" ht="30" hidden="1" customHeight="1" x14ac:dyDescent="0.2">
      <c r="A510" s="7" t="s">
        <v>59</v>
      </c>
      <c r="B510" s="7" t="s">
        <v>22</v>
      </c>
      <c r="C510" s="7" t="s">
        <v>24</v>
      </c>
      <c r="D510" s="7" t="s">
        <v>219</v>
      </c>
      <c r="E510" s="7"/>
      <c r="F510" s="8"/>
      <c r="G510" s="7"/>
      <c r="H510" s="7"/>
      <c r="I510" s="8"/>
      <c r="J510" s="8"/>
      <c r="K510" s="8"/>
      <c r="L510" s="8"/>
      <c r="M510" s="9"/>
      <c r="N510" s="8"/>
      <c r="O510" s="10"/>
      <c r="P510" s="11"/>
    </row>
    <row r="511" spans="1:16" ht="30" hidden="1" customHeight="1" x14ac:dyDescent="0.2">
      <c r="A511" s="7" t="s">
        <v>59</v>
      </c>
      <c r="B511" s="7" t="s">
        <v>22</v>
      </c>
      <c r="C511" s="7" t="s">
        <v>24</v>
      </c>
      <c r="D511" s="7" t="s">
        <v>220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</row>
    <row r="512" spans="1:16" ht="30" hidden="1" customHeight="1" x14ac:dyDescent="0.2">
      <c r="A512" s="7" t="s">
        <v>59</v>
      </c>
      <c r="B512" s="7" t="s">
        <v>22</v>
      </c>
      <c r="C512" s="7" t="s">
        <v>24</v>
      </c>
      <c r="D512" s="7" t="s">
        <v>221</v>
      </c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</row>
    <row r="513" spans="1:16" ht="30" hidden="1" customHeight="1" x14ac:dyDescent="0.2">
      <c r="A513" s="7" t="s">
        <v>59</v>
      </c>
      <c r="B513" s="7" t="s">
        <v>22</v>
      </c>
      <c r="C513" s="7" t="s">
        <v>24</v>
      </c>
      <c r="D513" s="7" t="s">
        <v>222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</row>
    <row r="514" spans="1:16" ht="30" hidden="1" customHeight="1" x14ac:dyDescent="0.2">
      <c r="A514" s="7" t="s">
        <v>59</v>
      </c>
      <c r="B514" s="7" t="s">
        <v>22</v>
      </c>
      <c r="C514" s="7" t="s">
        <v>25</v>
      </c>
      <c r="D514" s="7" t="s">
        <v>219</v>
      </c>
      <c r="E514" s="7"/>
      <c r="F514" s="8"/>
      <c r="G514" s="7"/>
      <c r="H514" s="7"/>
      <c r="I514" s="8"/>
      <c r="J514" s="8"/>
      <c r="K514" s="8"/>
      <c r="L514" s="8"/>
      <c r="M514" s="9"/>
      <c r="N514" s="8"/>
      <c r="O514" s="10"/>
      <c r="P514" s="11"/>
    </row>
    <row r="515" spans="1:16" ht="30" hidden="1" customHeight="1" x14ac:dyDescent="0.2">
      <c r="A515" s="7" t="s">
        <v>59</v>
      </c>
      <c r="B515" s="7" t="s">
        <v>22</v>
      </c>
      <c r="C515" s="7" t="s">
        <v>25</v>
      </c>
      <c r="D515" s="7" t="s">
        <v>220</v>
      </c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</row>
    <row r="516" spans="1:16" ht="30" hidden="1" customHeight="1" x14ac:dyDescent="0.2">
      <c r="A516" s="7" t="s">
        <v>59</v>
      </c>
      <c r="B516" s="7" t="s">
        <v>22</v>
      </c>
      <c r="C516" s="7" t="s">
        <v>25</v>
      </c>
      <c r="D516" s="7" t="s">
        <v>221</v>
      </c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</row>
    <row r="517" spans="1:16" ht="30" hidden="1" customHeight="1" x14ac:dyDescent="0.2">
      <c r="A517" s="7" t="s">
        <v>59</v>
      </c>
      <c r="B517" s="7" t="s">
        <v>22</v>
      </c>
      <c r="C517" s="7" t="s">
        <v>25</v>
      </c>
      <c r="D517" s="7" t="s">
        <v>222</v>
      </c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</row>
    <row r="518" spans="1:16" ht="30" hidden="1" customHeight="1" x14ac:dyDescent="0.2">
      <c r="A518" s="7" t="s">
        <v>59</v>
      </c>
      <c r="B518" s="7" t="s">
        <v>22</v>
      </c>
      <c r="C518" s="7" t="s">
        <v>26</v>
      </c>
      <c r="D518" s="7" t="s">
        <v>219</v>
      </c>
      <c r="E518" s="7"/>
      <c r="F518" s="8"/>
      <c r="G518" s="7"/>
      <c r="H518" s="7"/>
      <c r="I518" s="8"/>
      <c r="J518" s="8"/>
      <c r="K518" s="8"/>
      <c r="L518" s="8"/>
      <c r="M518" s="9"/>
      <c r="N518" s="8"/>
      <c r="O518" s="10"/>
      <c r="P518" s="10"/>
    </row>
    <row r="519" spans="1:16" ht="30" hidden="1" customHeight="1" x14ac:dyDescent="0.2">
      <c r="A519" s="7" t="s">
        <v>59</v>
      </c>
      <c r="B519" s="7" t="s">
        <v>22</v>
      </c>
      <c r="C519" s="7" t="s">
        <v>26</v>
      </c>
      <c r="D519" s="7" t="s">
        <v>220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</row>
    <row r="520" spans="1:16" ht="30" hidden="1" customHeight="1" x14ac:dyDescent="0.2">
      <c r="A520" s="7" t="s">
        <v>59</v>
      </c>
      <c r="B520" s="7" t="s">
        <v>22</v>
      </c>
      <c r="C520" s="7" t="s">
        <v>26</v>
      </c>
      <c r="D520" s="7" t="s">
        <v>221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</row>
    <row r="521" spans="1:16" ht="30" hidden="1" customHeight="1" x14ac:dyDescent="0.2">
      <c r="A521" s="7" t="s">
        <v>59</v>
      </c>
      <c r="B521" s="7" t="s">
        <v>22</v>
      </c>
      <c r="C521" s="7" t="s">
        <v>26</v>
      </c>
      <c r="D521" s="7" t="s">
        <v>222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</row>
    <row r="522" spans="1:16" ht="30" hidden="1" customHeight="1" x14ac:dyDescent="0.2">
      <c r="A522" s="7" t="s">
        <v>59</v>
      </c>
      <c r="B522" s="7" t="s">
        <v>22</v>
      </c>
      <c r="C522" s="7" t="s">
        <v>27</v>
      </c>
      <c r="D522" s="7" t="s">
        <v>219</v>
      </c>
      <c r="E522" s="7"/>
      <c r="F522" s="8"/>
      <c r="G522" s="7"/>
      <c r="H522" s="7"/>
      <c r="I522" s="8"/>
      <c r="J522" s="8"/>
      <c r="K522" s="8"/>
      <c r="L522" s="8"/>
      <c r="M522" s="9"/>
      <c r="N522" s="8"/>
      <c r="O522" s="10"/>
      <c r="P522" s="11"/>
    </row>
    <row r="523" spans="1:16" ht="30" hidden="1" customHeight="1" x14ac:dyDescent="0.2">
      <c r="A523" s="7" t="s">
        <v>59</v>
      </c>
      <c r="B523" s="7" t="s">
        <v>22</v>
      </c>
      <c r="C523" s="7" t="s">
        <v>27</v>
      </c>
      <c r="D523" s="7" t="s">
        <v>220</v>
      </c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</row>
    <row r="524" spans="1:16" ht="30" hidden="1" customHeight="1" x14ac:dyDescent="0.2">
      <c r="A524" s="7" t="s">
        <v>59</v>
      </c>
      <c r="B524" s="7" t="s">
        <v>22</v>
      </c>
      <c r="C524" s="7" t="s">
        <v>27</v>
      </c>
      <c r="D524" s="7" t="s">
        <v>221</v>
      </c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</row>
    <row r="525" spans="1:16" ht="30" hidden="1" customHeight="1" x14ac:dyDescent="0.2">
      <c r="A525" s="7" t="s">
        <v>59</v>
      </c>
      <c r="B525" s="7" t="s">
        <v>22</v>
      </c>
      <c r="C525" s="7" t="s">
        <v>27</v>
      </c>
      <c r="D525" s="7" t="s">
        <v>222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</row>
    <row r="526" spans="1:16" ht="30" hidden="1" customHeight="1" x14ac:dyDescent="0.2">
      <c r="A526" s="7" t="s">
        <v>59</v>
      </c>
      <c r="B526" s="7" t="s">
        <v>22</v>
      </c>
      <c r="C526" s="7" t="s">
        <v>28</v>
      </c>
      <c r="D526" s="7" t="s">
        <v>219</v>
      </c>
      <c r="E526" s="7"/>
      <c r="F526" s="8"/>
      <c r="G526" s="7"/>
      <c r="H526" s="7"/>
      <c r="I526" s="8"/>
      <c r="J526" s="8"/>
      <c r="K526" s="8"/>
      <c r="L526" s="8"/>
      <c r="M526" s="9"/>
      <c r="N526" s="8"/>
      <c r="O526" s="10"/>
      <c r="P526" s="11"/>
    </row>
    <row r="527" spans="1:16" ht="30" hidden="1" customHeight="1" x14ac:dyDescent="0.2">
      <c r="A527" s="7" t="s">
        <v>59</v>
      </c>
      <c r="B527" s="7" t="s">
        <v>22</v>
      </c>
      <c r="C527" s="7" t="s">
        <v>28</v>
      </c>
      <c r="D527" s="7" t="s">
        <v>220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</row>
    <row r="528" spans="1:16" ht="30" hidden="1" customHeight="1" x14ac:dyDescent="0.2">
      <c r="A528" s="7" t="s">
        <v>59</v>
      </c>
      <c r="B528" s="7" t="s">
        <v>22</v>
      </c>
      <c r="C528" s="7" t="s">
        <v>28</v>
      </c>
      <c r="D528" s="7" t="s">
        <v>221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</row>
    <row r="529" spans="1:16" ht="30" hidden="1" customHeight="1" x14ac:dyDescent="0.2">
      <c r="A529" s="7" t="s">
        <v>59</v>
      </c>
      <c r="B529" s="7" t="s">
        <v>22</v>
      </c>
      <c r="C529" s="7" t="s">
        <v>28</v>
      </c>
      <c r="D529" s="7" t="s">
        <v>222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</row>
    <row r="530" spans="1:16" ht="30" hidden="1" customHeight="1" x14ac:dyDescent="0.2">
      <c r="A530" s="7" t="s">
        <v>59</v>
      </c>
      <c r="B530" s="7" t="s">
        <v>22</v>
      </c>
      <c r="C530" s="7" t="s">
        <v>30</v>
      </c>
      <c r="D530" s="7" t="s">
        <v>219</v>
      </c>
      <c r="E530" s="7"/>
      <c r="F530" s="8"/>
      <c r="G530" s="7"/>
      <c r="H530" s="7"/>
      <c r="I530" s="8"/>
      <c r="J530" s="8"/>
      <c r="K530" s="8"/>
      <c r="L530" s="8"/>
      <c r="M530" s="9"/>
      <c r="N530" s="8"/>
      <c r="O530" s="10"/>
      <c r="P530" s="11"/>
    </row>
    <row r="531" spans="1:16" ht="30" hidden="1" customHeight="1" x14ac:dyDescent="0.2">
      <c r="A531" s="7" t="s">
        <v>59</v>
      </c>
      <c r="B531" s="7" t="s">
        <v>22</v>
      </c>
      <c r="C531" s="7" t="s">
        <v>30</v>
      </c>
      <c r="D531" s="7" t="s">
        <v>220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</row>
    <row r="532" spans="1:16" ht="30" hidden="1" customHeight="1" x14ac:dyDescent="0.2">
      <c r="A532" s="7" t="s">
        <v>59</v>
      </c>
      <c r="B532" s="7" t="s">
        <v>22</v>
      </c>
      <c r="C532" s="7" t="s">
        <v>30</v>
      </c>
      <c r="D532" s="7" t="s">
        <v>221</v>
      </c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</row>
    <row r="533" spans="1:16" ht="30" hidden="1" customHeight="1" x14ac:dyDescent="0.2">
      <c r="A533" s="7" t="s">
        <v>59</v>
      </c>
      <c r="B533" s="7" t="s">
        <v>22</v>
      </c>
      <c r="C533" s="7" t="s">
        <v>30</v>
      </c>
      <c r="D533" s="7" t="s">
        <v>222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</row>
    <row r="534" spans="1:16" ht="30" hidden="1" customHeight="1" x14ac:dyDescent="0.2">
      <c r="A534" s="7" t="s">
        <v>59</v>
      </c>
      <c r="B534" s="7" t="s">
        <v>22</v>
      </c>
      <c r="C534" s="7" t="s">
        <v>31</v>
      </c>
      <c r="D534" s="7" t="s">
        <v>219</v>
      </c>
      <c r="E534" s="7"/>
      <c r="F534" s="8"/>
      <c r="G534" s="7"/>
      <c r="H534" s="7"/>
      <c r="I534" s="8"/>
      <c r="J534" s="8"/>
      <c r="K534" s="8"/>
      <c r="L534" s="8"/>
      <c r="M534" s="9"/>
      <c r="N534" s="8"/>
      <c r="O534" s="10"/>
      <c r="P534" s="10"/>
    </row>
    <row r="535" spans="1:16" ht="30" hidden="1" customHeight="1" x14ac:dyDescent="0.2">
      <c r="A535" s="7" t="s">
        <v>59</v>
      </c>
      <c r="B535" s="7" t="s">
        <v>22</v>
      </c>
      <c r="C535" s="7" t="s">
        <v>31</v>
      </c>
      <c r="D535" s="7" t="s">
        <v>220</v>
      </c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</row>
    <row r="536" spans="1:16" ht="30" hidden="1" customHeight="1" x14ac:dyDescent="0.2">
      <c r="A536" s="7" t="s">
        <v>59</v>
      </c>
      <c r="B536" s="7" t="s">
        <v>22</v>
      </c>
      <c r="C536" s="7" t="s">
        <v>31</v>
      </c>
      <c r="D536" s="7" t="s">
        <v>221</v>
      </c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</row>
    <row r="537" spans="1:16" ht="30" hidden="1" customHeight="1" x14ac:dyDescent="0.2">
      <c r="A537" s="7" t="s">
        <v>59</v>
      </c>
      <c r="B537" s="7" t="s">
        <v>22</v>
      </c>
      <c r="C537" s="7" t="s">
        <v>31</v>
      </c>
      <c r="D537" s="7" t="s">
        <v>222</v>
      </c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</row>
    <row r="538" spans="1:16" ht="30" hidden="1" customHeight="1" x14ac:dyDescent="0.2">
      <c r="A538" s="7" t="s">
        <v>59</v>
      </c>
      <c r="B538" s="7" t="s">
        <v>22</v>
      </c>
      <c r="C538" s="7" t="s">
        <v>29</v>
      </c>
      <c r="D538" s="7" t="s">
        <v>219</v>
      </c>
      <c r="E538" s="7"/>
      <c r="F538" s="8"/>
      <c r="G538" s="7"/>
      <c r="H538" s="7"/>
      <c r="I538" s="8"/>
      <c r="J538" s="8"/>
      <c r="K538" s="8"/>
      <c r="L538" s="8"/>
      <c r="M538" s="9"/>
      <c r="N538" s="8"/>
      <c r="O538" s="10"/>
      <c r="P538" s="11"/>
    </row>
    <row r="539" spans="1:16" ht="30" hidden="1" customHeight="1" x14ac:dyDescent="0.2">
      <c r="A539" s="7" t="s">
        <v>59</v>
      </c>
      <c r="B539" s="7" t="s">
        <v>22</v>
      </c>
      <c r="C539" s="7" t="s">
        <v>29</v>
      </c>
      <c r="D539" s="7" t="s">
        <v>220</v>
      </c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</row>
    <row r="540" spans="1:16" ht="30" hidden="1" customHeight="1" x14ac:dyDescent="0.2">
      <c r="A540" s="7" t="s">
        <v>59</v>
      </c>
      <c r="B540" s="7" t="s">
        <v>22</v>
      </c>
      <c r="C540" s="7" t="s">
        <v>29</v>
      </c>
      <c r="D540" s="7" t="s">
        <v>221</v>
      </c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</row>
    <row r="541" spans="1:16" ht="30" hidden="1" customHeight="1" x14ac:dyDescent="0.2">
      <c r="A541" s="7" t="s">
        <v>59</v>
      </c>
      <c r="B541" s="7" t="s">
        <v>22</v>
      </c>
      <c r="C541" s="7" t="s">
        <v>29</v>
      </c>
      <c r="D541" s="7" t="s">
        <v>222</v>
      </c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</row>
    <row r="542" spans="1:16" ht="30" hidden="1" customHeight="1" x14ac:dyDescent="0.2">
      <c r="A542" s="7" t="s">
        <v>59</v>
      </c>
      <c r="B542" s="7" t="s">
        <v>191</v>
      </c>
      <c r="C542" s="7" t="s">
        <v>193</v>
      </c>
      <c r="D542" s="7" t="s">
        <v>219</v>
      </c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</row>
    <row r="543" spans="1:16" ht="30" hidden="1" customHeight="1" x14ac:dyDescent="0.2">
      <c r="A543" s="7" t="s">
        <v>59</v>
      </c>
      <c r="B543" s="7" t="s">
        <v>191</v>
      </c>
      <c r="C543" s="7" t="s">
        <v>193</v>
      </c>
      <c r="D543" s="7" t="s">
        <v>220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</row>
    <row r="544" spans="1:16" ht="30" hidden="1" customHeight="1" x14ac:dyDescent="0.2">
      <c r="A544" s="7" t="s">
        <v>59</v>
      </c>
      <c r="B544" s="7" t="s">
        <v>191</v>
      </c>
      <c r="C544" s="7" t="s">
        <v>193</v>
      </c>
      <c r="D544" s="7" t="s">
        <v>221</v>
      </c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</row>
    <row r="545" spans="1:16" ht="30" hidden="1" customHeight="1" x14ac:dyDescent="0.2">
      <c r="A545" s="7" t="s">
        <v>59</v>
      </c>
      <c r="B545" s="7" t="s">
        <v>191</v>
      </c>
      <c r="C545" s="7" t="s">
        <v>193</v>
      </c>
      <c r="D545" s="7" t="s">
        <v>222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</row>
    <row r="546" spans="1:16" ht="30" hidden="1" customHeight="1" x14ac:dyDescent="0.2">
      <c r="A546" s="7" t="s">
        <v>59</v>
      </c>
      <c r="B546" s="7" t="s">
        <v>191</v>
      </c>
      <c r="C546" s="7" t="s">
        <v>195</v>
      </c>
      <c r="D546" s="7" t="s">
        <v>219</v>
      </c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</row>
    <row r="547" spans="1:16" ht="30" hidden="1" customHeight="1" x14ac:dyDescent="0.2">
      <c r="A547" s="7" t="s">
        <v>59</v>
      </c>
      <c r="B547" s="7" t="s">
        <v>191</v>
      </c>
      <c r="C547" s="7" t="s">
        <v>195</v>
      </c>
      <c r="D547" s="7" t="s">
        <v>220</v>
      </c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</row>
    <row r="548" spans="1:16" ht="30" hidden="1" customHeight="1" x14ac:dyDescent="0.2">
      <c r="A548" s="7" t="s">
        <v>59</v>
      </c>
      <c r="B548" s="7" t="s">
        <v>191</v>
      </c>
      <c r="C548" s="7" t="s">
        <v>195</v>
      </c>
      <c r="D548" s="7" t="s">
        <v>221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</row>
    <row r="549" spans="1:16" ht="30" hidden="1" customHeight="1" x14ac:dyDescent="0.2">
      <c r="A549" s="7" t="s">
        <v>59</v>
      </c>
      <c r="B549" s="7" t="s">
        <v>191</v>
      </c>
      <c r="C549" s="7" t="s">
        <v>195</v>
      </c>
      <c r="D549" s="7" t="s">
        <v>222</v>
      </c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</row>
    <row r="550" spans="1:16" ht="30" hidden="1" customHeight="1" x14ac:dyDescent="0.2">
      <c r="A550" s="7" t="s">
        <v>59</v>
      </c>
      <c r="B550" s="7" t="s">
        <v>191</v>
      </c>
      <c r="C550" s="7" t="s">
        <v>196</v>
      </c>
      <c r="D550" s="7" t="s">
        <v>219</v>
      </c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</row>
    <row r="551" spans="1:16" ht="30" hidden="1" customHeight="1" x14ac:dyDescent="0.2">
      <c r="A551" s="7" t="s">
        <v>59</v>
      </c>
      <c r="B551" s="7" t="s">
        <v>191</v>
      </c>
      <c r="C551" s="7" t="s">
        <v>196</v>
      </c>
      <c r="D551" s="7" t="s">
        <v>220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</row>
    <row r="552" spans="1:16" ht="30" hidden="1" customHeight="1" x14ac:dyDescent="0.2">
      <c r="A552" s="7" t="s">
        <v>59</v>
      </c>
      <c r="B552" s="7" t="s">
        <v>191</v>
      </c>
      <c r="C552" s="7" t="s">
        <v>196</v>
      </c>
      <c r="D552" s="7" t="s">
        <v>221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</row>
    <row r="553" spans="1:16" ht="30" hidden="1" customHeight="1" x14ac:dyDescent="0.2">
      <c r="A553" s="7" t="s">
        <v>59</v>
      </c>
      <c r="B553" s="7" t="s">
        <v>191</v>
      </c>
      <c r="C553" s="7" t="s">
        <v>196</v>
      </c>
      <c r="D553" s="7" t="s">
        <v>222</v>
      </c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</row>
    <row r="554" spans="1:16" ht="30" hidden="1" customHeight="1" x14ac:dyDescent="0.2">
      <c r="A554" s="7" t="s">
        <v>59</v>
      </c>
      <c r="B554" s="7" t="s">
        <v>151</v>
      </c>
      <c r="C554" s="7" t="s">
        <v>158</v>
      </c>
      <c r="D554" s="7" t="s">
        <v>219</v>
      </c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</row>
    <row r="555" spans="1:16" ht="30" hidden="1" customHeight="1" x14ac:dyDescent="0.2">
      <c r="A555" s="7" t="s">
        <v>59</v>
      </c>
      <c r="B555" s="7" t="s">
        <v>151</v>
      </c>
      <c r="C555" s="7" t="s">
        <v>158</v>
      </c>
      <c r="D555" s="7" t="s">
        <v>220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</row>
    <row r="556" spans="1:16" ht="30" hidden="1" customHeight="1" x14ac:dyDescent="0.2">
      <c r="A556" s="7" t="s">
        <v>59</v>
      </c>
      <c r="B556" s="7" t="s">
        <v>151</v>
      </c>
      <c r="C556" s="7" t="s">
        <v>158</v>
      </c>
      <c r="D556" s="7" t="s">
        <v>221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</row>
    <row r="557" spans="1:16" ht="30" hidden="1" customHeight="1" x14ac:dyDescent="0.2">
      <c r="A557" s="7" t="s">
        <v>59</v>
      </c>
      <c r="B557" s="7" t="s">
        <v>151</v>
      </c>
      <c r="C557" s="7" t="s">
        <v>158</v>
      </c>
      <c r="D557" s="7" t="s">
        <v>222</v>
      </c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</row>
    <row r="558" spans="1:16" ht="30" hidden="1" customHeight="1" x14ac:dyDescent="0.2">
      <c r="A558" s="7" t="s">
        <v>59</v>
      </c>
      <c r="B558" s="7" t="s">
        <v>151</v>
      </c>
      <c r="C558" s="7" t="s">
        <v>172</v>
      </c>
      <c r="D558" s="7" t="s">
        <v>219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</row>
    <row r="559" spans="1:16" ht="30" hidden="1" customHeight="1" x14ac:dyDescent="0.2">
      <c r="A559" s="7" t="s">
        <v>59</v>
      </c>
      <c r="B559" s="7" t="s">
        <v>151</v>
      </c>
      <c r="C559" s="7" t="s">
        <v>172</v>
      </c>
      <c r="D559" s="7" t="s">
        <v>220</v>
      </c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</row>
    <row r="560" spans="1:16" ht="30" hidden="1" customHeight="1" x14ac:dyDescent="0.2">
      <c r="A560" s="7" t="s">
        <v>59</v>
      </c>
      <c r="B560" s="7" t="s">
        <v>151</v>
      </c>
      <c r="C560" s="7" t="s">
        <v>172</v>
      </c>
      <c r="D560" s="7" t="s">
        <v>221</v>
      </c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</row>
    <row r="561" spans="1:16" ht="30" hidden="1" customHeight="1" x14ac:dyDescent="0.2">
      <c r="A561" s="7" t="s">
        <v>59</v>
      </c>
      <c r="B561" s="7" t="s">
        <v>151</v>
      </c>
      <c r="C561" s="7" t="s">
        <v>172</v>
      </c>
      <c r="D561" s="7" t="s">
        <v>222</v>
      </c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</row>
    <row r="562" spans="1:16" ht="30" hidden="1" customHeight="1" x14ac:dyDescent="0.2">
      <c r="A562" s="7" t="s">
        <v>59</v>
      </c>
      <c r="B562" s="7" t="s">
        <v>151</v>
      </c>
      <c r="C562" s="7" t="s">
        <v>171</v>
      </c>
      <c r="D562" s="7" t="s">
        <v>219</v>
      </c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</row>
    <row r="563" spans="1:16" ht="30" hidden="1" customHeight="1" x14ac:dyDescent="0.2">
      <c r="A563" s="7" t="s">
        <v>59</v>
      </c>
      <c r="B563" s="7" t="s">
        <v>151</v>
      </c>
      <c r="C563" s="7" t="s">
        <v>171</v>
      </c>
      <c r="D563" s="7" t="s">
        <v>220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</row>
    <row r="564" spans="1:16" ht="30" hidden="1" customHeight="1" x14ac:dyDescent="0.2">
      <c r="A564" s="7" t="s">
        <v>59</v>
      </c>
      <c r="B564" s="7" t="s">
        <v>151</v>
      </c>
      <c r="C564" s="7" t="s">
        <v>171</v>
      </c>
      <c r="D564" s="7" t="s">
        <v>221</v>
      </c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</row>
    <row r="565" spans="1:16" ht="30" hidden="1" customHeight="1" x14ac:dyDescent="0.2">
      <c r="A565" s="7" t="s">
        <v>59</v>
      </c>
      <c r="B565" s="7" t="s">
        <v>151</v>
      </c>
      <c r="C565" s="7" t="s">
        <v>171</v>
      </c>
      <c r="D565" s="7" t="s">
        <v>222</v>
      </c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</row>
    <row r="566" spans="1:16" ht="30" hidden="1" customHeight="1" x14ac:dyDescent="0.2">
      <c r="A566" s="7" t="s">
        <v>59</v>
      </c>
      <c r="B566" s="7" t="s">
        <v>151</v>
      </c>
      <c r="C566" s="7" t="s">
        <v>169</v>
      </c>
      <c r="D566" s="7" t="s">
        <v>219</v>
      </c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</row>
    <row r="567" spans="1:16" ht="30" hidden="1" customHeight="1" x14ac:dyDescent="0.2">
      <c r="A567" s="7" t="s">
        <v>59</v>
      </c>
      <c r="B567" s="7" t="s">
        <v>151</v>
      </c>
      <c r="C567" s="7" t="s">
        <v>169</v>
      </c>
      <c r="D567" s="7" t="s">
        <v>220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</row>
    <row r="568" spans="1:16" ht="30" hidden="1" customHeight="1" x14ac:dyDescent="0.2">
      <c r="A568" s="7" t="s">
        <v>59</v>
      </c>
      <c r="B568" s="7" t="s">
        <v>151</v>
      </c>
      <c r="C568" s="7" t="s">
        <v>169</v>
      </c>
      <c r="D568" s="7" t="s">
        <v>221</v>
      </c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</row>
    <row r="569" spans="1:16" ht="30" hidden="1" customHeight="1" x14ac:dyDescent="0.2">
      <c r="A569" s="7" t="s">
        <v>59</v>
      </c>
      <c r="B569" s="7" t="s">
        <v>151</v>
      </c>
      <c r="C569" s="7" t="s">
        <v>169</v>
      </c>
      <c r="D569" s="7" t="s">
        <v>222</v>
      </c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</row>
    <row r="570" spans="1:16" ht="30" hidden="1" customHeight="1" x14ac:dyDescent="0.2">
      <c r="A570" s="7" t="s">
        <v>59</v>
      </c>
      <c r="B570" s="7" t="s">
        <v>151</v>
      </c>
      <c r="C570" s="7" t="s">
        <v>170</v>
      </c>
      <c r="D570" s="7" t="s">
        <v>219</v>
      </c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</row>
    <row r="571" spans="1:16" ht="30" hidden="1" customHeight="1" x14ac:dyDescent="0.2">
      <c r="A571" s="7" t="s">
        <v>59</v>
      </c>
      <c r="B571" s="7" t="s">
        <v>151</v>
      </c>
      <c r="C571" s="7" t="s">
        <v>170</v>
      </c>
      <c r="D571" s="7" t="s">
        <v>220</v>
      </c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</row>
    <row r="572" spans="1:16" ht="30" hidden="1" customHeight="1" x14ac:dyDescent="0.2">
      <c r="A572" s="7" t="s">
        <v>59</v>
      </c>
      <c r="B572" s="7" t="s">
        <v>151</v>
      </c>
      <c r="C572" s="7" t="s">
        <v>170</v>
      </c>
      <c r="D572" s="7" t="s">
        <v>221</v>
      </c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</row>
    <row r="573" spans="1:16" ht="30" hidden="1" customHeight="1" x14ac:dyDescent="0.2">
      <c r="A573" s="7" t="s">
        <v>59</v>
      </c>
      <c r="B573" s="7" t="s">
        <v>151</v>
      </c>
      <c r="C573" s="7" t="s">
        <v>170</v>
      </c>
      <c r="D573" s="7" t="s">
        <v>222</v>
      </c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</row>
    <row r="574" spans="1:16" ht="30" hidden="1" customHeight="1" x14ac:dyDescent="0.2">
      <c r="A574" s="7" t="s">
        <v>59</v>
      </c>
      <c r="B574" s="7" t="s">
        <v>151</v>
      </c>
      <c r="C574" s="7" t="s">
        <v>167</v>
      </c>
      <c r="D574" s="7" t="s">
        <v>219</v>
      </c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</row>
    <row r="575" spans="1:16" ht="30" hidden="1" customHeight="1" x14ac:dyDescent="0.2">
      <c r="A575" s="7" t="s">
        <v>59</v>
      </c>
      <c r="B575" s="7" t="s">
        <v>151</v>
      </c>
      <c r="C575" s="7" t="s">
        <v>167</v>
      </c>
      <c r="D575" s="7" t="s">
        <v>220</v>
      </c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</row>
    <row r="576" spans="1:16" ht="30" hidden="1" customHeight="1" x14ac:dyDescent="0.2">
      <c r="A576" s="7" t="s">
        <v>59</v>
      </c>
      <c r="B576" s="7" t="s">
        <v>151</v>
      </c>
      <c r="C576" s="7" t="s">
        <v>167</v>
      </c>
      <c r="D576" s="7" t="s">
        <v>221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</row>
    <row r="577" spans="1:16" ht="30" hidden="1" customHeight="1" x14ac:dyDescent="0.2">
      <c r="A577" s="7" t="s">
        <v>59</v>
      </c>
      <c r="B577" s="7" t="s">
        <v>151</v>
      </c>
      <c r="C577" s="7" t="s">
        <v>167</v>
      </c>
      <c r="D577" s="7" t="s">
        <v>222</v>
      </c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</row>
    <row r="578" spans="1:16" ht="30" hidden="1" customHeight="1" x14ac:dyDescent="0.2">
      <c r="A578" s="7" t="s">
        <v>59</v>
      </c>
      <c r="B578" s="7" t="s">
        <v>151</v>
      </c>
      <c r="C578" s="7" t="s">
        <v>167</v>
      </c>
      <c r="D578" s="7" t="s">
        <v>219</v>
      </c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</row>
    <row r="579" spans="1:16" ht="30" hidden="1" customHeight="1" x14ac:dyDescent="0.2">
      <c r="A579" s="7" t="s">
        <v>59</v>
      </c>
      <c r="B579" s="7" t="s">
        <v>151</v>
      </c>
      <c r="C579" s="7" t="s">
        <v>167</v>
      </c>
      <c r="D579" s="7" t="s">
        <v>220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</row>
    <row r="580" spans="1:16" ht="30" hidden="1" customHeight="1" x14ac:dyDescent="0.2">
      <c r="A580" s="7" t="s">
        <v>59</v>
      </c>
      <c r="B580" s="7" t="s">
        <v>151</v>
      </c>
      <c r="C580" s="7" t="s">
        <v>167</v>
      </c>
      <c r="D580" s="7" t="s">
        <v>221</v>
      </c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</row>
    <row r="581" spans="1:16" ht="30" hidden="1" customHeight="1" x14ac:dyDescent="0.2">
      <c r="A581" s="7" t="s">
        <v>59</v>
      </c>
      <c r="B581" s="7" t="s">
        <v>151</v>
      </c>
      <c r="C581" s="7" t="s">
        <v>167</v>
      </c>
      <c r="D581" s="7" t="s">
        <v>222</v>
      </c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</row>
    <row r="582" spans="1:16" ht="30" hidden="1" customHeight="1" x14ac:dyDescent="0.2">
      <c r="A582" s="7" t="s">
        <v>59</v>
      </c>
      <c r="B582" s="7" t="s">
        <v>151</v>
      </c>
      <c r="C582" s="7" t="s">
        <v>168</v>
      </c>
      <c r="D582" s="7" t="s">
        <v>219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</row>
    <row r="583" spans="1:16" ht="30" hidden="1" customHeight="1" x14ac:dyDescent="0.2">
      <c r="A583" s="7" t="s">
        <v>59</v>
      </c>
      <c r="B583" s="7" t="s">
        <v>151</v>
      </c>
      <c r="C583" s="7" t="s">
        <v>168</v>
      </c>
      <c r="D583" s="7" t="s">
        <v>220</v>
      </c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</row>
    <row r="584" spans="1:16" ht="30" hidden="1" customHeight="1" x14ac:dyDescent="0.2">
      <c r="A584" s="7" t="s">
        <v>59</v>
      </c>
      <c r="B584" s="7" t="s">
        <v>151</v>
      </c>
      <c r="C584" s="7" t="s">
        <v>168</v>
      </c>
      <c r="D584" s="7" t="s">
        <v>221</v>
      </c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</row>
    <row r="585" spans="1:16" ht="30" hidden="1" customHeight="1" x14ac:dyDescent="0.2">
      <c r="A585" s="7" t="s">
        <v>59</v>
      </c>
      <c r="B585" s="7" t="s">
        <v>151</v>
      </c>
      <c r="C585" s="7" t="s">
        <v>168</v>
      </c>
      <c r="D585" s="7" t="s">
        <v>222</v>
      </c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</row>
    <row r="586" spans="1:16" ht="30" hidden="1" customHeight="1" x14ac:dyDescent="0.2">
      <c r="A586" s="7" t="s">
        <v>59</v>
      </c>
      <c r="B586" s="7" t="s">
        <v>151</v>
      </c>
      <c r="C586" s="7" t="s">
        <v>161</v>
      </c>
      <c r="D586" s="7" t="s">
        <v>219</v>
      </c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</row>
    <row r="587" spans="1:16" ht="30" hidden="1" customHeight="1" x14ac:dyDescent="0.2">
      <c r="A587" s="7" t="s">
        <v>59</v>
      </c>
      <c r="B587" s="7" t="s">
        <v>151</v>
      </c>
      <c r="C587" s="7" t="s">
        <v>161</v>
      </c>
      <c r="D587" s="7" t="s">
        <v>220</v>
      </c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</row>
    <row r="588" spans="1:16" ht="30" hidden="1" customHeight="1" x14ac:dyDescent="0.2">
      <c r="A588" s="7" t="s">
        <v>59</v>
      </c>
      <c r="B588" s="7" t="s">
        <v>151</v>
      </c>
      <c r="C588" s="7" t="s">
        <v>161</v>
      </c>
      <c r="D588" s="7" t="s">
        <v>221</v>
      </c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</row>
    <row r="589" spans="1:16" ht="30" hidden="1" customHeight="1" x14ac:dyDescent="0.2">
      <c r="A589" s="7" t="s">
        <v>59</v>
      </c>
      <c r="B589" s="7" t="s">
        <v>151</v>
      </c>
      <c r="C589" s="7" t="s">
        <v>161</v>
      </c>
      <c r="D589" s="7" t="s">
        <v>222</v>
      </c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</row>
    <row r="590" spans="1:16" ht="30" hidden="1" customHeight="1" x14ac:dyDescent="0.2">
      <c r="A590" s="7" t="s">
        <v>59</v>
      </c>
      <c r="B590" s="7" t="s">
        <v>151</v>
      </c>
      <c r="C590" s="7" t="s">
        <v>160</v>
      </c>
      <c r="D590" s="7" t="s">
        <v>219</v>
      </c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</row>
    <row r="591" spans="1:16" ht="30" hidden="1" customHeight="1" x14ac:dyDescent="0.2">
      <c r="A591" s="7" t="s">
        <v>59</v>
      </c>
      <c r="B591" s="7" t="s">
        <v>151</v>
      </c>
      <c r="C591" s="7" t="s">
        <v>160</v>
      </c>
      <c r="D591" s="7" t="s">
        <v>220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</row>
    <row r="592" spans="1:16" ht="30" hidden="1" customHeight="1" x14ac:dyDescent="0.2">
      <c r="A592" s="7" t="s">
        <v>59</v>
      </c>
      <c r="B592" s="7" t="s">
        <v>151</v>
      </c>
      <c r="C592" s="7" t="s">
        <v>160</v>
      </c>
      <c r="D592" s="7" t="s">
        <v>221</v>
      </c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</row>
    <row r="593" spans="1:16" ht="30" hidden="1" customHeight="1" x14ac:dyDescent="0.2">
      <c r="A593" s="7" t="s">
        <v>59</v>
      </c>
      <c r="B593" s="7" t="s">
        <v>151</v>
      </c>
      <c r="C593" s="7" t="s">
        <v>160</v>
      </c>
      <c r="D593" s="7" t="s">
        <v>222</v>
      </c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</row>
    <row r="594" spans="1:16" ht="30" hidden="1" customHeight="1" x14ac:dyDescent="0.2">
      <c r="A594" s="7" t="s">
        <v>59</v>
      </c>
      <c r="B594" s="7" t="s">
        <v>151</v>
      </c>
      <c r="C594" s="7" t="s">
        <v>159</v>
      </c>
      <c r="D594" s="7" t="s">
        <v>219</v>
      </c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</row>
    <row r="595" spans="1:16" ht="30" hidden="1" customHeight="1" x14ac:dyDescent="0.2">
      <c r="A595" s="7" t="s">
        <v>59</v>
      </c>
      <c r="B595" s="7" t="s">
        <v>151</v>
      </c>
      <c r="C595" s="7" t="s">
        <v>159</v>
      </c>
      <c r="D595" s="7" t="s">
        <v>220</v>
      </c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</row>
    <row r="596" spans="1:16" ht="30" hidden="1" customHeight="1" x14ac:dyDescent="0.2">
      <c r="A596" s="7" t="s">
        <v>59</v>
      </c>
      <c r="B596" s="7" t="s">
        <v>151</v>
      </c>
      <c r="C596" s="7" t="s">
        <v>159</v>
      </c>
      <c r="D596" s="7" t="s">
        <v>221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</row>
    <row r="597" spans="1:16" ht="30" hidden="1" customHeight="1" x14ac:dyDescent="0.2">
      <c r="A597" s="7" t="s">
        <v>59</v>
      </c>
      <c r="B597" s="7" t="s">
        <v>151</v>
      </c>
      <c r="C597" s="7" t="s">
        <v>159</v>
      </c>
      <c r="D597" s="7" t="s">
        <v>222</v>
      </c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</row>
    <row r="598" spans="1:16" ht="30" hidden="1" customHeight="1" x14ac:dyDescent="0.2">
      <c r="A598" s="7" t="s">
        <v>59</v>
      </c>
      <c r="B598" s="7" t="s">
        <v>151</v>
      </c>
      <c r="C598" s="7" t="s">
        <v>162</v>
      </c>
      <c r="D598" s="7" t="s">
        <v>219</v>
      </c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</row>
    <row r="599" spans="1:16" ht="30" hidden="1" customHeight="1" x14ac:dyDescent="0.2">
      <c r="A599" s="7" t="s">
        <v>59</v>
      </c>
      <c r="B599" s="7" t="s">
        <v>151</v>
      </c>
      <c r="C599" s="7" t="s">
        <v>162</v>
      </c>
      <c r="D599" s="7" t="s">
        <v>220</v>
      </c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</row>
    <row r="600" spans="1:16" ht="30" hidden="1" customHeight="1" x14ac:dyDescent="0.2">
      <c r="A600" s="7" t="s">
        <v>59</v>
      </c>
      <c r="B600" s="7" t="s">
        <v>151</v>
      </c>
      <c r="C600" s="7" t="s">
        <v>162</v>
      </c>
      <c r="D600" s="7" t="s">
        <v>221</v>
      </c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</row>
    <row r="601" spans="1:16" ht="30" hidden="1" customHeight="1" x14ac:dyDescent="0.2">
      <c r="A601" s="7" t="s">
        <v>59</v>
      </c>
      <c r="B601" s="7" t="s">
        <v>151</v>
      </c>
      <c r="C601" s="7" t="s">
        <v>162</v>
      </c>
      <c r="D601" s="7" t="s">
        <v>222</v>
      </c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</row>
    <row r="602" spans="1:16" ht="30" hidden="1" customHeight="1" x14ac:dyDescent="0.2">
      <c r="A602" s="7" t="s">
        <v>59</v>
      </c>
      <c r="B602" s="7" t="s">
        <v>151</v>
      </c>
      <c r="C602" s="7" t="s">
        <v>163</v>
      </c>
      <c r="D602" s="7" t="s">
        <v>219</v>
      </c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</row>
    <row r="603" spans="1:16" ht="30" hidden="1" customHeight="1" x14ac:dyDescent="0.2">
      <c r="A603" s="7" t="s">
        <v>59</v>
      </c>
      <c r="B603" s="7" t="s">
        <v>151</v>
      </c>
      <c r="C603" s="7" t="s">
        <v>163</v>
      </c>
      <c r="D603" s="7" t="s">
        <v>220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</row>
    <row r="604" spans="1:16" ht="30" hidden="1" customHeight="1" x14ac:dyDescent="0.2">
      <c r="A604" s="7" t="s">
        <v>59</v>
      </c>
      <c r="B604" s="7" t="s">
        <v>151</v>
      </c>
      <c r="C604" s="7" t="s">
        <v>163</v>
      </c>
      <c r="D604" s="7" t="s">
        <v>221</v>
      </c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</row>
    <row r="605" spans="1:16" ht="30" hidden="1" customHeight="1" x14ac:dyDescent="0.2">
      <c r="A605" s="7" t="s">
        <v>59</v>
      </c>
      <c r="B605" s="7" t="s">
        <v>151</v>
      </c>
      <c r="C605" s="7" t="s">
        <v>163</v>
      </c>
      <c r="D605" s="7" t="s">
        <v>222</v>
      </c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</row>
    <row r="606" spans="1:16" ht="30" hidden="1" customHeight="1" x14ac:dyDescent="0.2">
      <c r="A606" s="7" t="s">
        <v>59</v>
      </c>
      <c r="B606" s="7" t="s">
        <v>151</v>
      </c>
      <c r="C606" s="7" t="s">
        <v>164</v>
      </c>
      <c r="D606" s="7" t="s">
        <v>219</v>
      </c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</row>
    <row r="607" spans="1:16" ht="30" hidden="1" customHeight="1" x14ac:dyDescent="0.2">
      <c r="A607" s="7" t="s">
        <v>59</v>
      </c>
      <c r="B607" s="7" t="s">
        <v>151</v>
      </c>
      <c r="C607" s="7" t="s">
        <v>164</v>
      </c>
      <c r="D607" s="7" t="s">
        <v>220</v>
      </c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</row>
    <row r="608" spans="1:16" ht="30" hidden="1" customHeight="1" x14ac:dyDescent="0.2">
      <c r="A608" s="7" t="s">
        <v>59</v>
      </c>
      <c r="B608" s="7" t="s">
        <v>151</v>
      </c>
      <c r="C608" s="7" t="s">
        <v>164</v>
      </c>
      <c r="D608" s="7" t="s">
        <v>221</v>
      </c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</row>
    <row r="609" spans="1:16" ht="30" hidden="1" customHeight="1" x14ac:dyDescent="0.2">
      <c r="A609" s="7" t="s">
        <v>59</v>
      </c>
      <c r="B609" s="7" t="s">
        <v>151</v>
      </c>
      <c r="C609" s="7" t="s">
        <v>164</v>
      </c>
      <c r="D609" s="7" t="s">
        <v>222</v>
      </c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</row>
    <row r="610" spans="1:16" ht="30" hidden="1" customHeight="1" x14ac:dyDescent="0.2">
      <c r="A610" s="7" t="s">
        <v>59</v>
      </c>
      <c r="B610" s="7" t="s">
        <v>151</v>
      </c>
      <c r="C610" s="7" t="s">
        <v>165</v>
      </c>
      <c r="D610" s="7" t="s">
        <v>219</v>
      </c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</row>
    <row r="611" spans="1:16" ht="30" hidden="1" customHeight="1" x14ac:dyDescent="0.2">
      <c r="A611" s="7" t="s">
        <v>59</v>
      </c>
      <c r="B611" s="7" t="s">
        <v>151</v>
      </c>
      <c r="C611" s="7" t="s">
        <v>165</v>
      </c>
      <c r="D611" s="7" t="s">
        <v>220</v>
      </c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</row>
    <row r="612" spans="1:16" ht="30" hidden="1" customHeight="1" x14ac:dyDescent="0.2">
      <c r="A612" s="7" t="s">
        <v>59</v>
      </c>
      <c r="B612" s="7" t="s">
        <v>151</v>
      </c>
      <c r="C612" s="7" t="s">
        <v>165</v>
      </c>
      <c r="D612" s="7" t="s">
        <v>221</v>
      </c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</row>
    <row r="613" spans="1:16" ht="30" hidden="1" customHeight="1" x14ac:dyDescent="0.2">
      <c r="A613" s="7" t="s">
        <v>59</v>
      </c>
      <c r="B613" s="7" t="s">
        <v>151</v>
      </c>
      <c r="C613" s="7" t="s">
        <v>165</v>
      </c>
      <c r="D613" s="7" t="s">
        <v>222</v>
      </c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</row>
    <row r="614" spans="1:16" ht="30" hidden="1" customHeight="1" x14ac:dyDescent="0.2">
      <c r="A614" s="7" t="s">
        <v>59</v>
      </c>
      <c r="B614" s="7" t="s">
        <v>151</v>
      </c>
      <c r="C614" s="7" t="s">
        <v>166</v>
      </c>
      <c r="D614" s="7" t="s">
        <v>219</v>
      </c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</row>
    <row r="615" spans="1:16" ht="30" hidden="1" customHeight="1" x14ac:dyDescent="0.2">
      <c r="A615" s="7" t="s">
        <v>59</v>
      </c>
      <c r="B615" s="7" t="s">
        <v>151</v>
      </c>
      <c r="C615" s="7" t="s">
        <v>166</v>
      </c>
      <c r="D615" s="7" t="s">
        <v>220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</row>
    <row r="616" spans="1:16" ht="30" hidden="1" customHeight="1" x14ac:dyDescent="0.2">
      <c r="A616" s="7" t="s">
        <v>59</v>
      </c>
      <c r="B616" s="7" t="s">
        <v>151</v>
      </c>
      <c r="C616" s="7" t="s">
        <v>166</v>
      </c>
      <c r="D616" s="7" t="s">
        <v>221</v>
      </c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</row>
    <row r="617" spans="1:16" ht="30" hidden="1" customHeight="1" x14ac:dyDescent="0.2">
      <c r="A617" s="7" t="s">
        <v>59</v>
      </c>
      <c r="B617" s="7" t="s">
        <v>151</v>
      </c>
      <c r="C617" s="7" t="s">
        <v>166</v>
      </c>
      <c r="D617" s="7" t="s">
        <v>222</v>
      </c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</row>
    <row r="618" spans="1:16" ht="30" hidden="1" customHeight="1" x14ac:dyDescent="0.2">
      <c r="A618" s="7" t="s">
        <v>59</v>
      </c>
      <c r="B618" s="7" t="s">
        <v>151</v>
      </c>
      <c r="C618" s="7" t="s">
        <v>57</v>
      </c>
      <c r="D618" s="7" t="s">
        <v>219</v>
      </c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</row>
    <row r="619" spans="1:16" ht="30" hidden="1" customHeight="1" x14ac:dyDescent="0.2">
      <c r="A619" s="7" t="s">
        <v>59</v>
      </c>
      <c r="B619" s="7" t="s">
        <v>151</v>
      </c>
      <c r="C619" s="7" t="s">
        <v>57</v>
      </c>
      <c r="D619" s="7" t="s">
        <v>220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</row>
    <row r="620" spans="1:16" ht="30" hidden="1" customHeight="1" x14ac:dyDescent="0.2">
      <c r="A620" s="7" t="s">
        <v>59</v>
      </c>
      <c r="B620" s="7" t="s">
        <v>151</v>
      </c>
      <c r="C620" s="7" t="s">
        <v>57</v>
      </c>
      <c r="D620" s="7" t="s">
        <v>221</v>
      </c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</row>
    <row r="621" spans="1:16" ht="30" hidden="1" customHeight="1" x14ac:dyDescent="0.2">
      <c r="A621" s="7" t="s">
        <v>59</v>
      </c>
      <c r="B621" s="7" t="s">
        <v>151</v>
      </c>
      <c r="C621" s="7" t="s">
        <v>57</v>
      </c>
      <c r="D621" s="7" t="s">
        <v>222</v>
      </c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</row>
    <row r="622" spans="1:16" ht="30" hidden="1" customHeight="1" x14ac:dyDescent="0.2">
      <c r="A622" s="7" t="s">
        <v>59</v>
      </c>
      <c r="B622" s="7" t="s">
        <v>151</v>
      </c>
      <c r="C622" s="7" t="s">
        <v>57</v>
      </c>
      <c r="D622" s="7" t="s">
        <v>219</v>
      </c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</row>
    <row r="623" spans="1:16" ht="30" hidden="1" customHeight="1" x14ac:dyDescent="0.2">
      <c r="A623" s="7" t="s">
        <v>59</v>
      </c>
      <c r="B623" s="7" t="s">
        <v>151</v>
      </c>
      <c r="C623" s="7" t="s">
        <v>57</v>
      </c>
      <c r="D623" s="7" t="s">
        <v>220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</row>
    <row r="624" spans="1:16" ht="30" hidden="1" customHeight="1" x14ac:dyDescent="0.2">
      <c r="A624" s="7" t="s">
        <v>59</v>
      </c>
      <c r="B624" s="7" t="s">
        <v>151</v>
      </c>
      <c r="C624" s="7" t="s">
        <v>57</v>
      </c>
      <c r="D624" s="7" t="s">
        <v>221</v>
      </c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</row>
    <row r="625" spans="1:16" ht="30" hidden="1" customHeight="1" x14ac:dyDescent="0.2">
      <c r="A625" s="7" t="s">
        <v>59</v>
      </c>
      <c r="B625" s="7" t="s">
        <v>151</v>
      </c>
      <c r="C625" s="7" t="s">
        <v>57</v>
      </c>
      <c r="D625" s="7" t="s">
        <v>222</v>
      </c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</row>
    <row r="626" spans="1:16" ht="30" customHeight="1" x14ac:dyDescent="0.2">
      <c r="A626" s="7" t="s">
        <v>21</v>
      </c>
      <c r="B626" s="7" t="s">
        <v>5</v>
      </c>
      <c r="C626" s="7" t="s">
        <v>57</v>
      </c>
      <c r="D626" s="7" t="s">
        <v>219</v>
      </c>
      <c r="E626" s="7"/>
      <c r="F626" s="8"/>
      <c r="G626" s="7"/>
      <c r="H626" s="7"/>
      <c r="I626" s="8"/>
      <c r="J626" s="8"/>
      <c r="K626" s="8"/>
      <c r="L626" s="8"/>
      <c r="M626" s="9"/>
      <c r="N626" s="8"/>
      <c r="O626" s="10"/>
      <c r="P626" s="10"/>
    </row>
    <row r="627" spans="1:16" ht="30" customHeight="1" x14ac:dyDescent="0.2">
      <c r="A627" s="7" t="s">
        <v>21</v>
      </c>
      <c r="B627" s="7" t="s">
        <v>5</v>
      </c>
      <c r="C627" s="7" t="s">
        <v>57</v>
      </c>
      <c r="D627" s="7" t="s">
        <v>220</v>
      </c>
      <c r="E627" s="7"/>
      <c r="F627" s="8"/>
      <c r="G627" s="7"/>
      <c r="H627" s="7"/>
      <c r="I627" s="8"/>
      <c r="J627" s="8"/>
      <c r="K627" s="8"/>
      <c r="L627" s="8"/>
      <c r="M627" s="9"/>
      <c r="N627" s="8"/>
      <c r="O627" s="10"/>
      <c r="P627" s="11"/>
    </row>
    <row r="628" spans="1:16" ht="30" customHeight="1" x14ac:dyDescent="0.2">
      <c r="A628" s="7" t="s">
        <v>21</v>
      </c>
      <c r="B628" s="7" t="s">
        <v>5</v>
      </c>
      <c r="C628" s="7" t="s">
        <v>57</v>
      </c>
      <c r="D628" s="7" t="s">
        <v>221</v>
      </c>
      <c r="E628" s="7"/>
      <c r="F628" s="8"/>
      <c r="G628" s="7"/>
      <c r="H628" s="7"/>
      <c r="I628" s="8"/>
      <c r="J628" s="8"/>
      <c r="K628" s="8"/>
      <c r="L628" s="8"/>
      <c r="M628" s="9"/>
      <c r="N628" s="8"/>
      <c r="O628" s="10"/>
      <c r="P628" s="10"/>
    </row>
    <row r="629" spans="1:16" ht="30" customHeight="1" x14ac:dyDescent="0.2">
      <c r="A629" s="7" t="s">
        <v>21</v>
      </c>
      <c r="B629" s="7" t="s">
        <v>5</v>
      </c>
      <c r="C629" s="7" t="s">
        <v>57</v>
      </c>
      <c r="D629" s="7" t="s">
        <v>222</v>
      </c>
      <c r="E629" s="7"/>
      <c r="F629" s="8"/>
      <c r="G629" s="7"/>
      <c r="H629" s="7"/>
      <c r="I629" s="8"/>
      <c r="J629" s="8"/>
      <c r="K629" s="8"/>
      <c r="L629" s="8"/>
      <c r="M629" s="9"/>
      <c r="N629" s="8"/>
      <c r="O629" s="10"/>
      <c r="P629" s="11"/>
    </row>
    <row r="630" spans="1:16" ht="30" customHeight="1" x14ac:dyDescent="0.2">
      <c r="A630" s="7" t="s">
        <v>21</v>
      </c>
      <c r="B630" s="7" t="s">
        <v>5</v>
      </c>
      <c r="C630" s="7" t="s">
        <v>57</v>
      </c>
      <c r="D630" s="7" t="s">
        <v>219</v>
      </c>
      <c r="E630" s="7"/>
      <c r="F630" s="8"/>
      <c r="G630" s="7"/>
      <c r="H630" s="7"/>
      <c r="I630" s="8"/>
      <c r="J630" s="8"/>
      <c r="K630" s="8"/>
      <c r="L630" s="8"/>
      <c r="M630" s="9"/>
      <c r="N630" s="8"/>
      <c r="O630" s="10"/>
      <c r="P630" s="10"/>
    </row>
    <row r="631" spans="1:16" ht="30" customHeight="1" x14ac:dyDescent="0.2">
      <c r="A631" s="7" t="s">
        <v>21</v>
      </c>
      <c r="B631" s="7" t="s">
        <v>5</v>
      </c>
      <c r="C631" s="7" t="s">
        <v>57</v>
      </c>
      <c r="D631" s="7" t="s">
        <v>220</v>
      </c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</row>
    <row r="632" spans="1:16" ht="30" customHeight="1" x14ac:dyDescent="0.2">
      <c r="A632" s="7" t="s">
        <v>21</v>
      </c>
      <c r="B632" s="7" t="s">
        <v>5</v>
      </c>
      <c r="C632" s="7" t="s">
        <v>57</v>
      </c>
      <c r="D632" s="7" t="s">
        <v>221</v>
      </c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</row>
    <row r="633" spans="1:16" ht="30" customHeight="1" x14ac:dyDescent="0.2">
      <c r="A633" s="7" t="s">
        <v>21</v>
      </c>
      <c r="B633" s="7" t="s">
        <v>5</v>
      </c>
      <c r="C633" s="7" t="s">
        <v>57</v>
      </c>
      <c r="D633" s="7" t="s">
        <v>222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</row>
    <row r="634" spans="1:16" ht="30" customHeight="1" x14ac:dyDescent="0.2">
      <c r="A634" s="7" t="s">
        <v>21</v>
      </c>
      <c r="B634" s="7" t="s">
        <v>5</v>
      </c>
      <c r="C634" s="7" t="s">
        <v>57</v>
      </c>
      <c r="D634" s="7" t="s">
        <v>219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</row>
    <row r="635" spans="1:16" ht="30" customHeight="1" x14ac:dyDescent="0.2">
      <c r="A635" s="7" t="s">
        <v>21</v>
      </c>
      <c r="B635" s="7" t="s">
        <v>5</v>
      </c>
      <c r="C635" s="7" t="s">
        <v>57</v>
      </c>
      <c r="D635" s="7" t="s">
        <v>220</v>
      </c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</row>
    <row r="636" spans="1:16" ht="30" customHeight="1" x14ac:dyDescent="0.2">
      <c r="A636" s="7" t="s">
        <v>21</v>
      </c>
      <c r="B636" s="7" t="s">
        <v>5</v>
      </c>
      <c r="C636" s="7" t="s">
        <v>57</v>
      </c>
      <c r="D636" s="7" t="s">
        <v>221</v>
      </c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</row>
    <row r="637" spans="1:16" ht="30" customHeight="1" x14ac:dyDescent="0.2">
      <c r="A637" s="7" t="s">
        <v>21</v>
      </c>
      <c r="B637" s="7" t="s">
        <v>5</v>
      </c>
      <c r="C637" s="7" t="s">
        <v>57</v>
      </c>
      <c r="D637" s="7" t="s">
        <v>222</v>
      </c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</row>
    <row r="638" spans="1:16" ht="30" customHeight="1" x14ac:dyDescent="0.2">
      <c r="A638" s="7" t="s">
        <v>21</v>
      </c>
      <c r="B638" s="7" t="s">
        <v>5</v>
      </c>
      <c r="C638" s="7" t="s">
        <v>57</v>
      </c>
      <c r="D638" s="7" t="s">
        <v>219</v>
      </c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</row>
    <row r="639" spans="1:16" ht="30" customHeight="1" x14ac:dyDescent="0.2">
      <c r="A639" s="7" t="s">
        <v>21</v>
      </c>
      <c r="B639" s="7" t="s">
        <v>5</v>
      </c>
      <c r="C639" s="7" t="s">
        <v>57</v>
      </c>
      <c r="D639" s="7" t="s">
        <v>220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</row>
    <row r="640" spans="1:16" ht="30" customHeight="1" x14ac:dyDescent="0.2">
      <c r="A640" s="7" t="s">
        <v>21</v>
      </c>
      <c r="B640" s="7" t="s">
        <v>5</v>
      </c>
      <c r="C640" s="7" t="s">
        <v>57</v>
      </c>
      <c r="D640" s="7" t="s">
        <v>221</v>
      </c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</row>
    <row r="641" spans="1:16" ht="30" customHeight="1" x14ac:dyDescent="0.2">
      <c r="A641" s="7" t="s">
        <v>21</v>
      </c>
      <c r="B641" s="7" t="s">
        <v>5</v>
      </c>
      <c r="C641" s="7" t="s">
        <v>57</v>
      </c>
      <c r="D641" s="7" t="s">
        <v>222</v>
      </c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</row>
    <row r="642" spans="1:16" ht="30" customHeight="1" x14ac:dyDescent="0.2">
      <c r="A642" s="7" t="s">
        <v>21</v>
      </c>
      <c r="B642" s="7" t="s">
        <v>5</v>
      </c>
      <c r="C642" s="7" t="s">
        <v>57</v>
      </c>
      <c r="D642" s="7" t="s">
        <v>219</v>
      </c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</row>
    <row r="643" spans="1:16" ht="30" customHeight="1" x14ac:dyDescent="0.2">
      <c r="A643" s="7" t="s">
        <v>21</v>
      </c>
      <c r="B643" s="7" t="s">
        <v>5</v>
      </c>
      <c r="C643" s="7" t="s">
        <v>57</v>
      </c>
      <c r="D643" s="7" t="s">
        <v>220</v>
      </c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</row>
    <row r="644" spans="1:16" ht="30" customHeight="1" x14ac:dyDescent="0.2">
      <c r="A644" s="7" t="s">
        <v>21</v>
      </c>
      <c r="B644" s="7" t="s">
        <v>5</v>
      </c>
      <c r="C644" s="7" t="s">
        <v>57</v>
      </c>
      <c r="D644" s="7" t="s">
        <v>221</v>
      </c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</row>
    <row r="645" spans="1:16" ht="30" customHeight="1" x14ac:dyDescent="0.2">
      <c r="A645" s="7" t="s">
        <v>21</v>
      </c>
      <c r="B645" s="7" t="s">
        <v>5</v>
      </c>
      <c r="C645" s="7" t="s">
        <v>57</v>
      </c>
      <c r="D645" s="7" t="s">
        <v>222</v>
      </c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</row>
    <row r="646" spans="1:16" ht="30" customHeight="1" x14ac:dyDescent="0.2">
      <c r="A646" s="7" t="s">
        <v>21</v>
      </c>
      <c r="B646" s="7" t="s">
        <v>41</v>
      </c>
      <c r="C646" s="7" t="s">
        <v>63</v>
      </c>
      <c r="D646" s="7" t="s">
        <v>219</v>
      </c>
      <c r="E646" s="7"/>
      <c r="F646" s="8"/>
      <c r="G646" s="7"/>
      <c r="H646" s="7"/>
      <c r="I646" s="8"/>
      <c r="J646" s="8"/>
      <c r="K646" s="8"/>
      <c r="L646" s="8"/>
      <c r="M646" s="9"/>
      <c r="N646" s="8"/>
      <c r="O646" s="10"/>
      <c r="P646" s="10"/>
    </row>
    <row r="647" spans="1:16" ht="30" customHeight="1" x14ac:dyDescent="0.2">
      <c r="A647" s="7" t="s">
        <v>21</v>
      </c>
      <c r="B647" s="7" t="s">
        <v>41</v>
      </c>
      <c r="C647" s="7" t="s">
        <v>63</v>
      </c>
      <c r="D647" s="7" t="s">
        <v>220</v>
      </c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</row>
    <row r="648" spans="1:16" ht="30" customHeight="1" x14ac:dyDescent="0.2">
      <c r="A648" s="7" t="s">
        <v>21</v>
      </c>
      <c r="B648" s="7" t="s">
        <v>41</v>
      </c>
      <c r="C648" s="7" t="s">
        <v>63</v>
      </c>
      <c r="D648" s="7" t="s">
        <v>221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</row>
    <row r="649" spans="1:16" ht="30" customHeight="1" x14ac:dyDescent="0.2">
      <c r="A649" s="7" t="s">
        <v>21</v>
      </c>
      <c r="B649" s="7" t="s">
        <v>41</v>
      </c>
      <c r="C649" s="7" t="s">
        <v>63</v>
      </c>
      <c r="D649" s="7" t="s">
        <v>222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</row>
    <row r="650" spans="1:16" ht="30" customHeight="1" x14ac:dyDescent="0.2">
      <c r="A650" s="7" t="s">
        <v>21</v>
      </c>
      <c r="B650" s="7" t="s">
        <v>64</v>
      </c>
      <c r="C650" s="7" t="s">
        <v>79</v>
      </c>
      <c r="D650" s="7" t="s">
        <v>219</v>
      </c>
      <c r="E650" s="7"/>
      <c r="F650" s="8"/>
      <c r="G650" s="7"/>
      <c r="H650" s="7"/>
      <c r="I650" s="8"/>
      <c r="J650" s="8"/>
      <c r="K650" s="8"/>
      <c r="L650" s="8"/>
      <c r="M650" s="9"/>
      <c r="N650" s="8"/>
      <c r="O650" s="10"/>
      <c r="P650" s="11"/>
    </row>
    <row r="651" spans="1:16" ht="30" customHeight="1" x14ac:dyDescent="0.2">
      <c r="A651" s="7" t="s">
        <v>21</v>
      </c>
      <c r="B651" s="7" t="s">
        <v>64</v>
      </c>
      <c r="C651" s="7" t="s">
        <v>79</v>
      </c>
      <c r="D651" s="7" t="s">
        <v>220</v>
      </c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</row>
    <row r="652" spans="1:16" ht="30" customHeight="1" x14ac:dyDescent="0.2">
      <c r="A652" s="7" t="s">
        <v>21</v>
      </c>
      <c r="B652" s="7" t="s">
        <v>64</v>
      </c>
      <c r="C652" s="7" t="s">
        <v>79</v>
      </c>
      <c r="D652" s="7" t="s">
        <v>221</v>
      </c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</row>
    <row r="653" spans="1:16" ht="30" customHeight="1" x14ac:dyDescent="0.2">
      <c r="A653" s="7" t="s">
        <v>21</v>
      </c>
      <c r="B653" s="7" t="s">
        <v>64</v>
      </c>
      <c r="C653" s="7" t="s">
        <v>79</v>
      </c>
      <c r="D653" s="7" t="s">
        <v>222</v>
      </c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</row>
    <row r="654" spans="1:16" ht="30" customHeight="1" x14ac:dyDescent="0.2">
      <c r="A654" s="7" t="s">
        <v>21</v>
      </c>
      <c r="B654" s="7" t="s">
        <v>64</v>
      </c>
      <c r="C654" s="7" t="s">
        <v>80</v>
      </c>
      <c r="D654" s="7" t="s">
        <v>219</v>
      </c>
      <c r="E654" s="7"/>
      <c r="F654" s="8"/>
      <c r="G654" s="7"/>
      <c r="H654" s="7"/>
      <c r="I654" s="8"/>
      <c r="J654" s="8"/>
      <c r="K654" s="8"/>
      <c r="L654" s="8"/>
      <c r="M654" s="9"/>
      <c r="N654" s="8"/>
      <c r="O654" s="10"/>
      <c r="P654" s="11"/>
    </row>
    <row r="655" spans="1:16" ht="30" customHeight="1" x14ac:dyDescent="0.2">
      <c r="A655" s="7" t="s">
        <v>21</v>
      </c>
      <c r="B655" s="7" t="s">
        <v>64</v>
      </c>
      <c r="C655" s="7" t="s">
        <v>80</v>
      </c>
      <c r="D655" s="7" t="s">
        <v>220</v>
      </c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</row>
    <row r="656" spans="1:16" ht="30" customHeight="1" x14ac:dyDescent="0.2">
      <c r="A656" s="7" t="s">
        <v>21</v>
      </c>
      <c r="B656" s="7" t="s">
        <v>64</v>
      </c>
      <c r="C656" s="7" t="s">
        <v>80</v>
      </c>
      <c r="D656" s="7" t="s">
        <v>221</v>
      </c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</row>
    <row r="657" spans="1:16" ht="30" customHeight="1" x14ac:dyDescent="0.2">
      <c r="A657" s="7" t="s">
        <v>21</v>
      </c>
      <c r="B657" s="7" t="s">
        <v>64</v>
      </c>
      <c r="C657" s="7" t="s">
        <v>80</v>
      </c>
      <c r="D657" s="7" t="s">
        <v>222</v>
      </c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</row>
    <row r="658" spans="1:16" ht="30" customHeight="1" x14ac:dyDescent="0.2">
      <c r="A658" s="7" t="s">
        <v>21</v>
      </c>
      <c r="B658" s="7" t="s">
        <v>64</v>
      </c>
      <c r="C658" s="7" t="s">
        <v>81</v>
      </c>
      <c r="D658" s="7" t="s">
        <v>219</v>
      </c>
      <c r="E658" s="7"/>
      <c r="F658" s="8"/>
      <c r="G658" s="7"/>
      <c r="H658" s="7"/>
      <c r="I658" s="8"/>
      <c r="J658" s="8"/>
      <c r="K658" s="8"/>
      <c r="L658" s="8"/>
      <c r="M658" s="9"/>
      <c r="N658" s="8"/>
      <c r="O658" s="10"/>
      <c r="P658" s="11"/>
    </row>
    <row r="659" spans="1:16" ht="30" customHeight="1" x14ac:dyDescent="0.2">
      <c r="A659" s="7" t="s">
        <v>21</v>
      </c>
      <c r="B659" s="7" t="s">
        <v>64</v>
      </c>
      <c r="C659" s="7" t="s">
        <v>81</v>
      </c>
      <c r="D659" s="7" t="s">
        <v>220</v>
      </c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</row>
    <row r="660" spans="1:16" ht="30" customHeight="1" x14ac:dyDescent="0.2">
      <c r="A660" s="7" t="s">
        <v>21</v>
      </c>
      <c r="B660" s="7" t="s">
        <v>64</v>
      </c>
      <c r="C660" s="7" t="s">
        <v>81</v>
      </c>
      <c r="D660" s="7" t="s">
        <v>221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</row>
    <row r="661" spans="1:16" ht="30" customHeight="1" x14ac:dyDescent="0.2">
      <c r="A661" s="7" t="s">
        <v>21</v>
      </c>
      <c r="B661" s="7" t="s">
        <v>64</v>
      </c>
      <c r="C661" s="7" t="s">
        <v>81</v>
      </c>
      <c r="D661" s="7" t="s">
        <v>222</v>
      </c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</row>
    <row r="662" spans="1:16" ht="30" customHeight="1" x14ac:dyDescent="0.2">
      <c r="A662" s="7" t="s">
        <v>21</v>
      </c>
      <c r="B662" s="7" t="s">
        <v>64</v>
      </c>
      <c r="C662" s="7" t="s">
        <v>82</v>
      </c>
      <c r="D662" s="7" t="s">
        <v>219</v>
      </c>
      <c r="E662" s="7"/>
      <c r="F662" s="8"/>
      <c r="G662" s="7"/>
      <c r="H662" s="7"/>
      <c r="I662" s="8"/>
      <c r="J662" s="8"/>
      <c r="K662" s="8"/>
      <c r="L662" s="8"/>
      <c r="M662" s="9"/>
      <c r="N662" s="8"/>
      <c r="O662" s="10"/>
      <c r="P662" s="11"/>
    </row>
    <row r="663" spans="1:16" ht="30" customHeight="1" x14ac:dyDescent="0.2">
      <c r="A663" s="7" t="s">
        <v>21</v>
      </c>
      <c r="B663" s="7" t="s">
        <v>64</v>
      </c>
      <c r="C663" s="7" t="s">
        <v>82</v>
      </c>
      <c r="D663" s="7" t="s">
        <v>220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</row>
    <row r="664" spans="1:16" ht="30" customHeight="1" x14ac:dyDescent="0.2">
      <c r="A664" s="7" t="s">
        <v>21</v>
      </c>
      <c r="B664" s="7" t="s">
        <v>64</v>
      </c>
      <c r="C664" s="7" t="s">
        <v>82</v>
      </c>
      <c r="D664" s="7" t="s">
        <v>221</v>
      </c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</row>
    <row r="665" spans="1:16" ht="30" customHeight="1" x14ac:dyDescent="0.2">
      <c r="A665" s="7" t="s">
        <v>21</v>
      </c>
      <c r="B665" s="7" t="s">
        <v>64</v>
      </c>
      <c r="C665" s="7" t="s">
        <v>82</v>
      </c>
      <c r="D665" s="7" t="s">
        <v>222</v>
      </c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</row>
    <row r="666" spans="1:16" ht="30" customHeight="1" x14ac:dyDescent="0.2">
      <c r="A666" s="7" t="s">
        <v>21</v>
      </c>
      <c r="B666" s="7" t="s">
        <v>64</v>
      </c>
      <c r="C666" s="7" t="s">
        <v>83</v>
      </c>
      <c r="D666" s="7" t="s">
        <v>219</v>
      </c>
      <c r="E666" s="7"/>
      <c r="F666" s="8"/>
      <c r="G666" s="7"/>
      <c r="H666" s="7"/>
      <c r="I666" s="8"/>
      <c r="J666" s="8"/>
      <c r="K666" s="8"/>
      <c r="L666" s="8"/>
      <c r="M666" s="9"/>
      <c r="N666" s="8"/>
      <c r="O666" s="10"/>
      <c r="P666" s="11"/>
    </row>
    <row r="667" spans="1:16" ht="30" customHeight="1" x14ac:dyDescent="0.2">
      <c r="A667" s="7" t="s">
        <v>21</v>
      </c>
      <c r="B667" s="7" t="s">
        <v>64</v>
      </c>
      <c r="C667" s="7" t="s">
        <v>83</v>
      </c>
      <c r="D667" s="7" t="s">
        <v>220</v>
      </c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</row>
    <row r="668" spans="1:16" ht="30" customHeight="1" x14ac:dyDescent="0.2">
      <c r="A668" s="7" t="s">
        <v>21</v>
      </c>
      <c r="B668" s="7" t="s">
        <v>64</v>
      </c>
      <c r="C668" s="7" t="s">
        <v>83</v>
      </c>
      <c r="D668" s="7" t="s">
        <v>221</v>
      </c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</row>
    <row r="669" spans="1:16" ht="30" customHeight="1" x14ac:dyDescent="0.2">
      <c r="A669" s="7" t="s">
        <v>21</v>
      </c>
      <c r="B669" s="7" t="s">
        <v>64</v>
      </c>
      <c r="C669" s="7" t="s">
        <v>83</v>
      </c>
      <c r="D669" s="7" t="s">
        <v>222</v>
      </c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</row>
    <row r="670" spans="1:16" ht="30" customHeight="1" x14ac:dyDescent="0.2">
      <c r="A670" s="7" t="s">
        <v>21</v>
      </c>
      <c r="B670" s="7" t="s">
        <v>64</v>
      </c>
      <c r="C670" s="7" t="s">
        <v>84</v>
      </c>
      <c r="D670" s="7" t="s">
        <v>219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</row>
    <row r="671" spans="1:16" ht="30" customHeight="1" x14ac:dyDescent="0.2">
      <c r="A671" s="7" t="s">
        <v>21</v>
      </c>
      <c r="B671" s="7" t="s">
        <v>64</v>
      </c>
      <c r="C671" s="7" t="s">
        <v>84</v>
      </c>
      <c r="D671" s="7" t="s">
        <v>220</v>
      </c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</row>
    <row r="672" spans="1:16" ht="30" customHeight="1" x14ac:dyDescent="0.2">
      <c r="A672" s="7" t="s">
        <v>21</v>
      </c>
      <c r="B672" s="7" t="s">
        <v>64</v>
      </c>
      <c r="C672" s="7" t="s">
        <v>84</v>
      </c>
      <c r="D672" s="7" t="s">
        <v>221</v>
      </c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</row>
    <row r="673" spans="1:16" ht="30" customHeight="1" x14ac:dyDescent="0.2">
      <c r="A673" s="7" t="s">
        <v>21</v>
      </c>
      <c r="B673" s="7" t="s">
        <v>64</v>
      </c>
      <c r="C673" s="7" t="s">
        <v>84</v>
      </c>
      <c r="D673" s="7" t="s">
        <v>222</v>
      </c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</row>
    <row r="674" spans="1:16" ht="30" customHeight="1" x14ac:dyDescent="0.2">
      <c r="A674" s="7" t="s">
        <v>21</v>
      </c>
      <c r="B674" s="7" t="s">
        <v>64</v>
      </c>
      <c r="C674" s="7" t="s">
        <v>85</v>
      </c>
      <c r="D674" s="7" t="s">
        <v>219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</row>
    <row r="675" spans="1:16" ht="30" customHeight="1" x14ac:dyDescent="0.2">
      <c r="A675" s="7" t="s">
        <v>21</v>
      </c>
      <c r="B675" s="7" t="s">
        <v>64</v>
      </c>
      <c r="C675" s="7" t="s">
        <v>85</v>
      </c>
      <c r="D675" s="7" t="s">
        <v>220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</row>
    <row r="676" spans="1:16" ht="30" customHeight="1" x14ac:dyDescent="0.2">
      <c r="A676" s="7" t="s">
        <v>21</v>
      </c>
      <c r="B676" s="7" t="s">
        <v>64</v>
      </c>
      <c r="C676" s="7" t="s">
        <v>85</v>
      </c>
      <c r="D676" s="7" t="s">
        <v>221</v>
      </c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</row>
    <row r="677" spans="1:16" ht="30" customHeight="1" x14ac:dyDescent="0.2">
      <c r="A677" s="7" t="s">
        <v>21</v>
      </c>
      <c r="B677" s="7" t="s">
        <v>64</v>
      </c>
      <c r="C677" s="7" t="s">
        <v>85</v>
      </c>
      <c r="D677" s="7" t="s">
        <v>222</v>
      </c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</row>
    <row r="678" spans="1:16" ht="30" customHeight="1" x14ac:dyDescent="0.2">
      <c r="A678" s="7" t="s">
        <v>21</v>
      </c>
      <c r="B678" s="7" t="s">
        <v>64</v>
      </c>
      <c r="C678" s="7" t="s">
        <v>86</v>
      </c>
      <c r="D678" s="7" t="s">
        <v>219</v>
      </c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</row>
    <row r="679" spans="1:16" ht="30" customHeight="1" x14ac:dyDescent="0.2">
      <c r="A679" s="7" t="s">
        <v>21</v>
      </c>
      <c r="B679" s="7" t="s">
        <v>64</v>
      </c>
      <c r="C679" s="7" t="s">
        <v>86</v>
      </c>
      <c r="D679" s="7" t="s">
        <v>220</v>
      </c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</row>
    <row r="680" spans="1:16" ht="30" customHeight="1" x14ac:dyDescent="0.2">
      <c r="A680" s="7" t="s">
        <v>21</v>
      </c>
      <c r="B680" s="7" t="s">
        <v>64</v>
      </c>
      <c r="C680" s="7" t="s">
        <v>86</v>
      </c>
      <c r="D680" s="7" t="s">
        <v>221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</row>
    <row r="681" spans="1:16" ht="30" customHeight="1" x14ac:dyDescent="0.2">
      <c r="A681" s="7" t="s">
        <v>21</v>
      </c>
      <c r="B681" s="7" t="s">
        <v>64</v>
      </c>
      <c r="C681" s="7" t="s">
        <v>86</v>
      </c>
      <c r="D681" s="7" t="s">
        <v>222</v>
      </c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</row>
    <row r="682" spans="1:16" ht="30" customHeight="1" x14ac:dyDescent="0.2">
      <c r="A682" s="7" t="s">
        <v>21</v>
      </c>
      <c r="B682" s="7" t="s">
        <v>64</v>
      </c>
      <c r="C682" s="7" t="s">
        <v>78</v>
      </c>
      <c r="D682" s="7" t="s">
        <v>219</v>
      </c>
      <c r="E682" s="7"/>
      <c r="F682" s="8"/>
      <c r="G682" s="7"/>
      <c r="H682" s="7"/>
      <c r="I682" s="8"/>
      <c r="J682" s="8"/>
      <c r="K682" s="8"/>
      <c r="L682" s="8"/>
      <c r="M682" s="9"/>
      <c r="N682" s="8"/>
      <c r="O682" s="10"/>
      <c r="P682" s="10"/>
    </row>
    <row r="683" spans="1:16" ht="30" customHeight="1" x14ac:dyDescent="0.2">
      <c r="A683" s="7" t="s">
        <v>21</v>
      </c>
      <c r="B683" s="7" t="s">
        <v>64</v>
      </c>
      <c r="C683" s="7" t="s">
        <v>78</v>
      </c>
      <c r="D683" s="7" t="s">
        <v>220</v>
      </c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</row>
    <row r="684" spans="1:16" ht="30" customHeight="1" x14ac:dyDescent="0.2">
      <c r="A684" s="7" t="s">
        <v>21</v>
      </c>
      <c r="B684" s="7" t="s">
        <v>64</v>
      </c>
      <c r="C684" s="7" t="s">
        <v>78</v>
      </c>
      <c r="D684" s="7" t="s">
        <v>221</v>
      </c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</row>
    <row r="685" spans="1:16" ht="30" customHeight="1" x14ac:dyDescent="0.2">
      <c r="A685" s="7" t="s">
        <v>21</v>
      </c>
      <c r="B685" s="7" t="s">
        <v>64</v>
      </c>
      <c r="C685" s="7" t="s">
        <v>78</v>
      </c>
      <c r="D685" s="7" t="s">
        <v>222</v>
      </c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</row>
    <row r="686" spans="1:16" ht="30" customHeight="1" x14ac:dyDescent="0.2">
      <c r="A686" s="7" t="s">
        <v>21</v>
      </c>
      <c r="B686" s="7" t="s">
        <v>64</v>
      </c>
      <c r="C686" s="7" t="s">
        <v>74</v>
      </c>
      <c r="D686" s="7" t="s">
        <v>219</v>
      </c>
      <c r="E686" s="7"/>
      <c r="F686" s="8"/>
      <c r="G686" s="7"/>
      <c r="H686" s="7"/>
      <c r="I686" s="8"/>
      <c r="J686" s="8"/>
      <c r="K686" s="8"/>
      <c r="L686" s="8"/>
      <c r="M686" s="9"/>
      <c r="N686" s="8"/>
      <c r="O686" s="10"/>
      <c r="P686" s="11"/>
    </row>
    <row r="687" spans="1:16" ht="30" customHeight="1" x14ac:dyDescent="0.2">
      <c r="A687" s="7" t="s">
        <v>21</v>
      </c>
      <c r="B687" s="7" t="s">
        <v>64</v>
      </c>
      <c r="C687" s="7" t="s">
        <v>74</v>
      </c>
      <c r="D687" s="7" t="s">
        <v>220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</row>
    <row r="688" spans="1:16" ht="30" customHeight="1" x14ac:dyDescent="0.2">
      <c r="A688" s="7" t="s">
        <v>21</v>
      </c>
      <c r="B688" s="7" t="s">
        <v>64</v>
      </c>
      <c r="C688" s="7" t="s">
        <v>74</v>
      </c>
      <c r="D688" s="7" t="s">
        <v>221</v>
      </c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</row>
    <row r="689" spans="1:16" ht="30" customHeight="1" x14ac:dyDescent="0.2">
      <c r="A689" s="7" t="s">
        <v>21</v>
      </c>
      <c r="B689" s="7" t="s">
        <v>64</v>
      </c>
      <c r="C689" s="7" t="s">
        <v>74</v>
      </c>
      <c r="D689" s="7" t="s">
        <v>222</v>
      </c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</row>
    <row r="690" spans="1:16" ht="30" customHeight="1" x14ac:dyDescent="0.2">
      <c r="A690" s="7" t="s">
        <v>21</v>
      </c>
      <c r="B690" s="7" t="s">
        <v>64</v>
      </c>
      <c r="C690" s="7" t="s">
        <v>76</v>
      </c>
      <c r="D690" s="7" t="s">
        <v>219</v>
      </c>
      <c r="E690" s="7"/>
      <c r="F690" s="8"/>
      <c r="G690" s="7"/>
      <c r="H690" s="7"/>
      <c r="I690" s="8"/>
      <c r="J690" s="8"/>
      <c r="K690" s="8"/>
      <c r="L690" s="8"/>
      <c r="M690" s="9"/>
      <c r="N690" s="8"/>
      <c r="O690" s="10"/>
      <c r="P690" s="11"/>
    </row>
    <row r="691" spans="1:16" ht="30" customHeight="1" x14ac:dyDescent="0.2">
      <c r="A691" s="7" t="s">
        <v>21</v>
      </c>
      <c r="B691" s="7" t="s">
        <v>64</v>
      </c>
      <c r="C691" s="7" t="s">
        <v>76</v>
      </c>
      <c r="D691" s="7" t="s">
        <v>220</v>
      </c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</row>
    <row r="692" spans="1:16" ht="30" customHeight="1" x14ac:dyDescent="0.2">
      <c r="A692" s="7" t="s">
        <v>21</v>
      </c>
      <c r="B692" s="7" t="s">
        <v>64</v>
      </c>
      <c r="C692" s="7" t="s">
        <v>76</v>
      </c>
      <c r="D692" s="7" t="s">
        <v>221</v>
      </c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</row>
    <row r="693" spans="1:16" ht="30" customHeight="1" x14ac:dyDescent="0.2">
      <c r="A693" s="7" t="s">
        <v>21</v>
      </c>
      <c r="B693" s="7" t="s">
        <v>64</v>
      </c>
      <c r="C693" s="7" t="s">
        <v>76</v>
      </c>
      <c r="D693" s="7" t="s">
        <v>222</v>
      </c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</row>
    <row r="694" spans="1:16" ht="30" customHeight="1" x14ac:dyDescent="0.2">
      <c r="A694" s="7" t="s">
        <v>21</v>
      </c>
      <c r="B694" s="7" t="s">
        <v>64</v>
      </c>
      <c r="C694" s="7" t="s">
        <v>75</v>
      </c>
      <c r="D694" s="7" t="s">
        <v>219</v>
      </c>
      <c r="E694" s="7"/>
      <c r="F694" s="8"/>
      <c r="G694" s="7"/>
      <c r="H694" s="7"/>
      <c r="I694" s="8"/>
      <c r="J694" s="8"/>
      <c r="K694" s="8"/>
      <c r="L694" s="8"/>
      <c r="M694" s="9"/>
      <c r="N694" s="8"/>
      <c r="O694" s="10"/>
      <c r="P694" s="11"/>
    </row>
    <row r="695" spans="1:16" ht="30" customHeight="1" x14ac:dyDescent="0.2">
      <c r="A695" s="7" t="s">
        <v>21</v>
      </c>
      <c r="B695" s="7" t="s">
        <v>64</v>
      </c>
      <c r="C695" s="7" t="s">
        <v>75</v>
      </c>
      <c r="D695" s="7" t="s">
        <v>220</v>
      </c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</row>
    <row r="696" spans="1:16" ht="30" customHeight="1" x14ac:dyDescent="0.2">
      <c r="A696" s="7" t="s">
        <v>21</v>
      </c>
      <c r="B696" s="7" t="s">
        <v>64</v>
      </c>
      <c r="C696" s="7" t="s">
        <v>75</v>
      </c>
      <c r="D696" s="7" t="s">
        <v>221</v>
      </c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</row>
    <row r="697" spans="1:16" ht="30" customHeight="1" x14ac:dyDescent="0.2">
      <c r="A697" s="7" t="s">
        <v>21</v>
      </c>
      <c r="B697" s="7" t="s">
        <v>64</v>
      </c>
      <c r="C697" s="7" t="s">
        <v>75</v>
      </c>
      <c r="D697" s="7" t="s">
        <v>222</v>
      </c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</row>
    <row r="698" spans="1:16" ht="30" customHeight="1" x14ac:dyDescent="0.2">
      <c r="A698" s="7" t="s">
        <v>21</v>
      </c>
      <c r="B698" s="7" t="s">
        <v>64</v>
      </c>
      <c r="C698" s="7" t="s">
        <v>77</v>
      </c>
      <c r="D698" s="7" t="s">
        <v>219</v>
      </c>
      <c r="E698" s="7"/>
      <c r="F698" s="8"/>
      <c r="G698" s="7"/>
      <c r="H698" s="7"/>
      <c r="I698" s="8"/>
      <c r="J698" s="8"/>
      <c r="K698" s="8"/>
      <c r="L698" s="8"/>
      <c r="M698" s="9"/>
      <c r="N698" s="8"/>
      <c r="O698" s="10"/>
      <c r="P698" s="11"/>
    </row>
    <row r="699" spans="1:16" ht="30" customHeight="1" x14ac:dyDescent="0.2">
      <c r="A699" s="7" t="s">
        <v>21</v>
      </c>
      <c r="B699" s="7" t="s">
        <v>64</v>
      </c>
      <c r="C699" s="7" t="s">
        <v>77</v>
      </c>
      <c r="D699" s="7" t="s">
        <v>220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</row>
    <row r="700" spans="1:16" ht="30" customHeight="1" x14ac:dyDescent="0.2">
      <c r="A700" s="7" t="s">
        <v>21</v>
      </c>
      <c r="B700" s="7" t="s">
        <v>64</v>
      </c>
      <c r="C700" s="7" t="s">
        <v>77</v>
      </c>
      <c r="D700" s="7" t="s">
        <v>221</v>
      </c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</row>
    <row r="701" spans="1:16" ht="30" customHeight="1" x14ac:dyDescent="0.2">
      <c r="A701" s="7" t="s">
        <v>21</v>
      </c>
      <c r="B701" s="7" t="s">
        <v>64</v>
      </c>
      <c r="C701" s="7" t="s">
        <v>77</v>
      </c>
      <c r="D701" s="7" t="s">
        <v>222</v>
      </c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</row>
    <row r="702" spans="1:16" ht="30" customHeight="1" x14ac:dyDescent="0.2">
      <c r="A702" s="7" t="s">
        <v>21</v>
      </c>
      <c r="B702" s="7" t="s">
        <v>112</v>
      </c>
      <c r="C702" s="7" t="s">
        <v>120</v>
      </c>
      <c r="D702" s="7" t="s">
        <v>219</v>
      </c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</row>
    <row r="703" spans="1:16" ht="30" customHeight="1" x14ac:dyDescent="0.2">
      <c r="A703" s="7" t="s">
        <v>21</v>
      </c>
      <c r="B703" s="7" t="s">
        <v>112</v>
      </c>
      <c r="C703" s="7" t="s">
        <v>120</v>
      </c>
      <c r="D703" s="7" t="s">
        <v>220</v>
      </c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</row>
    <row r="704" spans="1:16" ht="30" customHeight="1" x14ac:dyDescent="0.2">
      <c r="A704" s="7" t="s">
        <v>21</v>
      </c>
      <c r="B704" s="7" t="s">
        <v>112</v>
      </c>
      <c r="C704" s="7" t="s">
        <v>120</v>
      </c>
      <c r="D704" s="7" t="s">
        <v>221</v>
      </c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</row>
    <row r="705" spans="1:16" ht="30" customHeight="1" x14ac:dyDescent="0.2">
      <c r="A705" s="7" t="s">
        <v>21</v>
      </c>
      <c r="B705" s="7" t="s">
        <v>112</v>
      </c>
      <c r="C705" s="7" t="s">
        <v>120</v>
      </c>
      <c r="D705" s="7" t="s">
        <v>222</v>
      </c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</row>
    <row r="706" spans="1:16" ht="30" customHeight="1" x14ac:dyDescent="0.2">
      <c r="A706" s="7" t="s">
        <v>21</v>
      </c>
      <c r="B706" s="7" t="s">
        <v>112</v>
      </c>
      <c r="C706" s="7" t="s">
        <v>124</v>
      </c>
      <c r="D706" s="7" t="s">
        <v>219</v>
      </c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</row>
    <row r="707" spans="1:16" ht="30" customHeight="1" x14ac:dyDescent="0.2">
      <c r="A707" s="7" t="s">
        <v>21</v>
      </c>
      <c r="B707" s="7" t="s">
        <v>112</v>
      </c>
      <c r="C707" s="7" t="s">
        <v>124</v>
      </c>
      <c r="D707" s="7" t="s">
        <v>220</v>
      </c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</row>
    <row r="708" spans="1:16" ht="30" customHeight="1" x14ac:dyDescent="0.2">
      <c r="A708" s="7" t="s">
        <v>21</v>
      </c>
      <c r="B708" s="7" t="s">
        <v>112</v>
      </c>
      <c r="C708" s="7" t="s">
        <v>124</v>
      </c>
      <c r="D708" s="7" t="s">
        <v>221</v>
      </c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</row>
    <row r="709" spans="1:16" ht="30" customHeight="1" x14ac:dyDescent="0.2">
      <c r="A709" s="7" t="s">
        <v>21</v>
      </c>
      <c r="B709" s="7" t="s">
        <v>112</v>
      </c>
      <c r="C709" s="7" t="s">
        <v>124</v>
      </c>
      <c r="D709" s="7" t="s">
        <v>222</v>
      </c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</row>
    <row r="710" spans="1:16" ht="30" customHeight="1" x14ac:dyDescent="0.2">
      <c r="A710" s="7" t="s">
        <v>21</v>
      </c>
      <c r="B710" s="7" t="s">
        <v>112</v>
      </c>
      <c r="C710" s="7" t="s">
        <v>123</v>
      </c>
      <c r="D710" s="7" t="s">
        <v>219</v>
      </c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</row>
    <row r="711" spans="1:16" ht="30" customHeight="1" x14ac:dyDescent="0.2">
      <c r="A711" s="7" t="s">
        <v>21</v>
      </c>
      <c r="B711" s="7" t="s">
        <v>112</v>
      </c>
      <c r="C711" s="7" t="s">
        <v>123</v>
      </c>
      <c r="D711" s="7" t="s">
        <v>220</v>
      </c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</row>
    <row r="712" spans="1:16" ht="30" customHeight="1" x14ac:dyDescent="0.2">
      <c r="A712" s="7" t="s">
        <v>21</v>
      </c>
      <c r="B712" s="7" t="s">
        <v>112</v>
      </c>
      <c r="C712" s="7" t="s">
        <v>123</v>
      </c>
      <c r="D712" s="7" t="s">
        <v>221</v>
      </c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</row>
    <row r="713" spans="1:16" ht="30" customHeight="1" x14ac:dyDescent="0.2">
      <c r="A713" s="7" t="s">
        <v>21</v>
      </c>
      <c r="B713" s="7" t="s">
        <v>112</v>
      </c>
      <c r="C713" s="7" t="s">
        <v>123</v>
      </c>
      <c r="D713" s="7" t="s">
        <v>222</v>
      </c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</row>
    <row r="714" spans="1:16" ht="30" customHeight="1" x14ac:dyDescent="0.2">
      <c r="A714" s="7" t="s">
        <v>21</v>
      </c>
      <c r="B714" s="7" t="s">
        <v>136</v>
      </c>
      <c r="C714" s="7" t="s">
        <v>57</v>
      </c>
      <c r="D714" s="7" t="s">
        <v>219</v>
      </c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</row>
    <row r="715" spans="1:16" ht="30" customHeight="1" x14ac:dyDescent="0.2">
      <c r="A715" s="7" t="s">
        <v>21</v>
      </c>
      <c r="B715" s="7" t="s">
        <v>136</v>
      </c>
      <c r="C715" s="7" t="s">
        <v>57</v>
      </c>
      <c r="D715" s="7" t="s">
        <v>220</v>
      </c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</row>
    <row r="716" spans="1:16" ht="30" customHeight="1" x14ac:dyDescent="0.2">
      <c r="A716" s="7" t="s">
        <v>21</v>
      </c>
      <c r="B716" s="7" t="s">
        <v>136</v>
      </c>
      <c r="C716" s="7" t="s">
        <v>57</v>
      </c>
      <c r="D716" s="7" t="s">
        <v>221</v>
      </c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</row>
    <row r="717" spans="1:16" ht="30" customHeight="1" x14ac:dyDescent="0.2">
      <c r="A717" s="7" t="s">
        <v>21</v>
      </c>
      <c r="B717" s="7" t="s">
        <v>136</v>
      </c>
      <c r="C717" s="7" t="s">
        <v>57</v>
      </c>
      <c r="D717" s="7" t="s">
        <v>222</v>
      </c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</row>
    <row r="718" spans="1:16" ht="30" customHeight="1" x14ac:dyDescent="0.2">
      <c r="A718" s="7" t="s">
        <v>21</v>
      </c>
      <c r="B718" s="7" t="s">
        <v>136</v>
      </c>
      <c r="C718" s="7" t="s">
        <v>57</v>
      </c>
      <c r="D718" s="7" t="s">
        <v>219</v>
      </c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</row>
    <row r="719" spans="1:16" ht="30" customHeight="1" x14ac:dyDescent="0.2">
      <c r="A719" s="7" t="s">
        <v>21</v>
      </c>
      <c r="B719" s="7" t="s">
        <v>136</v>
      </c>
      <c r="C719" s="7" t="s">
        <v>57</v>
      </c>
      <c r="D719" s="7" t="s">
        <v>220</v>
      </c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</row>
    <row r="720" spans="1:16" ht="30" customHeight="1" x14ac:dyDescent="0.2">
      <c r="A720" s="7" t="s">
        <v>21</v>
      </c>
      <c r="B720" s="7" t="s">
        <v>136</v>
      </c>
      <c r="C720" s="7" t="s">
        <v>57</v>
      </c>
      <c r="D720" s="7" t="s">
        <v>221</v>
      </c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</row>
    <row r="721" spans="1:16" ht="30" customHeight="1" x14ac:dyDescent="0.2">
      <c r="A721" s="7" t="s">
        <v>21</v>
      </c>
      <c r="B721" s="7" t="s">
        <v>136</v>
      </c>
      <c r="C721" s="7" t="s">
        <v>57</v>
      </c>
      <c r="D721" s="7" t="s">
        <v>222</v>
      </c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</row>
    <row r="722" spans="1:16" ht="30" customHeight="1" x14ac:dyDescent="0.2">
      <c r="A722" s="7" t="s">
        <v>21</v>
      </c>
      <c r="B722" s="7" t="s">
        <v>136</v>
      </c>
      <c r="C722" s="7" t="s">
        <v>57</v>
      </c>
      <c r="D722" s="7" t="s">
        <v>219</v>
      </c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</row>
    <row r="723" spans="1:16" ht="30" customHeight="1" x14ac:dyDescent="0.2">
      <c r="A723" s="7" t="s">
        <v>21</v>
      </c>
      <c r="B723" s="7" t="s">
        <v>136</v>
      </c>
      <c r="C723" s="7" t="s">
        <v>57</v>
      </c>
      <c r="D723" s="7" t="s">
        <v>220</v>
      </c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</row>
    <row r="724" spans="1:16" ht="30" customHeight="1" x14ac:dyDescent="0.2">
      <c r="A724" s="7" t="s">
        <v>21</v>
      </c>
      <c r="B724" s="7" t="s">
        <v>136</v>
      </c>
      <c r="C724" s="7" t="s">
        <v>57</v>
      </c>
      <c r="D724" s="7" t="s">
        <v>221</v>
      </c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</row>
    <row r="725" spans="1:16" ht="30" customHeight="1" x14ac:dyDescent="0.2">
      <c r="A725" s="7" t="s">
        <v>21</v>
      </c>
      <c r="B725" s="7" t="s">
        <v>136</v>
      </c>
      <c r="C725" s="7" t="s">
        <v>57</v>
      </c>
      <c r="D725" s="7" t="s">
        <v>222</v>
      </c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</row>
    <row r="726" spans="1:16" ht="30" customHeight="1" x14ac:dyDescent="0.2">
      <c r="A726" s="7" t="s">
        <v>21</v>
      </c>
      <c r="B726" s="7" t="s">
        <v>136</v>
      </c>
      <c r="C726" s="7" t="s">
        <v>57</v>
      </c>
      <c r="D726" s="7" t="s">
        <v>219</v>
      </c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</row>
    <row r="727" spans="1:16" ht="30" customHeight="1" x14ac:dyDescent="0.2">
      <c r="A727" s="7" t="s">
        <v>21</v>
      </c>
      <c r="B727" s="7" t="s">
        <v>136</v>
      </c>
      <c r="C727" s="7" t="s">
        <v>57</v>
      </c>
      <c r="D727" s="7" t="s">
        <v>220</v>
      </c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</row>
    <row r="728" spans="1:16" ht="30" customHeight="1" x14ac:dyDescent="0.2">
      <c r="A728" s="7" t="s">
        <v>21</v>
      </c>
      <c r="B728" s="7" t="s">
        <v>136</v>
      </c>
      <c r="C728" s="7" t="s">
        <v>57</v>
      </c>
      <c r="D728" s="7" t="s">
        <v>221</v>
      </c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</row>
    <row r="729" spans="1:16" ht="30" customHeight="1" x14ac:dyDescent="0.2">
      <c r="A729" s="7" t="s">
        <v>21</v>
      </c>
      <c r="B729" s="7" t="s">
        <v>136</v>
      </c>
      <c r="C729" s="7" t="s">
        <v>57</v>
      </c>
      <c r="D729" s="7" t="s">
        <v>222</v>
      </c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</row>
    <row r="730" spans="1:16" ht="30" customHeight="1" x14ac:dyDescent="0.2">
      <c r="A730" s="7" t="s">
        <v>21</v>
      </c>
      <c r="B730" s="7" t="s">
        <v>136</v>
      </c>
      <c r="C730" s="7" t="s">
        <v>57</v>
      </c>
      <c r="D730" s="7" t="s">
        <v>219</v>
      </c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</row>
    <row r="731" spans="1:16" ht="30" customHeight="1" x14ac:dyDescent="0.2">
      <c r="A731" s="7" t="s">
        <v>21</v>
      </c>
      <c r="B731" s="7" t="s">
        <v>136</v>
      </c>
      <c r="C731" s="7" t="s">
        <v>57</v>
      </c>
      <c r="D731" s="7" t="s">
        <v>220</v>
      </c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</row>
    <row r="732" spans="1:16" ht="30" customHeight="1" x14ac:dyDescent="0.2">
      <c r="A732" s="7" t="s">
        <v>21</v>
      </c>
      <c r="B732" s="7" t="s">
        <v>136</v>
      </c>
      <c r="C732" s="7" t="s">
        <v>57</v>
      </c>
      <c r="D732" s="7" t="s">
        <v>221</v>
      </c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</row>
    <row r="733" spans="1:16" ht="30" customHeight="1" x14ac:dyDescent="0.2">
      <c r="A733" s="7" t="s">
        <v>21</v>
      </c>
      <c r="B733" s="7" t="s">
        <v>136</v>
      </c>
      <c r="C733" s="7" t="s">
        <v>57</v>
      </c>
      <c r="D733" s="7" t="s">
        <v>222</v>
      </c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</row>
    <row r="734" spans="1:16" ht="30" customHeight="1" x14ac:dyDescent="0.2">
      <c r="A734" s="7" t="s">
        <v>21</v>
      </c>
      <c r="B734" s="7" t="s">
        <v>136</v>
      </c>
      <c r="C734" s="7" t="s">
        <v>57</v>
      </c>
      <c r="D734" s="7" t="s">
        <v>219</v>
      </c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</row>
    <row r="735" spans="1:16" ht="30" customHeight="1" x14ac:dyDescent="0.2">
      <c r="A735" s="7" t="s">
        <v>21</v>
      </c>
      <c r="B735" s="7" t="s">
        <v>136</v>
      </c>
      <c r="C735" s="7" t="s">
        <v>57</v>
      </c>
      <c r="D735" s="7" t="s">
        <v>220</v>
      </c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</row>
    <row r="736" spans="1:16" ht="30" customHeight="1" x14ac:dyDescent="0.2">
      <c r="A736" s="7" t="s">
        <v>21</v>
      </c>
      <c r="B736" s="7" t="s">
        <v>136</v>
      </c>
      <c r="C736" s="7" t="s">
        <v>57</v>
      </c>
      <c r="D736" s="7" t="s">
        <v>221</v>
      </c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</row>
    <row r="737" spans="1:16" ht="30" customHeight="1" x14ac:dyDescent="0.2">
      <c r="A737" s="7" t="s">
        <v>21</v>
      </c>
      <c r="B737" s="7" t="s">
        <v>136</v>
      </c>
      <c r="C737" s="7" t="s">
        <v>57</v>
      </c>
      <c r="D737" s="7" t="s">
        <v>222</v>
      </c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</row>
    <row r="738" spans="1:16" ht="30" customHeight="1" x14ac:dyDescent="0.2">
      <c r="A738" s="7" t="s">
        <v>21</v>
      </c>
      <c r="B738" s="7" t="s">
        <v>189</v>
      </c>
      <c r="C738" s="7" t="s">
        <v>200</v>
      </c>
      <c r="D738" s="7" t="s">
        <v>219</v>
      </c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</row>
    <row r="739" spans="1:16" ht="30" customHeight="1" x14ac:dyDescent="0.2">
      <c r="A739" s="7" t="s">
        <v>21</v>
      </c>
      <c r="B739" s="7" t="s">
        <v>189</v>
      </c>
      <c r="C739" s="7" t="s">
        <v>200</v>
      </c>
      <c r="D739" s="7" t="s">
        <v>220</v>
      </c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</row>
    <row r="740" spans="1:16" ht="30" customHeight="1" x14ac:dyDescent="0.2">
      <c r="A740" s="7" t="s">
        <v>21</v>
      </c>
      <c r="B740" s="7" t="s">
        <v>189</v>
      </c>
      <c r="C740" s="7" t="s">
        <v>200</v>
      </c>
      <c r="D740" s="7" t="s">
        <v>221</v>
      </c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</row>
    <row r="741" spans="1:16" ht="30" customHeight="1" x14ac:dyDescent="0.2">
      <c r="A741" s="7" t="s">
        <v>21</v>
      </c>
      <c r="B741" s="7" t="s">
        <v>189</v>
      </c>
      <c r="C741" s="7" t="s">
        <v>200</v>
      </c>
      <c r="D741" s="7" t="s">
        <v>222</v>
      </c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</row>
    <row r="742" spans="1:16" ht="30" customHeight="1" x14ac:dyDescent="0.2">
      <c r="A742" s="7" t="s">
        <v>21</v>
      </c>
      <c r="B742" s="7" t="s">
        <v>22</v>
      </c>
      <c r="C742" s="7" t="s">
        <v>39</v>
      </c>
      <c r="D742" s="7" t="s">
        <v>219</v>
      </c>
      <c r="E742" s="7"/>
      <c r="F742" s="8"/>
      <c r="G742" s="7"/>
      <c r="H742" s="7"/>
      <c r="I742" s="8"/>
      <c r="J742" s="8"/>
      <c r="K742" s="8"/>
      <c r="L742" s="8"/>
      <c r="M742" s="9"/>
      <c r="N742" s="8"/>
      <c r="O742" s="10"/>
      <c r="P742" s="11"/>
    </row>
    <row r="743" spans="1:16" ht="30" customHeight="1" x14ac:dyDescent="0.2">
      <c r="A743" s="7" t="s">
        <v>21</v>
      </c>
      <c r="B743" s="7" t="s">
        <v>22</v>
      </c>
      <c r="C743" s="7" t="s">
        <v>39</v>
      </c>
      <c r="D743" s="7" t="s">
        <v>220</v>
      </c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</row>
    <row r="744" spans="1:16" ht="30" customHeight="1" x14ac:dyDescent="0.2">
      <c r="A744" s="7" t="s">
        <v>21</v>
      </c>
      <c r="B744" s="7" t="s">
        <v>22</v>
      </c>
      <c r="C744" s="7" t="s">
        <v>39</v>
      </c>
      <c r="D744" s="7" t="s">
        <v>221</v>
      </c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</row>
    <row r="745" spans="1:16" ht="30" customHeight="1" x14ac:dyDescent="0.2">
      <c r="A745" s="7" t="s">
        <v>21</v>
      </c>
      <c r="B745" s="7" t="s">
        <v>22</v>
      </c>
      <c r="C745" s="7" t="s">
        <v>39</v>
      </c>
      <c r="D745" s="7" t="s">
        <v>222</v>
      </c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</row>
    <row r="746" spans="1:16" ht="30" customHeight="1" x14ac:dyDescent="0.2">
      <c r="A746" s="7" t="s">
        <v>21</v>
      </c>
      <c r="B746" s="7" t="s">
        <v>22</v>
      </c>
      <c r="C746" s="7" t="s">
        <v>40</v>
      </c>
      <c r="D746" s="7" t="s">
        <v>219</v>
      </c>
      <c r="E746" s="7"/>
      <c r="F746" s="8"/>
      <c r="G746" s="7"/>
      <c r="H746" s="7"/>
      <c r="I746" s="8"/>
      <c r="J746" s="8"/>
      <c r="K746" s="8"/>
      <c r="L746" s="8"/>
      <c r="M746" s="9"/>
      <c r="N746" s="8"/>
      <c r="O746" s="10"/>
      <c r="P746" s="11"/>
    </row>
    <row r="747" spans="1:16" ht="30" customHeight="1" x14ac:dyDescent="0.2">
      <c r="A747" s="7" t="s">
        <v>21</v>
      </c>
      <c r="B747" s="7" t="s">
        <v>22</v>
      </c>
      <c r="C747" s="7" t="s">
        <v>40</v>
      </c>
      <c r="D747" s="7" t="s">
        <v>220</v>
      </c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</row>
    <row r="748" spans="1:16" ht="30" customHeight="1" x14ac:dyDescent="0.2">
      <c r="A748" s="7" t="s">
        <v>21</v>
      </c>
      <c r="B748" s="7" t="s">
        <v>22</v>
      </c>
      <c r="C748" s="7" t="s">
        <v>40</v>
      </c>
      <c r="D748" s="7" t="s">
        <v>221</v>
      </c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</row>
    <row r="749" spans="1:16" ht="30" customHeight="1" x14ac:dyDescent="0.2">
      <c r="A749" s="7" t="s">
        <v>21</v>
      </c>
      <c r="B749" s="7" t="s">
        <v>22</v>
      </c>
      <c r="C749" s="7" t="s">
        <v>40</v>
      </c>
      <c r="D749" s="7" t="s">
        <v>222</v>
      </c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</row>
    <row r="750" spans="1:16" ht="30" customHeight="1" x14ac:dyDescent="0.2">
      <c r="A750" s="7" t="s">
        <v>21</v>
      </c>
      <c r="B750" s="7" t="s">
        <v>22</v>
      </c>
      <c r="C750" s="7" t="s">
        <v>57</v>
      </c>
      <c r="D750" s="7" t="s">
        <v>219</v>
      </c>
      <c r="E750" s="7"/>
      <c r="F750" s="8"/>
      <c r="G750" s="7"/>
      <c r="H750" s="7"/>
      <c r="I750" s="8"/>
      <c r="J750" s="8"/>
      <c r="K750" s="8"/>
      <c r="L750" s="8"/>
      <c r="M750" s="9"/>
      <c r="N750" s="8"/>
      <c r="O750" s="10"/>
      <c r="P750" s="10"/>
    </row>
    <row r="751" spans="1:16" ht="30" customHeight="1" x14ac:dyDescent="0.2">
      <c r="A751" s="7" t="s">
        <v>21</v>
      </c>
      <c r="B751" s="7" t="s">
        <v>22</v>
      </c>
      <c r="C751" s="7" t="s">
        <v>57</v>
      </c>
      <c r="D751" s="7" t="s">
        <v>220</v>
      </c>
      <c r="E751" s="7"/>
      <c r="F751" s="8"/>
      <c r="G751" s="7"/>
      <c r="H751" s="7"/>
      <c r="I751" s="8"/>
      <c r="J751" s="8"/>
      <c r="K751" s="8"/>
      <c r="L751" s="8"/>
      <c r="M751" s="9"/>
      <c r="N751" s="8"/>
      <c r="O751" s="10"/>
      <c r="P751" s="11"/>
    </row>
    <row r="752" spans="1:16" ht="30" customHeight="1" x14ac:dyDescent="0.2">
      <c r="A752" s="7" t="s">
        <v>21</v>
      </c>
      <c r="B752" s="7" t="s">
        <v>22</v>
      </c>
      <c r="C752" s="7" t="s">
        <v>57</v>
      </c>
      <c r="D752" s="7" t="s">
        <v>221</v>
      </c>
      <c r="E752" s="7"/>
      <c r="F752" s="8"/>
      <c r="G752" s="7"/>
      <c r="H752" s="7"/>
      <c r="I752" s="8"/>
      <c r="J752" s="8"/>
      <c r="K752" s="8"/>
      <c r="L752" s="8"/>
      <c r="M752" s="9"/>
      <c r="N752" s="8"/>
      <c r="O752" s="10"/>
      <c r="P752" s="10"/>
    </row>
    <row r="753" spans="1:16" ht="30" customHeight="1" x14ac:dyDescent="0.2">
      <c r="A753" s="7" t="s">
        <v>21</v>
      </c>
      <c r="B753" s="7" t="s">
        <v>22</v>
      </c>
      <c r="C753" s="7" t="s">
        <v>57</v>
      </c>
      <c r="D753" s="7" t="s">
        <v>222</v>
      </c>
      <c r="E753" s="7"/>
      <c r="F753" s="8"/>
      <c r="G753" s="7"/>
      <c r="H753" s="7"/>
      <c r="I753" s="8"/>
      <c r="J753" s="8"/>
      <c r="K753" s="8"/>
      <c r="L753" s="8"/>
      <c r="M753" s="9"/>
      <c r="N753" s="8"/>
      <c r="O753" s="10"/>
      <c r="P753" s="11"/>
    </row>
    <row r="754" spans="1:16" ht="30" customHeight="1" x14ac:dyDescent="0.2">
      <c r="A754" s="7" t="s">
        <v>21</v>
      </c>
      <c r="B754" s="7" t="s">
        <v>22</v>
      </c>
      <c r="C754" s="7" t="s">
        <v>57</v>
      </c>
      <c r="D754" s="7" t="s">
        <v>219</v>
      </c>
      <c r="E754" s="7"/>
      <c r="F754" s="8"/>
      <c r="G754" s="7"/>
      <c r="H754" s="7"/>
      <c r="I754" s="8"/>
      <c r="J754" s="8"/>
      <c r="K754" s="8"/>
      <c r="L754" s="8"/>
      <c r="M754" s="9"/>
      <c r="N754" s="8"/>
      <c r="O754" s="10"/>
      <c r="P754" s="11"/>
    </row>
    <row r="755" spans="1:16" ht="30" customHeight="1" x14ac:dyDescent="0.2">
      <c r="A755" s="7" t="s">
        <v>21</v>
      </c>
      <c r="B755" s="7" t="s">
        <v>22</v>
      </c>
      <c r="C755" s="7" t="s">
        <v>57</v>
      </c>
      <c r="D755" s="7" t="s">
        <v>220</v>
      </c>
      <c r="E755" s="7"/>
      <c r="F755" s="8"/>
      <c r="G755" s="7"/>
      <c r="H755" s="7"/>
      <c r="I755" s="8"/>
      <c r="J755" s="8"/>
      <c r="K755" s="8"/>
      <c r="L755" s="8"/>
      <c r="M755" s="9"/>
      <c r="N755" s="8"/>
      <c r="O755" s="10"/>
      <c r="P755" s="11"/>
    </row>
    <row r="756" spans="1:16" ht="30" customHeight="1" x14ac:dyDescent="0.2">
      <c r="A756" s="7" t="s">
        <v>21</v>
      </c>
      <c r="B756" s="7" t="s">
        <v>22</v>
      </c>
      <c r="C756" s="7" t="s">
        <v>57</v>
      </c>
      <c r="D756" s="7" t="s">
        <v>221</v>
      </c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</row>
    <row r="757" spans="1:16" ht="30" customHeight="1" x14ac:dyDescent="0.2">
      <c r="A757" s="7" t="s">
        <v>21</v>
      </c>
      <c r="B757" s="7" t="s">
        <v>22</v>
      </c>
      <c r="C757" s="7" t="s">
        <v>57</v>
      </c>
      <c r="D757" s="7" t="s">
        <v>222</v>
      </c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</row>
    <row r="758" spans="1:16" ht="30" customHeight="1" x14ac:dyDescent="0.2">
      <c r="A758" s="7" t="s">
        <v>21</v>
      </c>
      <c r="B758" s="7" t="s">
        <v>22</v>
      </c>
      <c r="C758" s="7" t="s">
        <v>57</v>
      </c>
      <c r="D758" s="7" t="s">
        <v>219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</row>
    <row r="759" spans="1:16" ht="30" customHeight="1" x14ac:dyDescent="0.2">
      <c r="A759" s="7" t="s">
        <v>21</v>
      </c>
      <c r="B759" s="7" t="s">
        <v>22</v>
      </c>
      <c r="C759" s="7" t="s">
        <v>57</v>
      </c>
      <c r="D759" s="7" t="s">
        <v>220</v>
      </c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</row>
    <row r="760" spans="1:16" ht="30" customHeight="1" x14ac:dyDescent="0.2">
      <c r="A760" s="7" t="s">
        <v>21</v>
      </c>
      <c r="B760" s="7" t="s">
        <v>22</v>
      </c>
      <c r="C760" s="7" t="s">
        <v>57</v>
      </c>
      <c r="D760" s="7" t="s">
        <v>221</v>
      </c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</row>
    <row r="761" spans="1:16" ht="30" customHeight="1" x14ac:dyDescent="0.2">
      <c r="A761" s="7" t="s">
        <v>21</v>
      </c>
      <c r="B761" s="7" t="s">
        <v>22</v>
      </c>
      <c r="C761" s="7" t="s">
        <v>57</v>
      </c>
      <c r="D761" s="7" t="s">
        <v>222</v>
      </c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</row>
    <row r="762" spans="1:16" ht="30" customHeight="1" x14ac:dyDescent="0.2">
      <c r="A762" s="7" t="s">
        <v>21</v>
      </c>
      <c r="B762" s="7" t="s">
        <v>22</v>
      </c>
      <c r="C762" s="7" t="s">
        <v>57</v>
      </c>
      <c r="D762" s="7" t="s">
        <v>219</v>
      </c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</row>
    <row r="763" spans="1:16" ht="30" customHeight="1" x14ac:dyDescent="0.2">
      <c r="A763" s="7" t="s">
        <v>21</v>
      </c>
      <c r="B763" s="7" t="s">
        <v>22</v>
      </c>
      <c r="C763" s="7" t="s">
        <v>57</v>
      </c>
      <c r="D763" s="7" t="s">
        <v>220</v>
      </c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</row>
    <row r="764" spans="1:16" ht="30" customHeight="1" x14ac:dyDescent="0.2">
      <c r="A764" s="7" t="s">
        <v>21</v>
      </c>
      <c r="B764" s="7" t="s">
        <v>22</v>
      </c>
      <c r="C764" s="7" t="s">
        <v>57</v>
      </c>
      <c r="D764" s="7" t="s">
        <v>221</v>
      </c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</row>
    <row r="765" spans="1:16" ht="30" customHeight="1" x14ac:dyDescent="0.2">
      <c r="A765" s="7" t="s">
        <v>21</v>
      </c>
      <c r="B765" s="7" t="s">
        <v>22</v>
      </c>
      <c r="C765" s="7" t="s">
        <v>57</v>
      </c>
      <c r="D765" s="7" t="s">
        <v>222</v>
      </c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</row>
    <row r="766" spans="1:16" ht="30" customHeight="1" x14ac:dyDescent="0.2">
      <c r="A766" s="7" t="s">
        <v>21</v>
      </c>
      <c r="B766" s="7" t="s">
        <v>22</v>
      </c>
      <c r="C766" s="7" t="s">
        <v>57</v>
      </c>
      <c r="D766" s="7" t="s">
        <v>219</v>
      </c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</row>
    <row r="767" spans="1:16" ht="30" customHeight="1" x14ac:dyDescent="0.2">
      <c r="A767" s="7" t="s">
        <v>21</v>
      </c>
      <c r="B767" s="7" t="s">
        <v>22</v>
      </c>
      <c r="C767" s="7" t="s">
        <v>57</v>
      </c>
      <c r="D767" s="7" t="s">
        <v>220</v>
      </c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</row>
    <row r="768" spans="1:16" ht="30" customHeight="1" x14ac:dyDescent="0.2">
      <c r="A768" s="7" t="s">
        <v>21</v>
      </c>
      <c r="B768" s="7" t="s">
        <v>22</v>
      </c>
      <c r="C768" s="7" t="s">
        <v>57</v>
      </c>
      <c r="D768" s="7" t="s">
        <v>221</v>
      </c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</row>
    <row r="769" spans="1:16" ht="30" customHeight="1" x14ac:dyDescent="0.2">
      <c r="A769" s="7" t="s">
        <v>21</v>
      </c>
      <c r="B769" s="7" t="s">
        <v>22</v>
      </c>
      <c r="C769" s="7" t="s">
        <v>57</v>
      </c>
      <c r="D769" s="7" t="s">
        <v>222</v>
      </c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</row>
    <row r="770" spans="1:16" ht="30" customHeight="1" x14ac:dyDescent="0.2">
      <c r="A770" s="7" t="s">
        <v>21</v>
      </c>
      <c r="B770" s="7" t="s">
        <v>22</v>
      </c>
      <c r="C770" s="7" t="s">
        <v>57</v>
      </c>
      <c r="D770" s="7" t="s">
        <v>219</v>
      </c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</row>
    <row r="771" spans="1:16" ht="30" customHeight="1" x14ac:dyDescent="0.2">
      <c r="A771" s="7" t="s">
        <v>21</v>
      </c>
      <c r="B771" s="7" t="s">
        <v>22</v>
      </c>
      <c r="C771" s="7" t="s">
        <v>57</v>
      </c>
      <c r="D771" s="7" t="s">
        <v>220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</row>
    <row r="772" spans="1:16" ht="30" customHeight="1" x14ac:dyDescent="0.2">
      <c r="A772" s="7" t="s">
        <v>21</v>
      </c>
      <c r="B772" s="7" t="s">
        <v>22</v>
      </c>
      <c r="C772" s="7" t="s">
        <v>57</v>
      </c>
      <c r="D772" s="7" t="s">
        <v>221</v>
      </c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</row>
    <row r="773" spans="1:16" ht="30" customHeight="1" x14ac:dyDescent="0.2">
      <c r="A773" s="7" t="s">
        <v>21</v>
      </c>
      <c r="B773" s="7" t="s">
        <v>22</v>
      </c>
      <c r="C773" s="7" t="s">
        <v>57</v>
      </c>
      <c r="D773" s="7" t="s">
        <v>222</v>
      </c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</row>
    <row r="774" spans="1:16" ht="30" customHeight="1" x14ac:dyDescent="0.2">
      <c r="A774" s="7" t="s">
        <v>21</v>
      </c>
      <c r="B774" s="7" t="s">
        <v>151</v>
      </c>
      <c r="C774" s="7" t="s">
        <v>57</v>
      </c>
      <c r="D774" s="7" t="s">
        <v>219</v>
      </c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</row>
    <row r="775" spans="1:16" ht="30" customHeight="1" x14ac:dyDescent="0.2">
      <c r="A775" s="7" t="s">
        <v>21</v>
      </c>
      <c r="B775" s="7" t="s">
        <v>151</v>
      </c>
      <c r="C775" s="7" t="s">
        <v>57</v>
      </c>
      <c r="D775" s="7" t="s">
        <v>220</v>
      </c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</row>
    <row r="776" spans="1:16" ht="30" customHeight="1" x14ac:dyDescent="0.2">
      <c r="A776" s="7" t="s">
        <v>21</v>
      </c>
      <c r="B776" s="7" t="s">
        <v>151</v>
      </c>
      <c r="C776" s="7" t="s">
        <v>57</v>
      </c>
      <c r="D776" s="7" t="s">
        <v>221</v>
      </c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</row>
    <row r="777" spans="1:16" ht="30" customHeight="1" x14ac:dyDescent="0.2">
      <c r="A777" s="7" t="s">
        <v>21</v>
      </c>
      <c r="B777" s="7" t="s">
        <v>151</v>
      </c>
      <c r="C777" s="7" t="s">
        <v>57</v>
      </c>
      <c r="D777" s="7" t="s">
        <v>222</v>
      </c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</row>
    <row r="778" spans="1:16" ht="30" customHeight="1" x14ac:dyDescent="0.2">
      <c r="A778" s="7" t="s">
        <v>21</v>
      </c>
      <c r="B778" s="7" t="s">
        <v>151</v>
      </c>
      <c r="C778" s="7" t="s">
        <v>57</v>
      </c>
      <c r="D778" s="7" t="s">
        <v>219</v>
      </c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</row>
    <row r="779" spans="1:16" ht="30" customHeight="1" x14ac:dyDescent="0.2">
      <c r="A779" s="7" t="s">
        <v>21</v>
      </c>
      <c r="B779" s="7" t="s">
        <v>151</v>
      </c>
      <c r="C779" s="7" t="s">
        <v>57</v>
      </c>
      <c r="D779" s="7" t="s">
        <v>220</v>
      </c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</row>
    <row r="780" spans="1:16" ht="30" customHeight="1" x14ac:dyDescent="0.2">
      <c r="A780" s="7" t="s">
        <v>21</v>
      </c>
      <c r="B780" s="7" t="s">
        <v>151</v>
      </c>
      <c r="C780" s="7" t="s">
        <v>57</v>
      </c>
      <c r="D780" s="7" t="s">
        <v>221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</row>
    <row r="781" spans="1:16" ht="30" customHeight="1" x14ac:dyDescent="0.2">
      <c r="A781" s="7" t="s">
        <v>21</v>
      </c>
      <c r="B781" s="7" t="s">
        <v>151</v>
      </c>
      <c r="C781" s="7" t="s">
        <v>57</v>
      </c>
      <c r="D781" s="7" t="s">
        <v>222</v>
      </c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</row>
    <row r="782" spans="1:16" ht="30" customHeight="1" x14ac:dyDescent="0.2">
      <c r="A782" s="7" t="s">
        <v>21</v>
      </c>
      <c r="B782" s="7" t="s">
        <v>151</v>
      </c>
      <c r="C782" s="7" t="s">
        <v>57</v>
      </c>
      <c r="D782" s="7" t="s">
        <v>219</v>
      </c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</row>
    <row r="783" spans="1:16" ht="30" customHeight="1" x14ac:dyDescent="0.2">
      <c r="A783" s="7" t="s">
        <v>21</v>
      </c>
      <c r="B783" s="7" t="s">
        <v>151</v>
      </c>
      <c r="C783" s="7" t="s">
        <v>57</v>
      </c>
      <c r="D783" s="7" t="s">
        <v>220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</row>
    <row r="784" spans="1:16" ht="30" customHeight="1" x14ac:dyDescent="0.2">
      <c r="A784" s="7" t="s">
        <v>21</v>
      </c>
      <c r="B784" s="7" t="s">
        <v>151</v>
      </c>
      <c r="C784" s="7" t="s">
        <v>57</v>
      </c>
      <c r="D784" s="7" t="s">
        <v>221</v>
      </c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</row>
    <row r="785" spans="1:16" ht="30" customHeight="1" x14ac:dyDescent="0.2">
      <c r="A785" s="7" t="s">
        <v>21</v>
      </c>
      <c r="B785" s="7" t="s">
        <v>151</v>
      </c>
      <c r="C785" s="7" t="s">
        <v>57</v>
      </c>
      <c r="D785" s="7" t="s">
        <v>222</v>
      </c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</row>
    <row r="786" spans="1:16" ht="30" customHeight="1" x14ac:dyDescent="0.2">
      <c r="A786" s="7" t="s">
        <v>21</v>
      </c>
      <c r="B786" s="7" t="s">
        <v>151</v>
      </c>
      <c r="C786" s="7" t="s">
        <v>57</v>
      </c>
      <c r="D786" s="7" t="s">
        <v>219</v>
      </c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</row>
    <row r="787" spans="1:16" ht="30" customHeight="1" x14ac:dyDescent="0.2">
      <c r="A787" s="7" t="s">
        <v>21</v>
      </c>
      <c r="B787" s="7" t="s">
        <v>151</v>
      </c>
      <c r="C787" s="7" t="s">
        <v>57</v>
      </c>
      <c r="D787" s="7" t="s">
        <v>220</v>
      </c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</row>
    <row r="788" spans="1:16" ht="30" customHeight="1" x14ac:dyDescent="0.2">
      <c r="A788" s="7" t="s">
        <v>21</v>
      </c>
      <c r="B788" s="7" t="s">
        <v>151</v>
      </c>
      <c r="C788" s="7" t="s">
        <v>57</v>
      </c>
      <c r="D788" s="7" t="s">
        <v>221</v>
      </c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</row>
    <row r="789" spans="1:16" ht="30" customHeight="1" x14ac:dyDescent="0.2">
      <c r="A789" s="7" t="s">
        <v>21</v>
      </c>
      <c r="B789" s="7" t="s">
        <v>151</v>
      </c>
      <c r="C789" s="7" t="s">
        <v>57</v>
      </c>
      <c r="D789" s="7" t="s">
        <v>222</v>
      </c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</row>
    <row r="790" spans="1:16" ht="30" customHeight="1" x14ac:dyDescent="0.2">
      <c r="A790" s="7" t="s">
        <v>21</v>
      </c>
      <c r="B790" s="7" t="s">
        <v>151</v>
      </c>
      <c r="C790" s="7" t="s">
        <v>57</v>
      </c>
      <c r="D790" s="7" t="s">
        <v>219</v>
      </c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</row>
    <row r="791" spans="1:16" ht="30" customHeight="1" x14ac:dyDescent="0.2">
      <c r="A791" s="7" t="s">
        <v>21</v>
      </c>
      <c r="B791" s="7" t="s">
        <v>151</v>
      </c>
      <c r="C791" s="7" t="s">
        <v>57</v>
      </c>
      <c r="D791" s="7" t="s">
        <v>220</v>
      </c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</row>
    <row r="792" spans="1:16" ht="30" customHeight="1" x14ac:dyDescent="0.2">
      <c r="A792" s="7" t="s">
        <v>21</v>
      </c>
      <c r="B792" s="7" t="s">
        <v>151</v>
      </c>
      <c r="C792" s="7" t="s">
        <v>57</v>
      </c>
      <c r="D792" s="7" t="s">
        <v>221</v>
      </c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</row>
    <row r="793" spans="1:16" ht="30" customHeight="1" x14ac:dyDescent="0.2">
      <c r="A793" s="7" t="s">
        <v>21</v>
      </c>
      <c r="B793" s="7" t="s">
        <v>151</v>
      </c>
      <c r="C793" s="7" t="s">
        <v>57</v>
      </c>
      <c r="D793" s="7" t="s">
        <v>222</v>
      </c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</row>
    <row r="794" spans="1:16" ht="30" customHeight="1" x14ac:dyDescent="0.2">
      <c r="A794" s="7" t="s">
        <v>21</v>
      </c>
      <c r="B794" s="7" t="s">
        <v>151</v>
      </c>
      <c r="C794" s="7" t="s">
        <v>57</v>
      </c>
      <c r="D794" s="7" t="s">
        <v>219</v>
      </c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</row>
    <row r="795" spans="1:16" ht="30" customHeight="1" x14ac:dyDescent="0.2">
      <c r="A795" s="7" t="s">
        <v>21</v>
      </c>
      <c r="B795" s="7" t="s">
        <v>151</v>
      </c>
      <c r="C795" s="7" t="s">
        <v>57</v>
      </c>
      <c r="D795" s="7" t="s">
        <v>220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</row>
    <row r="796" spans="1:16" ht="30" customHeight="1" x14ac:dyDescent="0.2">
      <c r="A796" s="7" t="s">
        <v>21</v>
      </c>
      <c r="B796" s="7" t="s">
        <v>151</v>
      </c>
      <c r="C796" s="7" t="s">
        <v>57</v>
      </c>
      <c r="D796" s="7" t="s">
        <v>221</v>
      </c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</row>
    <row r="797" spans="1:16" ht="30" customHeight="1" x14ac:dyDescent="0.2">
      <c r="A797" s="7" t="s">
        <v>21</v>
      </c>
      <c r="B797" s="7" t="s">
        <v>151</v>
      </c>
      <c r="C797" s="7" t="s">
        <v>57</v>
      </c>
      <c r="D797" s="7" t="s">
        <v>222</v>
      </c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</row>
  </sheetData>
  <autoFilter ref="A1:A797" xr:uid="{966D3407-9D6E-6D44-AD53-9726AC2688C3}">
    <filterColumn colId="0">
      <filters>
        <filter val="Ridge"/>
      </filters>
    </filterColumn>
  </autoFilter>
  <sortState ref="A2:P797">
    <sortCondition ref="A2:A797"/>
    <sortCondition ref="B2:B797"/>
    <sortCondition ref="C2:C797"/>
  </sortState>
  <printOptions gridLines="1"/>
  <pageMargins left="0.25" right="0.25" top="0.75" bottom="0.75" header="0.3" footer="0.3"/>
  <pageSetup scale="72" fitToHeight="100" orientation="landscape" blackAndWhite="1" draft="1" horizontalDpi="0" verticalDpi="0"/>
  <rowBreaks count="1" manualBreakCount="1">
    <brk id="19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Sheet4</vt:lpstr>
      <vt:lpstr>Trees_DBH</vt:lpstr>
      <vt:lpstr>Soil_Field_Data</vt:lpstr>
      <vt:lpstr>Soil_Field_Data!Print_Titles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2021-07-08T13:08:22Z</cp:lastPrinted>
  <dcterms:created xsi:type="dcterms:W3CDTF">2021-07-05T15:17:33Z</dcterms:created>
  <dcterms:modified xsi:type="dcterms:W3CDTF">2021-07-19T16:16:23Z</dcterms:modified>
</cp:coreProperties>
</file>