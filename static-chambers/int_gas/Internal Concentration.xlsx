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YMF Methane/"/>
    </mc:Choice>
  </mc:AlternateContent>
  <xr:revisionPtr revIDLastSave="0" documentId="13_ncr:1_{48403906-D610-1748-9865-3DC4D2305D79}" xr6:coauthVersionLast="36" xr6:coauthVersionMax="36" xr10:uidLastSave="{00000000-0000-0000-0000-000000000000}"/>
  <bookViews>
    <workbookView xWindow="1680" yWindow="500" windowWidth="27120" windowHeight="17500" xr2:uid="{6360A3EA-7B95-6A49-BAD3-262C20EAD9BA}"/>
  </bookViews>
  <sheets>
    <sheet name="Raw Data" sheetId="1" r:id="rId1"/>
    <sheet name="Standard Concentrations" sheetId="6" r:id="rId2"/>
    <sheet name="Run 1 Curves 1" sheetId="2" r:id="rId3"/>
    <sheet name="Run 1 Curves 2" sheetId="7" r:id="rId4"/>
    <sheet name="Run 1 Curve Parameters" sheetId="8" r:id="rId5"/>
    <sheet name="Data Run 1" sheetId="4" r:id="rId6"/>
    <sheet name="Standards Run 2" sheetId="3" r:id="rId7"/>
    <sheet name="Data Run 2" sheetId="5" r:id="rId8"/>
  </sheets>
  <definedNames>
    <definedName name="_xlnm._FilterDatabase" localSheetId="0" hidden="1">'Raw Data'!$B$1:$B$604</definedName>
    <definedName name="_xlchart.v1.0" hidden="1">'Data Run 1'!$AE$1</definedName>
    <definedName name="_xlchart.v1.1" hidden="1">'Data Run 1'!$AE$2:$AE$291</definedName>
    <definedName name="_xlchart.v1.2" hidden="1">'Data Run 1'!$AE$1</definedName>
    <definedName name="_xlchart.v1.3" hidden="1">'Data Run 1'!$AE$2:$AE$291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" i="4"/>
  <c r="AE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E244" i="4"/>
  <c r="E242" i="4"/>
  <c r="E240" i="4"/>
  <c r="E238" i="4"/>
  <c r="E236" i="4"/>
  <c r="E232" i="4"/>
  <c r="E230" i="4"/>
  <c r="E228" i="4"/>
  <c r="E226" i="4"/>
  <c r="E224" i="4"/>
  <c r="E222" i="4"/>
  <c r="E220" i="4"/>
  <c r="E218" i="4"/>
  <c r="E216" i="4"/>
  <c r="E212" i="4"/>
  <c r="E210" i="4"/>
  <c r="E208" i="4"/>
  <c r="E206" i="4"/>
  <c r="E204" i="4"/>
  <c r="E202" i="4"/>
  <c r="E200" i="4"/>
  <c r="E198" i="4"/>
  <c r="E196" i="4"/>
  <c r="E192" i="4"/>
  <c r="E190" i="4"/>
  <c r="E188" i="4"/>
  <c r="E186" i="4"/>
  <c r="E184" i="4"/>
  <c r="E182" i="4"/>
  <c r="E180" i="4"/>
  <c r="E178" i="4"/>
  <c r="E176" i="4"/>
  <c r="E172" i="4"/>
  <c r="E170" i="4"/>
  <c r="E168" i="4"/>
  <c r="E166" i="4"/>
  <c r="E164" i="4"/>
  <c r="E162" i="4"/>
  <c r="E160" i="4"/>
  <c r="E158" i="4"/>
  <c r="E156" i="4"/>
  <c r="E152" i="4"/>
  <c r="E150" i="4"/>
  <c r="E148" i="4"/>
  <c r="E146" i="4"/>
  <c r="E142" i="4"/>
  <c r="E140" i="4"/>
  <c r="E138" i="4"/>
  <c r="E136" i="4"/>
  <c r="E132" i="4"/>
  <c r="E130" i="4"/>
  <c r="E128" i="4"/>
  <c r="E126" i="4"/>
  <c r="E124" i="4"/>
  <c r="E122" i="4"/>
  <c r="E120" i="4"/>
  <c r="E118" i="4"/>
  <c r="E116" i="4"/>
  <c r="E112" i="4"/>
  <c r="E110" i="4"/>
  <c r="E108" i="4"/>
  <c r="E106" i="4"/>
  <c r="E104" i="4"/>
  <c r="E102" i="4"/>
  <c r="E100" i="4"/>
  <c r="E98" i="4"/>
  <c r="E96" i="4"/>
  <c r="E92" i="4"/>
  <c r="E90" i="4"/>
  <c r="E88" i="4"/>
  <c r="E86" i="4"/>
  <c r="E84" i="4"/>
  <c r="E82" i="4"/>
  <c r="E80" i="4"/>
  <c r="E78" i="4"/>
  <c r="E76" i="4"/>
  <c r="E72" i="4"/>
  <c r="E70" i="4"/>
  <c r="E66" i="4"/>
  <c r="E64" i="4"/>
  <c r="E62" i="4"/>
  <c r="E60" i="4"/>
  <c r="E58" i="4"/>
  <c r="E56" i="4"/>
  <c r="F9" i="8"/>
  <c r="E9" i="8"/>
  <c r="E5" i="8"/>
  <c r="D9" i="8"/>
  <c r="D5" i="8"/>
  <c r="F8" i="8"/>
  <c r="F4" i="8"/>
  <c r="E8" i="8"/>
  <c r="E4" i="8"/>
  <c r="D8" i="8"/>
  <c r="F7" i="8"/>
  <c r="E7" i="8"/>
  <c r="D7" i="8"/>
  <c r="F6" i="8"/>
  <c r="E6" i="8"/>
  <c r="D6" i="8"/>
  <c r="F5" i="8"/>
  <c r="D4" i="8"/>
  <c r="F3" i="8"/>
  <c r="E3" i="8"/>
  <c r="D3" i="8"/>
  <c r="F2" i="8"/>
  <c r="E2" i="8"/>
  <c r="D2" i="8"/>
  <c r="E556" i="1" l="1"/>
  <c r="E554" i="1"/>
  <c r="E552" i="1"/>
  <c r="E550" i="1"/>
  <c r="E548" i="1"/>
  <c r="E546" i="1"/>
  <c r="E542" i="1"/>
  <c r="E540" i="1"/>
  <c r="E538" i="1"/>
  <c r="E536" i="1"/>
  <c r="E534" i="1"/>
  <c r="E532" i="1"/>
  <c r="E530" i="1"/>
  <c r="E528" i="1"/>
  <c r="E526" i="1"/>
  <c r="E522" i="1"/>
  <c r="E520" i="1"/>
  <c r="E518" i="1"/>
  <c r="E516" i="1"/>
  <c r="E514" i="1"/>
  <c r="E512" i="1"/>
  <c r="E510" i="1"/>
  <c r="E508" i="1"/>
  <c r="E506" i="1"/>
  <c r="E502" i="1"/>
  <c r="E500" i="1"/>
  <c r="E498" i="1"/>
  <c r="E496" i="1"/>
  <c r="E494" i="1"/>
  <c r="E492" i="1"/>
  <c r="E490" i="1"/>
  <c r="E488" i="1"/>
  <c r="E486" i="1"/>
  <c r="E480" i="1"/>
  <c r="E478" i="1"/>
  <c r="E476" i="1"/>
  <c r="E474" i="1"/>
  <c r="E472" i="1"/>
  <c r="E470" i="1"/>
  <c r="E468" i="1"/>
  <c r="E466" i="1"/>
  <c r="E462" i="1"/>
  <c r="E460" i="1"/>
  <c r="E458" i="1"/>
  <c r="E456" i="1"/>
  <c r="E454" i="1"/>
  <c r="E452" i="1"/>
  <c r="E450" i="1"/>
  <c r="E448" i="1"/>
  <c r="E446" i="1"/>
  <c r="E442" i="1"/>
  <c r="E440" i="1"/>
  <c r="E438" i="1"/>
  <c r="E436" i="1"/>
  <c r="E434" i="1"/>
  <c r="E430" i="1"/>
  <c r="E428" i="1"/>
  <c r="E426" i="1"/>
  <c r="E422" i="1"/>
  <c r="E420" i="1"/>
  <c r="E418" i="1"/>
  <c r="E416" i="1"/>
  <c r="E414" i="1"/>
  <c r="E412" i="1"/>
  <c r="E410" i="1"/>
  <c r="E408" i="1"/>
  <c r="E406" i="1"/>
  <c r="E402" i="1"/>
  <c r="E400" i="1"/>
  <c r="E398" i="1"/>
  <c r="E396" i="1"/>
  <c r="E394" i="1"/>
  <c r="E392" i="1"/>
  <c r="E390" i="1"/>
  <c r="E388" i="1"/>
  <c r="E386" i="1"/>
  <c r="E382" i="1"/>
  <c r="E380" i="1"/>
  <c r="E378" i="1"/>
  <c r="E376" i="1"/>
  <c r="E374" i="1"/>
  <c r="E372" i="1"/>
  <c r="E370" i="1"/>
  <c r="E366" i="1"/>
  <c r="E362" i="1"/>
  <c r="E360" i="1"/>
  <c r="E358" i="1"/>
  <c r="E356" i="1"/>
  <c r="E352" i="1"/>
  <c r="E350" i="1"/>
  <c r="E348" i="1"/>
  <c r="E346" i="1"/>
  <c r="E244" i="1"/>
  <c r="E242" i="1"/>
  <c r="E240" i="1"/>
  <c r="E238" i="1"/>
  <c r="E236" i="1"/>
  <c r="E232" i="1"/>
  <c r="E230" i="1"/>
  <c r="E228" i="1"/>
  <c r="E226" i="1"/>
  <c r="E224" i="1"/>
  <c r="E222" i="1"/>
  <c r="E220" i="1"/>
  <c r="E218" i="1"/>
  <c r="E216" i="1"/>
  <c r="E212" i="1"/>
  <c r="E210" i="1"/>
  <c r="E208" i="1"/>
  <c r="E206" i="1"/>
  <c r="E204" i="1"/>
  <c r="E202" i="1"/>
  <c r="E200" i="1"/>
  <c r="E198" i="1"/>
  <c r="E196" i="1"/>
  <c r="E192" i="1"/>
  <c r="E190" i="1"/>
  <c r="E188" i="1"/>
  <c r="E186" i="1"/>
  <c r="E184" i="1"/>
  <c r="E182" i="1"/>
  <c r="E180" i="1"/>
  <c r="E178" i="1"/>
  <c r="E176" i="1"/>
  <c r="E172" i="1"/>
  <c r="E170" i="1"/>
  <c r="E168" i="1"/>
  <c r="E166" i="1"/>
  <c r="E164" i="1"/>
  <c r="E162" i="1"/>
  <c r="E160" i="1"/>
  <c r="E158" i="1"/>
  <c r="E156" i="1"/>
  <c r="E152" i="1"/>
  <c r="E150" i="1"/>
  <c r="E148" i="1"/>
  <c r="E146" i="1"/>
  <c r="E142" i="1"/>
  <c r="E140" i="1"/>
  <c r="E138" i="1"/>
  <c r="E136" i="1"/>
  <c r="E132" i="1"/>
  <c r="E130" i="1"/>
  <c r="E128" i="1"/>
  <c r="E126" i="1"/>
  <c r="E124" i="1"/>
  <c r="E122" i="1"/>
  <c r="E120" i="1"/>
  <c r="E118" i="1"/>
  <c r="E116" i="1"/>
  <c r="E112" i="1"/>
  <c r="E110" i="1"/>
  <c r="E108" i="1"/>
  <c r="E106" i="1"/>
  <c r="E104" i="1"/>
  <c r="E102" i="1"/>
  <c r="E100" i="1"/>
  <c r="E98" i="1"/>
  <c r="E96" i="1"/>
  <c r="E92" i="1"/>
  <c r="E90" i="1"/>
  <c r="E88" i="1"/>
  <c r="E86" i="1"/>
  <c r="E84" i="1"/>
  <c r="E82" i="1"/>
  <c r="E80" i="1"/>
  <c r="E78" i="1"/>
  <c r="E76" i="1"/>
  <c r="E72" i="1"/>
  <c r="E70" i="1"/>
  <c r="E66" i="1"/>
  <c r="E64" i="1"/>
  <c r="E62" i="1"/>
  <c r="E60" i="1"/>
  <c r="E58" i="1"/>
  <c r="E56" i="1"/>
</calcChain>
</file>

<file path=xl/sharedStrings.xml><?xml version="1.0" encoding="utf-8"?>
<sst xmlns="http://schemas.openxmlformats.org/spreadsheetml/2006/main" count="11812" uniqueCount="1720">
  <si>
    <t>Autosampler Position</t>
  </si>
  <si>
    <t>Species ID</t>
  </si>
  <si>
    <t>Tree ID</t>
  </si>
  <si>
    <t>Lab No</t>
  </si>
  <si>
    <t>Lab ID</t>
  </si>
  <si>
    <t>Lab Air Blank</t>
  </si>
  <si>
    <t>NA</t>
  </si>
  <si>
    <t>Std1</t>
  </si>
  <si>
    <t>F220930s01.CHR</t>
  </si>
  <si>
    <t>CH4</t>
  </si>
  <si>
    <t>ppm</t>
  </si>
  <si>
    <t>CO2</t>
  </si>
  <si>
    <t>E220930s01.CHR</t>
  </si>
  <si>
    <t>O2</t>
  </si>
  <si>
    <t>Std2</t>
  </si>
  <si>
    <t>F220930s02.CHR</t>
  </si>
  <si>
    <t>E220930s02.CHR</t>
  </si>
  <si>
    <t>Std3</t>
  </si>
  <si>
    <t>F220930s03.CHR</t>
  </si>
  <si>
    <t>E220930s03.CHR</t>
  </si>
  <si>
    <t>Std4</t>
  </si>
  <si>
    <t>F220930s04.CHR</t>
  </si>
  <si>
    <t>E220930s04.CHR</t>
  </si>
  <si>
    <t>Std5</t>
  </si>
  <si>
    <t>F220930s05.CHR</t>
  </si>
  <si>
    <t>E220930s05.CHR</t>
  </si>
  <si>
    <t>Std6</t>
  </si>
  <si>
    <t>F220930s06.CHR</t>
  </si>
  <si>
    <t>E220930s06.CHR</t>
  </si>
  <si>
    <t>Std7</t>
  </si>
  <si>
    <t>F220930s07.CHR</t>
  </si>
  <si>
    <t>E220930s07.CHR</t>
  </si>
  <si>
    <t>Std8</t>
  </si>
  <si>
    <t>F220930s08.CHR</t>
  </si>
  <si>
    <t>E220930s08.CHR</t>
  </si>
  <si>
    <t>Std9</t>
  </si>
  <si>
    <t>F220930s09.CHR</t>
  </si>
  <si>
    <t>E220930s09.CHR</t>
  </si>
  <si>
    <t>Std10</t>
  </si>
  <si>
    <t>F220930s10.CHR</t>
  </si>
  <si>
    <t>E220930s10.CHR</t>
  </si>
  <si>
    <t>N2</t>
  </si>
  <si>
    <t>Std11</t>
  </si>
  <si>
    <t>F220930s11.CHR</t>
  </si>
  <si>
    <t>E220930s11.CHR</t>
  </si>
  <si>
    <t>Std12</t>
  </si>
  <si>
    <t>F220930s12.CHR</t>
  </si>
  <si>
    <t>E220930s12.CHR</t>
  </si>
  <si>
    <t>SB1</t>
  </si>
  <si>
    <t>Std13</t>
  </si>
  <si>
    <t>F220930s13.CHR</t>
  </si>
  <si>
    <t>E220930s13.CHR</t>
  </si>
  <si>
    <t>Std14</t>
  </si>
  <si>
    <t>F220930s14.CHR</t>
  </si>
  <si>
    <t>E220930s14.CHR</t>
  </si>
  <si>
    <t>SB2</t>
  </si>
  <si>
    <t>Std15</t>
  </si>
  <si>
    <t>F220930s15.CHR</t>
  </si>
  <si>
    <t>E220930s15.CHR</t>
  </si>
  <si>
    <t>Std16</t>
  </si>
  <si>
    <t>F220930s16.CHR</t>
  </si>
  <si>
    <t>E220930s16.CHR</t>
  </si>
  <si>
    <t>SB3</t>
  </si>
  <si>
    <t>Std17</t>
  </si>
  <si>
    <t>F220930s17.CHR</t>
  </si>
  <si>
    <t>E220930s17.CHR</t>
  </si>
  <si>
    <t>Std18</t>
  </si>
  <si>
    <t>F220930s18.CHR</t>
  </si>
  <si>
    <t>E220930s18.CHR</t>
  </si>
  <si>
    <t>SB4</t>
  </si>
  <si>
    <t>Std19</t>
  </si>
  <si>
    <t>F220930s19.CHR</t>
  </si>
  <si>
    <t>E220930s19.CHR</t>
  </si>
  <si>
    <t>Std20</t>
  </si>
  <si>
    <t>F220930s20.CHR</t>
  </si>
  <si>
    <t>E220930s20.CHR</t>
  </si>
  <si>
    <t>SB5</t>
  </si>
  <si>
    <t>Std21</t>
  </si>
  <si>
    <t>F220930s21.CHR</t>
  </si>
  <si>
    <t>E220930s21.CHR</t>
  </si>
  <si>
    <t>Std22</t>
  </si>
  <si>
    <t>F220930s22.CHR</t>
  </si>
  <si>
    <t>E220930s22.CHR</t>
  </si>
  <si>
    <t>SB6</t>
  </si>
  <si>
    <t>Std23</t>
  </si>
  <si>
    <t>F220930s23.CHR</t>
  </si>
  <si>
    <t>E220930s23.CHR</t>
  </si>
  <si>
    <t>Std24</t>
  </si>
  <si>
    <t>F220930s24.CHR</t>
  </si>
  <si>
    <t>E220930s24.CHR</t>
  </si>
  <si>
    <t>Std25</t>
  </si>
  <si>
    <t>F220930s25.CHR</t>
  </si>
  <si>
    <t>E220930s25.CHR</t>
  </si>
  <si>
    <t>Std26</t>
  </si>
  <si>
    <t>F220930s26.CHR</t>
  </si>
  <si>
    <t>E220930s26.CHR</t>
  </si>
  <si>
    <t>Outdoor Air 1</t>
  </si>
  <si>
    <t>Std27</t>
  </si>
  <si>
    <t>F220930s27.CHR</t>
  </si>
  <si>
    <t>E220930s27.CHR</t>
  </si>
  <si>
    <t>Std28</t>
  </si>
  <si>
    <t>F220930s28.CHR</t>
  </si>
  <si>
    <t>E220930s28.CHR</t>
  </si>
  <si>
    <t>Outdoor Air 2</t>
  </si>
  <si>
    <t>Std29</t>
  </si>
  <si>
    <t>F220930s29.CHR</t>
  </si>
  <si>
    <t>E220930s29.CHR</t>
  </si>
  <si>
    <t>Std30</t>
  </si>
  <si>
    <t>F220930s30.CHR</t>
  </si>
  <si>
    <t>E220930s30.CHR</t>
  </si>
  <si>
    <t>Outdoor Air 3</t>
  </si>
  <si>
    <t>Std31</t>
  </si>
  <si>
    <t>F220930s31.CHR</t>
  </si>
  <si>
    <t>E220930s31.CHR</t>
  </si>
  <si>
    <t>Std32</t>
  </si>
  <si>
    <t>F220930s32.CHR</t>
  </si>
  <si>
    <t>E220930s32.CHR</t>
  </si>
  <si>
    <t>Outdoor Air 4</t>
  </si>
  <si>
    <t>Std33</t>
  </si>
  <si>
    <t>F220930s33.CHR</t>
  </si>
  <si>
    <t>E220930s33.CHR</t>
  </si>
  <si>
    <t>Std34</t>
  </si>
  <si>
    <t>F220930s34.CHR</t>
  </si>
  <si>
    <t>E220930s34.CHR</t>
  </si>
  <si>
    <t>Outdoor Air 5</t>
  </si>
  <si>
    <t>Std35</t>
  </si>
  <si>
    <t>F220930s35.CHR</t>
  </si>
  <si>
    <t>E220930s35.CHR</t>
  </si>
  <si>
    <t>Std36</t>
  </si>
  <si>
    <t>F220930s36.CHR</t>
  </si>
  <si>
    <t>E220930s36.CHR</t>
  </si>
  <si>
    <t>Outdoor Air 6</t>
  </si>
  <si>
    <t>Std37</t>
  </si>
  <si>
    <t>F220930s37.CHR</t>
  </si>
  <si>
    <t>E220930s37.CHR</t>
  </si>
  <si>
    <t>Std38</t>
  </si>
  <si>
    <t>F220930s38.CHR</t>
  </si>
  <si>
    <t>E220930s38.CHR</t>
  </si>
  <si>
    <t>Outdoor Air 7</t>
  </si>
  <si>
    <t>Std39</t>
  </si>
  <si>
    <t>F220930s39.CHR</t>
  </si>
  <si>
    <t>E220930s39.CHR</t>
  </si>
  <si>
    <t>Std40</t>
  </si>
  <si>
    <t>F220930s40.CHR</t>
  </si>
  <si>
    <t>E220930s40.CHR</t>
  </si>
  <si>
    <t>Std41</t>
  </si>
  <si>
    <t>F220930s41.CHR</t>
  </si>
  <si>
    <t>E220930s41.CHR</t>
  </si>
  <si>
    <t>Std42</t>
  </si>
  <si>
    <t>F220930s42.CHR</t>
  </si>
  <si>
    <t>E220930s42.CHR</t>
  </si>
  <si>
    <t>Oxygen Standard 1</t>
  </si>
  <si>
    <t>Std43</t>
  </si>
  <si>
    <t>F220930s43.CHR</t>
  </si>
  <si>
    <t>E220930s43.CHR</t>
  </si>
  <si>
    <t>Std44</t>
  </si>
  <si>
    <t>F220930s44.CHR</t>
  </si>
  <si>
    <t>E220930s44.CHR</t>
  </si>
  <si>
    <t>Oxygen Standard 2</t>
  </si>
  <si>
    <t>Std45</t>
  </si>
  <si>
    <t>F220930s45.CHR</t>
  </si>
  <si>
    <t>E220930s45.CHR</t>
  </si>
  <si>
    <t>Std46</t>
  </si>
  <si>
    <t>F220930s46.CHR</t>
  </si>
  <si>
    <t>E220930s46.CHR</t>
  </si>
  <si>
    <t>Oxygen Standard 3</t>
  </si>
  <si>
    <t>Std47</t>
  </si>
  <si>
    <t>F220930s47.CHR</t>
  </si>
  <si>
    <t>E220930s47.CHR</t>
  </si>
  <si>
    <t>Std48</t>
  </si>
  <si>
    <t>F220930s48.CHR</t>
  </si>
  <si>
    <t>E220930s48.CHR</t>
  </si>
  <si>
    <t>Oxygen Standard 4</t>
  </si>
  <si>
    <t>Std49</t>
  </si>
  <si>
    <t>F220930s49.CHR</t>
  </si>
  <si>
    <t>E220930s49.CHR</t>
  </si>
  <si>
    <t>Std50</t>
  </si>
  <si>
    <t>F220930s50.CHR</t>
  </si>
  <si>
    <t>E220930s50.CHR</t>
  </si>
  <si>
    <t>Oxygen Standard 5</t>
  </si>
  <si>
    <t>Std51</t>
  </si>
  <si>
    <t>F220930s51.CHR</t>
  </si>
  <si>
    <t>E220930s51.CHR</t>
  </si>
  <si>
    <t>Std52</t>
  </si>
  <si>
    <t>F220930s52.CHR</t>
  </si>
  <si>
    <t>E220930s52.CHR</t>
  </si>
  <si>
    <t>Std53</t>
  </si>
  <si>
    <t>F220930s53.CHR</t>
  </si>
  <si>
    <t>E220930s53.CHR</t>
  </si>
  <si>
    <t>Std54</t>
  </si>
  <si>
    <t>F220930s54.CHR</t>
  </si>
  <si>
    <t>E220930s54.CHR</t>
  </si>
  <si>
    <t>ACRU</t>
  </si>
  <si>
    <t>RM1</t>
  </si>
  <si>
    <t>F220930s55.CHR</t>
  </si>
  <si>
    <t>E220930s55.CHR</t>
  </si>
  <si>
    <t>BLANK</t>
  </si>
  <si>
    <t>F220930s56.CHR</t>
  </si>
  <si>
    <t>E220930s56.CHR</t>
  </si>
  <si>
    <t>RM10</t>
  </si>
  <si>
    <t>F220930s57.CHR</t>
  </si>
  <si>
    <t>E220930s57.CHR</t>
  </si>
  <si>
    <t>F220930s58.CHR</t>
  </si>
  <si>
    <t>E220930s58.CHR</t>
  </si>
  <si>
    <t>RM14</t>
  </si>
  <si>
    <t>F220930s59.CHR</t>
  </si>
  <si>
    <t>E220930s59.CHR</t>
  </si>
  <si>
    <t>F220930s60.CHR</t>
  </si>
  <si>
    <t>E220930s60.CHR</t>
  </si>
  <si>
    <t>RM2</t>
  </si>
  <si>
    <t>F220930s61.CHR</t>
  </si>
  <si>
    <t>E220930s61.CHR</t>
  </si>
  <si>
    <t>F220930s62.CHR</t>
  </si>
  <si>
    <t>E220930s62.CHR</t>
  </si>
  <si>
    <t>RM3</t>
  </si>
  <si>
    <t>F220930s63.CHR</t>
  </si>
  <si>
    <t>E220930s63.CHR</t>
  </si>
  <si>
    <t>F220930s64.CHR</t>
  </si>
  <si>
    <t>E220930s64.CHR</t>
  </si>
  <si>
    <t>RM301A</t>
  </si>
  <si>
    <t>F220930s65.CHR</t>
  </si>
  <si>
    <t>E220930s65.CHR</t>
  </si>
  <si>
    <t>F220930s66.CHR</t>
  </si>
  <si>
    <t>E220930s66.CHR</t>
  </si>
  <si>
    <t>F220930s67.CHR</t>
  </si>
  <si>
    <t>E220930s67.CHR</t>
  </si>
  <si>
    <t>F220930s68.CHR</t>
  </si>
  <si>
    <t>E220930s68.CHR</t>
  </si>
  <si>
    <t>RM302</t>
  </si>
  <si>
    <t>F220930s69.CHR</t>
  </si>
  <si>
    <t>E220930s69.CHR</t>
  </si>
  <si>
    <t>F220930s70.CHR</t>
  </si>
  <si>
    <t>E220930s70.CHR</t>
  </si>
  <si>
    <t>RM303</t>
  </si>
  <si>
    <t>F220930s71.CHR</t>
  </si>
  <si>
    <t>E220930s71.CHR</t>
  </si>
  <si>
    <t>F220930s72.CHR</t>
  </si>
  <si>
    <t>E220930s72.CHR</t>
  </si>
  <si>
    <t>Check Standard</t>
  </si>
  <si>
    <t>CHECK</t>
  </si>
  <si>
    <t>ChkStd1</t>
  </si>
  <si>
    <t>F220930s73.CHR</t>
  </si>
  <si>
    <t>E220930s73.CHR</t>
  </si>
  <si>
    <t>F220930s74.CHR</t>
  </si>
  <si>
    <t>E220930s74.CHR</t>
  </si>
  <si>
    <t>RM4</t>
  </si>
  <si>
    <t>F220930s75.CHR</t>
  </si>
  <si>
    <t>E220930s75.CHR</t>
  </si>
  <si>
    <t>F220930s76.CHR</t>
  </si>
  <si>
    <t>E220930s76.CHR</t>
  </si>
  <si>
    <t>RM5</t>
  </si>
  <si>
    <t>F220930s77.CHR</t>
  </si>
  <si>
    <t>E220930s77.CHR</t>
  </si>
  <si>
    <t>F220930s78.CHR</t>
  </si>
  <si>
    <t>E220930s78.CHR</t>
  </si>
  <si>
    <t>RM501</t>
  </si>
  <si>
    <t>F220930s79.CHR</t>
  </si>
  <si>
    <t>E220930s79.CHR</t>
  </si>
  <si>
    <t>F220930s80.CHR</t>
  </si>
  <si>
    <t>E220930s80.CHR</t>
  </si>
  <si>
    <t>RM502</t>
  </si>
  <si>
    <t>F220930s81.CHR</t>
  </si>
  <si>
    <t>E220930s81.CHR</t>
  </si>
  <si>
    <t>F220930s82.CHR</t>
  </si>
  <si>
    <t>E220930s82.CHR</t>
  </si>
  <si>
    <t>RM503</t>
  </si>
  <si>
    <t>F220930s83.CHR</t>
  </si>
  <si>
    <t>E220930s83.CHR</t>
  </si>
  <si>
    <t>F220930s84.CHR</t>
  </si>
  <si>
    <t>E220930s84.CHR</t>
  </si>
  <si>
    <t>RMS1</t>
  </si>
  <si>
    <t>F220930s85.CHR</t>
  </si>
  <si>
    <t>E220930s85.CHR</t>
  </si>
  <si>
    <t>F220930s86.CHR</t>
  </si>
  <si>
    <t>E220930s86.CHR</t>
  </si>
  <si>
    <t>ACSA</t>
  </si>
  <si>
    <t>SM1</t>
  </si>
  <si>
    <t>F220930s87.CHR</t>
  </si>
  <si>
    <t>E220930s87.CHR</t>
  </si>
  <si>
    <t>F220930s88.CHR</t>
  </si>
  <si>
    <t>E220930s88.CHR</t>
  </si>
  <si>
    <t>SM10</t>
  </si>
  <si>
    <t>F220930s89.CHR</t>
  </si>
  <si>
    <t>E220930s89.CHR</t>
  </si>
  <si>
    <t>F220930s90.CHR</t>
  </si>
  <si>
    <t>E220930s90.CHR</t>
  </si>
  <si>
    <t>SM11</t>
  </si>
  <si>
    <t>F220930s91.CHR</t>
  </si>
  <si>
    <t>E220930s91.CHR</t>
  </si>
  <si>
    <t>F220930s92.CHR</t>
  </si>
  <si>
    <t>E220930s92.CHR</t>
  </si>
  <si>
    <t>ChkStd2</t>
  </si>
  <si>
    <t>F220930s93.CHR</t>
  </si>
  <si>
    <t>E220930s93.CHR</t>
  </si>
  <si>
    <t>F220930s94.CHR</t>
  </si>
  <si>
    <t>E220930s94.CHR</t>
  </si>
  <si>
    <t>SM13</t>
  </si>
  <si>
    <t>F220930s95.CHR</t>
  </si>
  <si>
    <t>E220930s95.CHR</t>
  </si>
  <si>
    <t>F220930s96.CHR</t>
  </si>
  <si>
    <t>E220930s96.CHR</t>
  </si>
  <si>
    <t>SM14</t>
  </si>
  <si>
    <t>F220930s97.CHR</t>
  </si>
  <si>
    <t>E220930s97.CHR</t>
  </si>
  <si>
    <t>F220930s98.CHR</t>
  </si>
  <si>
    <t>E220930s98.CHR</t>
  </si>
  <si>
    <t>SM15</t>
  </si>
  <si>
    <t>F220930s99.CHR</t>
  </si>
  <si>
    <t>E220930s99.CHR</t>
  </si>
  <si>
    <t>F220930s100.CHR</t>
  </si>
  <si>
    <t>E220930s100.CHR</t>
  </si>
  <si>
    <t>SM2</t>
  </si>
  <si>
    <t>F220930s101.CHR</t>
  </si>
  <si>
    <t>E220930s101.CHR</t>
  </si>
  <si>
    <t>F220930s102.CHR</t>
  </si>
  <si>
    <t>E220930s102.CHR</t>
  </si>
  <si>
    <t>SM3</t>
  </si>
  <si>
    <t>F220930s103.CHR</t>
  </si>
  <si>
    <t>E220930s103.CHR</t>
  </si>
  <si>
    <t>F220930s104.CHR</t>
  </si>
  <si>
    <t>E220930s104.CHR</t>
  </si>
  <si>
    <t>SM5</t>
  </si>
  <si>
    <t>F220930s105.CHR</t>
  </si>
  <si>
    <t>E220930s105.CHR</t>
  </si>
  <si>
    <t>F220930s106.CHR</t>
  </si>
  <si>
    <t>E220930s106.CHR</t>
  </si>
  <si>
    <t>SM6</t>
  </si>
  <si>
    <t>F220930s107.CHR</t>
  </si>
  <si>
    <t>E220930s107.CHR</t>
  </si>
  <si>
    <t>F220930s108.CHR</t>
  </si>
  <si>
    <t>E220930s108.CHR</t>
  </si>
  <si>
    <t>SM7</t>
  </si>
  <si>
    <t>F220930s109.CHR</t>
  </si>
  <si>
    <t>E220930s109.CHR</t>
  </si>
  <si>
    <t>F220930s110.CHR</t>
  </si>
  <si>
    <t>E220930s110.CHR</t>
  </si>
  <si>
    <t>SM8</t>
  </si>
  <si>
    <t>F220930s111.CHR</t>
  </si>
  <si>
    <t>E220930s111.CHR</t>
  </si>
  <si>
    <t>F220930s112.CHR</t>
  </si>
  <si>
    <t>E220930s112.CHR</t>
  </si>
  <si>
    <t>ChkStd3</t>
  </si>
  <si>
    <t>F220930s113.CHR</t>
  </si>
  <si>
    <t>E220930s113.CHR</t>
  </si>
  <si>
    <t>F220930s114.CHR</t>
  </si>
  <si>
    <t>E220930s114.CHR</t>
  </si>
  <si>
    <t>SM4</t>
  </si>
  <si>
    <t>F220930s115.CHR</t>
  </si>
  <si>
    <t>E220930s115.CHR</t>
  </si>
  <si>
    <t>F220930s116.CHR</t>
  </si>
  <si>
    <t>E220930s116.CHR</t>
  </si>
  <si>
    <t>BEAL</t>
  </si>
  <si>
    <t>CUL8R</t>
  </si>
  <si>
    <t>F220930s117.CHR</t>
  </si>
  <si>
    <t>E220930s117.CHR</t>
  </si>
  <si>
    <t>F220930s118.CHR</t>
  </si>
  <si>
    <t>E220930s118.CHR</t>
  </si>
  <si>
    <t>YB10</t>
  </si>
  <si>
    <t>F220930s119.CHR</t>
  </si>
  <si>
    <t>E220930s119.CHR</t>
  </si>
  <si>
    <t>F220930s120.CHR</t>
  </si>
  <si>
    <t>E220930s120.CHR</t>
  </si>
  <si>
    <t>YB11</t>
  </si>
  <si>
    <t>F220930s121.CHR</t>
  </si>
  <si>
    <t>E220930s121.CHR</t>
  </si>
  <si>
    <t>F220930s122.CHR</t>
  </si>
  <si>
    <t>E220930s122.CHR</t>
  </si>
  <si>
    <t>YB11'</t>
  </si>
  <si>
    <t>F220930s123.CHR</t>
  </si>
  <si>
    <t>E220930s123.CHR</t>
  </si>
  <si>
    <t>F220930s124.CHR</t>
  </si>
  <si>
    <t>E220930s124.CHR</t>
  </si>
  <si>
    <t>YB12</t>
  </si>
  <si>
    <t>F220930s125.CHR</t>
  </si>
  <si>
    <t>E220930s125.CHR</t>
  </si>
  <si>
    <t>F220930s126.CHR</t>
  </si>
  <si>
    <t>E220930s126.CHR</t>
  </si>
  <si>
    <t>YB13</t>
  </si>
  <si>
    <t>F220930s127.CHR</t>
  </si>
  <si>
    <t>E220930s127.CHR</t>
  </si>
  <si>
    <t>F220930s128.CHR</t>
  </si>
  <si>
    <t>E220930s128.CHR</t>
  </si>
  <si>
    <t>YB14</t>
  </si>
  <si>
    <t>F220930s129.CHR</t>
  </si>
  <si>
    <t>E220930s129.CHR</t>
  </si>
  <si>
    <t>F220930s130.CHR</t>
  </si>
  <si>
    <t>E220930s130.CHR</t>
  </si>
  <si>
    <t>YB15</t>
  </si>
  <si>
    <t>F220930s131.CHR</t>
  </si>
  <si>
    <t>E220930s131.CHR</t>
  </si>
  <si>
    <t>F220930s132.CHR</t>
  </si>
  <si>
    <t>E220930s132.CHR</t>
  </si>
  <si>
    <t>ChkStd4</t>
  </si>
  <si>
    <t>F220930s133.CHR</t>
  </si>
  <si>
    <t>E220930s133.CHR</t>
  </si>
  <si>
    <t>F220930s134.CHR</t>
  </si>
  <si>
    <t>E220930s134.CHR</t>
  </si>
  <si>
    <t>YB3</t>
  </si>
  <si>
    <t>F220930s135.CHR</t>
  </si>
  <si>
    <t>E220930s135.CHR</t>
  </si>
  <si>
    <t>F220930s136.CHR</t>
  </si>
  <si>
    <t>E220930s136.CHR</t>
  </si>
  <si>
    <t>YB4</t>
  </si>
  <si>
    <t>F220930s137.CHR</t>
  </si>
  <si>
    <t>E220930s137.CHR</t>
  </si>
  <si>
    <t>F220930s138.CHR</t>
  </si>
  <si>
    <t>E220930s138.CHR</t>
  </si>
  <si>
    <t>YB5</t>
  </si>
  <si>
    <t>F220930s139.CHR</t>
  </si>
  <si>
    <t>E220930s139.CHR</t>
  </si>
  <si>
    <t>F220930s140.CHR</t>
  </si>
  <si>
    <t>E220930s140.CHR</t>
  </si>
  <si>
    <t>YB9</t>
  </si>
  <si>
    <t>F220930s141.CHR</t>
  </si>
  <si>
    <t>E220930s141.CHR</t>
  </si>
  <si>
    <t>F220930s142.CHR</t>
  </si>
  <si>
    <t>E220930s142.CHR</t>
  </si>
  <si>
    <t>F220930s143.CHR</t>
  </si>
  <si>
    <t>E220930s143.CHR</t>
  </si>
  <si>
    <t>F220930s144.CHR</t>
  </si>
  <si>
    <t>E220930s144.CHR</t>
  </si>
  <si>
    <t>YBYB</t>
  </si>
  <si>
    <t>F220930s145.CHR</t>
  </si>
  <si>
    <t>E220930s145.CHR</t>
  </si>
  <si>
    <t>F220930s146.CHR</t>
  </si>
  <si>
    <t>E220930s146.CHR</t>
  </si>
  <si>
    <t>BELE</t>
  </si>
  <si>
    <t>BB1</t>
  </si>
  <si>
    <t>F220930s147.CHR</t>
  </si>
  <si>
    <t>E220930s147.CHR</t>
  </si>
  <si>
    <t>F220930s148.CHR</t>
  </si>
  <si>
    <t>E220930s148.CHR</t>
  </si>
  <si>
    <t>BB10</t>
  </si>
  <si>
    <t>F220930s149.CHR</t>
  </si>
  <si>
    <t>E220930s149.CHR</t>
  </si>
  <si>
    <t>F220930s150.CHR</t>
  </si>
  <si>
    <t>E220930s150.CHR</t>
  </si>
  <si>
    <t>BB10'</t>
  </si>
  <si>
    <t>F220930s151.CHR</t>
  </si>
  <si>
    <t>E220930s151.CHR</t>
  </si>
  <si>
    <t>F220930s152.CHR</t>
  </si>
  <si>
    <t>E220930s152.CHR</t>
  </si>
  <si>
    <t>ChkStd5</t>
  </si>
  <si>
    <t>F220930s153.CHR</t>
  </si>
  <si>
    <t>E220930s153.CHR</t>
  </si>
  <si>
    <t>F220930s154.CHR</t>
  </si>
  <si>
    <t>E220930s154.CHR</t>
  </si>
  <si>
    <t>BB12</t>
  </si>
  <si>
    <t>F220930s155.CHR</t>
  </si>
  <si>
    <t>E220930s155.CHR</t>
  </si>
  <si>
    <t>F220930s156.CHR</t>
  </si>
  <si>
    <t>E220930s156.CHR</t>
  </si>
  <si>
    <t>BB13</t>
  </si>
  <si>
    <t>F220930s157.CHR</t>
  </si>
  <si>
    <t>E220930s157.CHR</t>
  </si>
  <si>
    <t>F220930s158.CHR</t>
  </si>
  <si>
    <t>E220930s158.CHR</t>
  </si>
  <si>
    <t>BB14</t>
  </si>
  <si>
    <t>F220930s159.CHR</t>
  </si>
  <si>
    <t>E220930s159.CHR</t>
  </si>
  <si>
    <t>F220930s160.CHR</t>
  </si>
  <si>
    <t>E220930s160.CHR</t>
  </si>
  <si>
    <t>BB16</t>
  </si>
  <si>
    <t>F220930s161.CHR</t>
  </si>
  <si>
    <t>E220930s161.CHR</t>
  </si>
  <si>
    <t>F220930s162.CHR</t>
  </si>
  <si>
    <t>E220930s162.CHR</t>
  </si>
  <si>
    <t>BB16'</t>
  </si>
  <si>
    <t>F220930s163.CHR</t>
  </si>
  <si>
    <t>E220930s163.CHR</t>
  </si>
  <si>
    <t>F220930s164.CHR</t>
  </si>
  <si>
    <t>E220930s164.CHR</t>
  </si>
  <si>
    <t>BB3</t>
  </si>
  <si>
    <t>F220930s165.CHR</t>
  </si>
  <si>
    <t>E220930s165.CHR</t>
  </si>
  <si>
    <t>F220930s166.CHR</t>
  </si>
  <si>
    <t>E220930s166.CHR</t>
  </si>
  <si>
    <t>BB5</t>
  </si>
  <si>
    <t>F220930s167.CHR</t>
  </si>
  <si>
    <t>E220930s167.CHR</t>
  </si>
  <si>
    <t>F220930s168.CHR</t>
  </si>
  <si>
    <t>E220930s168.CHR</t>
  </si>
  <si>
    <t>BB6</t>
  </si>
  <si>
    <t>F220930s169.CHR</t>
  </si>
  <si>
    <t>E220930s169.CHR</t>
  </si>
  <si>
    <t>F220930s170.CHR</t>
  </si>
  <si>
    <t>E220930s170.CHR</t>
  </si>
  <si>
    <t>BB7</t>
  </si>
  <si>
    <t>F220930s171.CHR</t>
  </si>
  <si>
    <t>E220930s171.CHR</t>
  </si>
  <si>
    <t>F220930s172.CHR</t>
  </si>
  <si>
    <t>E220930s172.CHR</t>
  </si>
  <si>
    <t>ChkStd6</t>
  </si>
  <si>
    <t>F220930s173.CHR</t>
  </si>
  <si>
    <t>E220930s173.CHR</t>
  </si>
  <si>
    <t>F220930s174.CHR</t>
  </si>
  <si>
    <t>E220930s174.CHR</t>
  </si>
  <si>
    <t>BB9</t>
  </si>
  <si>
    <t>F220930s175.CHR</t>
  </si>
  <si>
    <t>E220930s175.CHR</t>
  </si>
  <si>
    <t>F220930s176.CHR</t>
  </si>
  <si>
    <t>E220930s176.CHR</t>
  </si>
  <si>
    <t>BBGT1</t>
  </si>
  <si>
    <t>F220930s177.CHR</t>
  </si>
  <si>
    <t>E220930s177.CHR</t>
  </si>
  <si>
    <t>F220930s178.CHR</t>
  </si>
  <si>
    <t>E220930s178.CHR</t>
  </si>
  <si>
    <t>BBX1</t>
  </si>
  <si>
    <t>F220930s179.CHR</t>
  </si>
  <si>
    <t>E220930s179.CHR</t>
  </si>
  <si>
    <t>F220930s180.CHR</t>
  </si>
  <si>
    <t>E220930s180.CHR</t>
  </si>
  <si>
    <t>BBX6</t>
  </si>
  <si>
    <t>F220930s181.CHR</t>
  </si>
  <si>
    <t>E220930s181.CHR</t>
  </si>
  <si>
    <t>F220930s182.CHR</t>
  </si>
  <si>
    <t>E220930s182.CHR</t>
  </si>
  <si>
    <t>BBX7</t>
  </si>
  <si>
    <t>F220930s183.CHR</t>
  </si>
  <si>
    <t>E220930s183.CHR</t>
  </si>
  <si>
    <t>F220930s184.CHR</t>
  </si>
  <si>
    <t>E220930s184.CHR</t>
  </si>
  <si>
    <t>BEPA</t>
  </si>
  <si>
    <t>PB1</t>
  </si>
  <si>
    <t>F220930s185.CHR</t>
  </si>
  <si>
    <t>E220930s185.CHR</t>
  </si>
  <si>
    <t>F220930s186.CHR</t>
  </si>
  <si>
    <t>E220930s186.CHR</t>
  </si>
  <si>
    <t>PB2</t>
  </si>
  <si>
    <t>F220930s187.CHR</t>
  </si>
  <si>
    <t>E220930s187.CHR</t>
  </si>
  <si>
    <t>F220930s188.CHR</t>
  </si>
  <si>
    <t>E220930s188.CHR</t>
  </si>
  <si>
    <t>PB3</t>
  </si>
  <si>
    <t>F220930s189.CHR</t>
  </si>
  <si>
    <t>E220930s189.CHR</t>
  </si>
  <si>
    <t>F220930s190.CHR</t>
  </si>
  <si>
    <t>E220930s190.CHR</t>
  </si>
  <si>
    <t>PB4</t>
  </si>
  <si>
    <t>F220930s191.CHR</t>
  </si>
  <si>
    <t>E220930s191.CHR</t>
  </si>
  <si>
    <t>F220930s192.CHR</t>
  </si>
  <si>
    <t>E220930s192.CHR</t>
  </si>
  <si>
    <t>ChkStd7</t>
  </si>
  <si>
    <t>F220930s193.CHR</t>
  </si>
  <si>
    <t>E220930s193.CHR</t>
  </si>
  <si>
    <t>F220930s194.CHR</t>
  </si>
  <si>
    <t>E220930s194.CHR</t>
  </si>
  <si>
    <t>PB501</t>
  </si>
  <si>
    <t>F220930s195.CHR</t>
  </si>
  <si>
    <t>E220930s195.CHR</t>
  </si>
  <si>
    <t>F220930s196.CHR</t>
  </si>
  <si>
    <t>E220930s196.CHR</t>
  </si>
  <si>
    <t>CAOV</t>
  </si>
  <si>
    <t>SH1</t>
  </si>
  <si>
    <t>F220930s197.CHR</t>
  </si>
  <si>
    <t>E220930s197.CHR</t>
  </si>
  <si>
    <t>F220930s198.CHR</t>
  </si>
  <si>
    <t>E220930s198.CHR</t>
  </si>
  <si>
    <t>FAGR</t>
  </si>
  <si>
    <t>AB1</t>
  </si>
  <si>
    <t>F220930s199.CHR</t>
  </si>
  <si>
    <t>E220930s199.CHR</t>
  </si>
  <si>
    <t>F220930s200.CHR</t>
  </si>
  <si>
    <t>E220930s200.CHR</t>
  </si>
  <si>
    <t>AB10</t>
  </si>
  <si>
    <t>F220930s201.CHR</t>
  </si>
  <si>
    <t>E220930s201.CHR</t>
  </si>
  <si>
    <t>F220930s202.CHR</t>
  </si>
  <si>
    <t>E220930s202.CHR</t>
  </si>
  <si>
    <t>AB11</t>
  </si>
  <si>
    <t>F220930s203.CHR</t>
  </si>
  <si>
    <t>E220930s203.CHR</t>
  </si>
  <si>
    <t>F220930s204.CHR</t>
  </si>
  <si>
    <t>E220930s204.CHR</t>
  </si>
  <si>
    <t>AB2</t>
  </si>
  <si>
    <t>F220930s205.CHR</t>
  </si>
  <si>
    <t>E220930s205.CHR</t>
  </si>
  <si>
    <t>F220930s206.CHR</t>
  </si>
  <si>
    <t>E220930s206.CHR</t>
  </si>
  <si>
    <t>AB3</t>
  </si>
  <si>
    <t>F220930s207.CHR</t>
  </si>
  <si>
    <t>E220930s207.CHR</t>
  </si>
  <si>
    <t>F220930s208.CHR</t>
  </si>
  <si>
    <t>E220930s208.CHR</t>
  </si>
  <si>
    <t>AB3/5</t>
  </si>
  <si>
    <t>F220930s209.CHR</t>
  </si>
  <si>
    <t>E220930s209.CHR</t>
  </si>
  <si>
    <t>F220930s210.CHR</t>
  </si>
  <si>
    <t>E220930s210.CHR</t>
  </si>
  <si>
    <t>AB4</t>
  </si>
  <si>
    <t>F220930s211.CHR</t>
  </si>
  <si>
    <t>E220930s211.CHR</t>
  </si>
  <si>
    <t>F220930s212.CHR</t>
  </si>
  <si>
    <t>E220930s212.CHR</t>
  </si>
  <si>
    <t>ChkStd8</t>
  </si>
  <si>
    <t>F220930s213.CHR</t>
  </si>
  <si>
    <t>E220930s213.CHR</t>
  </si>
  <si>
    <t>F220930s214.CHR</t>
  </si>
  <si>
    <t>E220930s214.CHR</t>
  </si>
  <si>
    <t>AB5</t>
  </si>
  <si>
    <t>F220930s215.CHR</t>
  </si>
  <si>
    <t>E220930s215.CHR</t>
  </si>
  <si>
    <t>F220930s216.CHR</t>
  </si>
  <si>
    <t>E220930s216.CHR</t>
  </si>
  <si>
    <t>AB501</t>
  </si>
  <si>
    <t>F220930s217.CHR</t>
  </si>
  <si>
    <t>E220930s217.CHR</t>
  </si>
  <si>
    <t>F220930s218.CHR</t>
  </si>
  <si>
    <t>E220930s218.CHR</t>
  </si>
  <si>
    <t>AB6</t>
  </si>
  <si>
    <t>F220930s219.CHR</t>
  </si>
  <si>
    <t>E220930s219.CHR</t>
  </si>
  <si>
    <t>F220930s220.CHR</t>
  </si>
  <si>
    <t>E220930s220.CHR</t>
  </si>
  <si>
    <t>AB6'</t>
  </si>
  <si>
    <t>F220930s221.CHR</t>
  </si>
  <si>
    <t>E220930s221.CHR</t>
  </si>
  <si>
    <t>F220930s222.CHR</t>
  </si>
  <si>
    <t>E220930s222.CHR</t>
  </si>
  <si>
    <t>AB9</t>
  </si>
  <si>
    <t>F220930s223.CHR</t>
  </si>
  <si>
    <t>E220930s223.CHR</t>
  </si>
  <si>
    <t>F220930s224.CHR</t>
  </si>
  <si>
    <t>E220930s224.CHR</t>
  </si>
  <si>
    <t>ABT14P</t>
  </si>
  <si>
    <t>F220930s225.CHR</t>
  </si>
  <si>
    <t>E220930s225.CHR</t>
  </si>
  <si>
    <t>F220930s226.CHR</t>
  </si>
  <si>
    <t>E220930s226.CHR</t>
  </si>
  <si>
    <t>RM304</t>
  </si>
  <si>
    <t>F220930s227.CHR</t>
  </si>
  <si>
    <t>E220930s227.CHR</t>
  </si>
  <si>
    <t>F220930s228.CHR</t>
  </si>
  <si>
    <t>E220930s228.CHR</t>
  </si>
  <si>
    <t>SM12</t>
  </si>
  <si>
    <t>F220930s229.CHR</t>
  </si>
  <si>
    <t>E220930s229.CHR</t>
  </si>
  <si>
    <t>F220930s230.CHR</t>
  </si>
  <si>
    <t>E220930s230.CHR</t>
  </si>
  <si>
    <t>SM9</t>
  </si>
  <si>
    <t>F220930s231.CHR</t>
  </si>
  <si>
    <t>E220930s231.CHR</t>
  </si>
  <si>
    <t>F220930s232.CHR</t>
  </si>
  <si>
    <t>E220930s232.CHR</t>
  </si>
  <si>
    <t>ChkStd9</t>
  </si>
  <si>
    <t>F220930s233.CHR</t>
  </si>
  <si>
    <t>E220930s233.CHR</t>
  </si>
  <si>
    <t>F220930s234.CHR</t>
  </si>
  <si>
    <t>E220930s234.CHR</t>
  </si>
  <si>
    <t>YB2</t>
  </si>
  <si>
    <t>F220930s235.CHR</t>
  </si>
  <si>
    <t>E220930s235.CHR</t>
  </si>
  <si>
    <t>F220930s236.CHR</t>
  </si>
  <si>
    <t>E220930s236.CHR</t>
  </si>
  <si>
    <t>BB11</t>
  </si>
  <si>
    <t>F220930s237.CHR</t>
  </si>
  <si>
    <t>E220930s237.CHR</t>
  </si>
  <si>
    <t>F220930s238.CHR</t>
  </si>
  <si>
    <t>E220930s238.CHR</t>
  </si>
  <si>
    <t>BB8</t>
  </si>
  <si>
    <t>F220930s239.CHR</t>
  </si>
  <si>
    <t>E220930s239.CHR</t>
  </si>
  <si>
    <t>F220930s240.CHR</t>
  </si>
  <si>
    <t>E220930s240.CHR</t>
  </si>
  <si>
    <t>PB5</t>
  </si>
  <si>
    <t>F220930s241.CHR</t>
  </si>
  <si>
    <t>E220930s241.CHR</t>
  </si>
  <si>
    <t>F220930s242.CHR</t>
  </si>
  <si>
    <t>E220930s242.CHR</t>
  </si>
  <si>
    <t>AB4/6</t>
  </si>
  <si>
    <t>F220930s243.CHR</t>
  </si>
  <si>
    <t>E220930s243.CHR</t>
  </si>
  <si>
    <t>F220930s244.CHR</t>
  </si>
  <si>
    <t>E220930s244.CHR</t>
  </si>
  <si>
    <t>Std 55</t>
  </si>
  <si>
    <t>F220930s245.CHR</t>
  </si>
  <si>
    <t>E220930s245.CHR</t>
  </si>
  <si>
    <t>Std 56</t>
  </si>
  <si>
    <t>F220930s246.CHR</t>
  </si>
  <si>
    <t>E220930s246.CHR</t>
  </si>
  <si>
    <t>Std 57</t>
  </si>
  <si>
    <t>F220930s247.CHR</t>
  </si>
  <si>
    <t>E220930s247.CHR</t>
  </si>
  <si>
    <t>Std 58</t>
  </si>
  <si>
    <t>F220930s248.CHR</t>
  </si>
  <si>
    <t>E220930s248.CHR</t>
  </si>
  <si>
    <t>Std 59</t>
  </si>
  <si>
    <t>F220930s249.CHR</t>
  </si>
  <si>
    <t>E220930s249.CHR</t>
  </si>
  <si>
    <t>Std 60</t>
  </si>
  <si>
    <t>F220930s250.CHR</t>
  </si>
  <si>
    <t>E220930s250.CHR</t>
  </si>
  <si>
    <t>Std 61</t>
  </si>
  <si>
    <t>F220930s251.CHR</t>
  </si>
  <si>
    <t>E220930s251.CHR</t>
  </si>
  <si>
    <t>Std 62</t>
  </si>
  <si>
    <t>F220930s252.CHR</t>
  </si>
  <si>
    <t>E220930s252.CHR</t>
  </si>
  <si>
    <t>Std 63</t>
  </si>
  <si>
    <t>F220930s253.CHR</t>
  </si>
  <si>
    <t>E220930s253.CHR</t>
  </si>
  <si>
    <t>Std 64</t>
  </si>
  <si>
    <t>F220930s254.CHR</t>
  </si>
  <si>
    <t>E220930s254.CHR</t>
  </si>
  <si>
    <t>Std 65</t>
  </si>
  <si>
    <t>F220930s255.CHR</t>
  </si>
  <si>
    <t>E220930s255.CHR</t>
  </si>
  <si>
    <t>Std 66</t>
  </si>
  <si>
    <t>F220930s256.CHR</t>
  </si>
  <si>
    <t>E220930s256.CHR</t>
  </si>
  <si>
    <t>Std 67</t>
  </si>
  <si>
    <t>F220930s257.CHR</t>
  </si>
  <si>
    <t>E220930s257.CHR</t>
  </si>
  <si>
    <t>Std 68</t>
  </si>
  <si>
    <t>F220930s258.CHR</t>
  </si>
  <si>
    <t>E220930s258.CHR</t>
  </si>
  <si>
    <t>Std 69</t>
  </si>
  <si>
    <t>F220930s259.CHR</t>
  </si>
  <si>
    <t>E220930s259.CHR</t>
  </si>
  <si>
    <t>Std 70</t>
  </si>
  <si>
    <t>F220930s260.CHR</t>
  </si>
  <si>
    <t>E220930s260.CHR</t>
  </si>
  <si>
    <t>Std 71</t>
  </si>
  <si>
    <t>F220930s261.CHR</t>
  </si>
  <si>
    <t>E220930s261.CHR</t>
  </si>
  <si>
    <t>Std 72</t>
  </si>
  <si>
    <t>F220930s262.CHR</t>
  </si>
  <si>
    <t>E220930s262.CHR</t>
  </si>
  <si>
    <t>Std 73</t>
  </si>
  <si>
    <t>F220930s263.CHR</t>
  </si>
  <si>
    <t>E220930s263.CHR</t>
  </si>
  <si>
    <t>Std 74</t>
  </si>
  <si>
    <t>F220930s264.CHR</t>
  </si>
  <si>
    <t>E220930s264.CHR</t>
  </si>
  <si>
    <t>Std 75</t>
  </si>
  <si>
    <t>F220930s265.CHR</t>
  </si>
  <si>
    <t>E220930s265.CHR</t>
  </si>
  <si>
    <t>Std 76</t>
  </si>
  <si>
    <t>F220930s266.CHR</t>
  </si>
  <si>
    <t>E220930s266.CHR</t>
  </si>
  <si>
    <t>Std 77</t>
  </si>
  <si>
    <t>F220930s267.CHR</t>
  </si>
  <si>
    <t>E220930s267.CHR</t>
  </si>
  <si>
    <t>Std 78</t>
  </si>
  <si>
    <t>F220930s268.CHR</t>
  </si>
  <si>
    <t>E220930s268.CHR</t>
  </si>
  <si>
    <t>Std 79</t>
  </si>
  <si>
    <t>F220930s269.CHR</t>
  </si>
  <si>
    <t>E220930s269.CHR</t>
  </si>
  <si>
    <t>Std 80</t>
  </si>
  <si>
    <t>F220930s270.CHR</t>
  </si>
  <si>
    <t>E220930s270.CHR</t>
  </si>
  <si>
    <t>Std 81</t>
  </si>
  <si>
    <t>F220930s271.CHR</t>
  </si>
  <si>
    <t>E220930s271.CHR</t>
  </si>
  <si>
    <t>Std 82</t>
  </si>
  <si>
    <t>F220930s272.CHR</t>
  </si>
  <si>
    <t>E220930s272.CHR</t>
  </si>
  <si>
    <t>Std 83</t>
  </si>
  <si>
    <t>F220930s273.CHR</t>
  </si>
  <si>
    <t>E220930s273.CHR</t>
  </si>
  <si>
    <t>Std 84</t>
  </si>
  <si>
    <t>F220930s274.CHR</t>
  </si>
  <si>
    <t>E220930s274.CHR</t>
  </si>
  <si>
    <t>Std 85</t>
  </si>
  <si>
    <t>F220930s275.CHR</t>
  </si>
  <si>
    <t>E220930s275.CHR</t>
  </si>
  <si>
    <t>Std 86</t>
  </si>
  <si>
    <t>F220930s276.CHR</t>
  </si>
  <si>
    <t>E220930s276.CHR</t>
  </si>
  <si>
    <t>Std 87</t>
  </si>
  <si>
    <t>F220930s277.CHR</t>
  </si>
  <si>
    <t>E220930s277.CHR</t>
  </si>
  <si>
    <t>Std 88</t>
  </si>
  <si>
    <t>F220930s278.CHR</t>
  </si>
  <si>
    <t>E220930s278.CHR</t>
  </si>
  <si>
    <t>Std 89</t>
  </si>
  <si>
    <t>F220930s279.CHR</t>
  </si>
  <si>
    <t>E220930s279.CHR</t>
  </si>
  <si>
    <t>Std 90</t>
  </si>
  <si>
    <t>F220930s280.CHR</t>
  </si>
  <si>
    <t>E220930s280.CHR</t>
  </si>
  <si>
    <t>Std 91</t>
  </si>
  <si>
    <t>F220930s281.CHR</t>
  </si>
  <si>
    <t>E220930s281.CHR</t>
  </si>
  <si>
    <t>Std 92</t>
  </si>
  <si>
    <t>F220930s282.CHR</t>
  </si>
  <si>
    <t>E220930s282.CHR</t>
  </si>
  <si>
    <t>Std 93</t>
  </si>
  <si>
    <t>F220930s283.CHR</t>
  </si>
  <si>
    <t>E220930s283.CHR</t>
  </si>
  <si>
    <t>Std 94</t>
  </si>
  <si>
    <t>F220930s284.CHR</t>
  </si>
  <si>
    <t>E220930s284.CHR</t>
  </si>
  <si>
    <t>Std 95</t>
  </si>
  <si>
    <t>F220930s285.CHR</t>
  </si>
  <si>
    <t>E220930s285.CHR</t>
  </si>
  <si>
    <t>Std 96</t>
  </si>
  <si>
    <t>F220930s286.CHR</t>
  </si>
  <si>
    <t>E220930s286.CHR</t>
  </si>
  <si>
    <t>Std 97</t>
  </si>
  <si>
    <t>F220930s287.CHR</t>
  </si>
  <si>
    <t>E220930s287.CHR</t>
  </si>
  <si>
    <t>Std 98</t>
  </si>
  <si>
    <t>F220930s288.CHR</t>
  </si>
  <si>
    <t>E220930s288.CHR</t>
  </si>
  <si>
    <t>Std 99</t>
  </si>
  <si>
    <t>F220930s289.CHR</t>
  </si>
  <si>
    <t>E220930s289.CHR</t>
  </si>
  <si>
    <t>Std 100</t>
  </si>
  <si>
    <t>F220930s290.CHR</t>
  </si>
  <si>
    <t>E220930s290.CHR</t>
  </si>
  <si>
    <t>Std 101</t>
  </si>
  <si>
    <t>F220930s291.CHR</t>
  </si>
  <si>
    <t>E220930s291.CHR</t>
  </si>
  <si>
    <t>Std 102</t>
  </si>
  <si>
    <t>F220930s292.CHR</t>
  </si>
  <si>
    <t>E220930s292.CHR</t>
  </si>
  <si>
    <t>Std 103</t>
  </si>
  <si>
    <t>F220930s293.CHR</t>
  </si>
  <si>
    <t>E220930s293.CHR</t>
  </si>
  <si>
    <t>Std 104</t>
  </si>
  <si>
    <t>F220930s294.CHR</t>
  </si>
  <si>
    <t>E220930s294.CHR</t>
  </si>
  <si>
    <t>Std 105</t>
  </si>
  <si>
    <t>F220930s295.CHR</t>
  </si>
  <si>
    <t>E220930s295.CHR</t>
  </si>
  <si>
    <t>Std 106</t>
  </si>
  <si>
    <t>F220930s296.CHR</t>
  </si>
  <si>
    <t>E220930s296.CHR</t>
  </si>
  <si>
    <t>Std 107</t>
  </si>
  <si>
    <t>F220930s297.CHR</t>
  </si>
  <si>
    <t>E220930s297.CHR</t>
  </si>
  <si>
    <t>Std 108</t>
  </si>
  <si>
    <t>F220930s298.CHR</t>
  </si>
  <si>
    <t>E220930s298.CHR</t>
  </si>
  <si>
    <t>Std 109</t>
  </si>
  <si>
    <t>F220930s299.CHR</t>
  </si>
  <si>
    <t>E220930s299.CHR</t>
  </si>
  <si>
    <t>Std 110</t>
  </si>
  <si>
    <t>F220930s300.CHR</t>
  </si>
  <si>
    <t>E220930s300.CHR</t>
  </si>
  <si>
    <t>Std 111</t>
  </si>
  <si>
    <t>F220930s301.CHR</t>
  </si>
  <si>
    <t>E220930s301.CHR</t>
  </si>
  <si>
    <t>Std 112</t>
  </si>
  <si>
    <t>F220930s302.CHR</t>
  </si>
  <si>
    <t>E220930s302.CHR</t>
  </si>
  <si>
    <t>Std 113</t>
  </si>
  <si>
    <t>F220930s303.CHR</t>
  </si>
  <si>
    <t>E220930s303.CHR</t>
  </si>
  <si>
    <t>Std 114</t>
  </si>
  <si>
    <t>F220930s304.CHR</t>
  </si>
  <si>
    <t>E220930s304.CHR</t>
  </si>
  <si>
    <t>Std 115</t>
  </si>
  <si>
    <t>F220930s305.CHR</t>
  </si>
  <si>
    <t>E220930s305.CHR</t>
  </si>
  <si>
    <t>Std 116</t>
  </si>
  <si>
    <t>F220930s306.CHR</t>
  </si>
  <si>
    <t>E220930s306.CHR</t>
  </si>
  <si>
    <t>Std 117</t>
  </si>
  <si>
    <t>F220930s307.CHR</t>
  </si>
  <si>
    <t>E220930s307.CHR</t>
  </si>
  <si>
    <t>Std 118</t>
  </si>
  <si>
    <t>F220930s308.CHR</t>
  </si>
  <si>
    <t>E220930s308.CHR</t>
  </si>
  <si>
    <t>Std 119</t>
  </si>
  <si>
    <t>F220930s309.CHR</t>
  </si>
  <si>
    <t>E220930s309.CHR</t>
  </si>
  <si>
    <t>Std 120</t>
  </si>
  <si>
    <t>F220930s310.CHR</t>
  </si>
  <si>
    <t>E220930s310.CHR</t>
  </si>
  <si>
    <t>Std 121</t>
  </si>
  <si>
    <t>F220930s311.CHR</t>
  </si>
  <si>
    <t>E220930s311.CHR</t>
  </si>
  <si>
    <t>Std 122</t>
  </si>
  <si>
    <t>F220930s312.CHR</t>
  </si>
  <si>
    <t>E220930s312.CHR</t>
  </si>
  <si>
    <t>Std 123</t>
  </si>
  <si>
    <t>F220930s313.CHR</t>
  </si>
  <si>
    <t>E220930s313.CHR</t>
  </si>
  <si>
    <t>Std 124</t>
  </si>
  <si>
    <t>F220930s314.CHR</t>
  </si>
  <si>
    <t>E220930s314.CHR</t>
  </si>
  <si>
    <t>Std 125</t>
  </si>
  <si>
    <t>F220930s315.CHR</t>
  </si>
  <si>
    <t>E220930s315.CHR</t>
  </si>
  <si>
    <t>Std 126</t>
  </si>
  <si>
    <t>F220930s316.CHR</t>
  </si>
  <si>
    <t>E220930s316.CHR</t>
  </si>
  <si>
    <t>Std 127</t>
  </si>
  <si>
    <t>F220930s317.CHR</t>
  </si>
  <si>
    <t>E220930s317.CHR</t>
  </si>
  <si>
    <t>Std 128</t>
  </si>
  <si>
    <t>F220930s318.CHR</t>
  </si>
  <si>
    <t>E220930s318.CHR</t>
  </si>
  <si>
    <t>Std 129</t>
  </si>
  <si>
    <t>F220930s319.CHR</t>
  </si>
  <si>
    <t>E220930s319.CHR</t>
  </si>
  <si>
    <t>Std 130</t>
  </si>
  <si>
    <t>F220930s320.CHR</t>
  </si>
  <si>
    <t>E220930s320.CHR</t>
  </si>
  <si>
    <t>Std 131</t>
  </si>
  <si>
    <t>F220930s321.CHR</t>
  </si>
  <si>
    <t>E220930s321.CHR</t>
  </si>
  <si>
    <t>Std 132</t>
  </si>
  <si>
    <t>F220930s322.CHR</t>
  </si>
  <si>
    <t>E220930s322.CHR</t>
  </si>
  <si>
    <t>Std 133</t>
  </si>
  <si>
    <t>F220930s323.CHR</t>
  </si>
  <si>
    <t>E220930s323.CHR</t>
  </si>
  <si>
    <t>Std 134</t>
  </si>
  <si>
    <t>F220930s324.CHR</t>
  </si>
  <si>
    <t>E220930s324.CHR</t>
  </si>
  <si>
    <t>Std 135</t>
  </si>
  <si>
    <t>F220930s325.CHR</t>
  </si>
  <si>
    <t>E220930s325.CHR</t>
  </si>
  <si>
    <t>Std 136</t>
  </si>
  <si>
    <t>F220930s326.CHR</t>
  </si>
  <si>
    <t>E220930s326.CHR</t>
  </si>
  <si>
    <t>Std 137</t>
  </si>
  <si>
    <t>F220930s327.CHR</t>
  </si>
  <si>
    <t>E220930s327.CHR</t>
  </si>
  <si>
    <t>Std 138</t>
  </si>
  <si>
    <t>F220930s328.CHR</t>
  </si>
  <si>
    <t>E220930s328.CHR</t>
  </si>
  <si>
    <t>Std 139</t>
  </si>
  <si>
    <t>F220930s329.CHR</t>
  </si>
  <si>
    <t>E220930s329.CHR</t>
  </si>
  <si>
    <t>Std 140</t>
  </si>
  <si>
    <t>F220930s330.CHR</t>
  </si>
  <si>
    <t>E220930s330.CHR</t>
  </si>
  <si>
    <t>Std 141</t>
  </si>
  <si>
    <t>F220930s331.CHR</t>
  </si>
  <si>
    <t>E220930s331.CHR</t>
  </si>
  <si>
    <t>Std 142</t>
  </si>
  <si>
    <t>F220930s332.CHR</t>
  </si>
  <si>
    <t>E220930s332.CHR</t>
  </si>
  <si>
    <t>Std 143</t>
  </si>
  <si>
    <t>F220930s333.CHR</t>
  </si>
  <si>
    <t>E220930s333.CHR</t>
  </si>
  <si>
    <t>Std 144</t>
  </si>
  <si>
    <t>F220930s334.CHR</t>
  </si>
  <si>
    <t>E220930s334.CHR</t>
  </si>
  <si>
    <t>Std 145</t>
  </si>
  <si>
    <t>F220930s335.CHR</t>
  </si>
  <si>
    <t>E220930s335.CHR</t>
  </si>
  <si>
    <t>Std 146</t>
  </si>
  <si>
    <t>F220930s336.CHR</t>
  </si>
  <si>
    <t>E220930s336.CHR</t>
  </si>
  <si>
    <t>Std 147</t>
  </si>
  <si>
    <t>F220930s337.CHR</t>
  </si>
  <si>
    <t>E220930s337.CHR</t>
  </si>
  <si>
    <t>Std 148</t>
  </si>
  <si>
    <t>F220930s338.CHR</t>
  </si>
  <si>
    <t>E220930s338.CHR</t>
  </si>
  <si>
    <t>Std 149</t>
  </si>
  <si>
    <t>F220930s339.CHR</t>
  </si>
  <si>
    <t>E220930s339.CHR</t>
  </si>
  <si>
    <t>Std 150</t>
  </si>
  <si>
    <t>F220930s340.CHR</t>
  </si>
  <si>
    <t>E220930s340.CHR</t>
  </si>
  <si>
    <t>Std 151</t>
  </si>
  <si>
    <t>F220930s341.CHR</t>
  </si>
  <si>
    <t>E220930s341.CHR</t>
  </si>
  <si>
    <t>Std 152</t>
  </si>
  <si>
    <t>F220930s342.CHR</t>
  </si>
  <si>
    <t>E220930s342.CHR</t>
  </si>
  <si>
    <t>Std 153</t>
  </si>
  <si>
    <t>F220930s343.CHR</t>
  </si>
  <si>
    <t>E220930s343.CHR</t>
  </si>
  <si>
    <t>Std 154</t>
  </si>
  <si>
    <t>F220930s344.CHR</t>
  </si>
  <si>
    <t>E220930s344.CHR</t>
  </si>
  <si>
    <t>FRAM</t>
  </si>
  <si>
    <t>WA1</t>
  </si>
  <si>
    <t>F220930s345.CHR</t>
  </si>
  <si>
    <t>E220930s345.CHR</t>
  </si>
  <si>
    <t>F220930s346.CHR</t>
  </si>
  <si>
    <t>E220930s346.CHR</t>
  </si>
  <si>
    <t>WA10</t>
  </si>
  <si>
    <t>F220930s347.CHR</t>
  </si>
  <si>
    <t>E220930s347.CHR</t>
  </si>
  <si>
    <t>F220930s348.CHR</t>
  </si>
  <si>
    <t>E220930s348.CHR</t>
  </si>
  <si>
    <t>WA101</t>
  </si>
  <si>
    <t>F220930s349.CHR</t>
  </si>
  <si>
    <t>E220930s349.CHR</t>
  </si>
  <si>
    <t>F220930s350.CHR</t>
  </si>
  <si>
    <t>E220930s350.CHR</t>
  </si>
  <si>
    <t>WA102</t>
  </si>
  <si>
    <t>F220930s351.CHR</t>
  </si>
  <si>
    <t>E220930s351.CHR</t>
  </si>
  <si>
    <t>F220930s352.CHR</t>
  </si>
  <si>
    <t>E220930s352.CHR</t>
  </si>
  <si>
    <t>F220930s353.CHR</t>
  </si>
  <si>
    <t>E220930s353.CHR</t>
  </si>
  <si>
    <t>F220930s354.CHR</t>
  </si>
  <si>
    <t>E220930s354.CHR</t>
  </si>
  <si>
    <t>WA103</t>
  </si>
  <si>
    <t>F220930s355.CHR</t>
  </si>
  <si>
    <t>E220930s355.CHR</t>
  </si>
  <si>
    <t>F220930s356.CHR</t>
  </si>
  <si>
    <t>E220930s356.CHR</t>
  </si>
  <si>
    <t>WA103*</t>
  </si>
  <si>
    <t>F220930s357.CHR</t>
  </si>
  <si>
    <t>E220930s357.CHR</t>
  </si>
  <si>
    <t>F220930s358.CHR</t>
  </si>
  <si>
    <t>E220930s358.CHR</t>
  </si>
  <si>
    <t>WA104</t>
  </si>
  <si>
    <t>F220930s359.CHR</t>
  </si>
  <si>
    <t>E220930s359.CHR</t>
  </si>
  <si>
    <t>F220930s360.CHR</t>
  </si>
  <si>
    <t>E220930s360.CHR</t>
  </si>
  <si>
    <t>WA12</t>
  </si>
  <si>
    <t>F220930s361.CHR</t>
  </si>
  <si>
    <t>E220930s361.CHR</t>
  </si>
  <si>
    <t>F220930s362.CHR</t>
  </si>
  <si>
    <t>E220930s362.CHR</t>
  </si>
  <si>
    <t>ChkStd10</t>
  </si>
  <si>
    <t>F220930s363.CHR</t>
  </si>
  <si>
    <t>E220930s363.CHR</t>
  </si>
  <si>
    <t>F220930s364.CHR</t>
  </si>
  <si>
    <t>E220930s364.CHR</t>
  </si>
  <si>
    <t>WA14</t>
  </si>
  <si>
    <t>F220930s365.CHR</t>
  </si>
  <si>
    <t>E220930s365.CHR</t>
  </si>
  <si>
    <t>F220930s366.CHR</t>
  </si>
  <si>
    <t>E220930s366.CHR</t>
  </si>
  <si>
    <t>F220930s367.CHR</t>
  </si>
  <si>
    <t>E220930s367.CHR</t>
  </si>
  <si>
    <t>F220930s368.CHR</t>
  </si>
  <si>
    <t>E220930s368.CHR</t>
  </si>
  <si>
    <t>WA15</t>
  </si>
  <si>
    <t>F220930s369.CHR</t>
  </si>
  <si>
    <t>E220930s369.CHR</t>
  </si>
  <si>
    <t>F220930s370.CHR</t>
  </si>
  <si>
    <t>E220930s370.CHR</t>
  </si>
  <si>
    <t>WA5</t>
  </si>
  <si>
    <t>F220930s371.CHR</t>
  </si>
  <si>
    <t>E220930s371.CHR</t>
  </si>
  <si>
    <t>F220930s372.CHR</t>
  </si>
  <si>
    <t>E220930s372.CHR</t>
  </si>
  <si>
    <t>WAX1</t>
  </si>
  <si>
    <t>F220930s373.CHR</t>
  </si>
  <si>
    <t>E220930s373.CHR</t>
  </si>
  <si>
    <t>F220930s374.CHR</t>
  </si>
  <si>
    <t>E220930s374.CHR</t>
  </si>
  <si>
    <t>KALA</t>
  </si>
  <si>
    <t>ML2</t>
  </si>
  <si>
    <t>F220930s375.CHR</t>
  </si>
  <si>
    <t>E220930s375.CHR</t>
  </si>
  <si>
    <t>F220930s376.CHR</t>
  </si>
  <si>
    <t>E220930s376.CHR</t>
  </si>
  <si>
    <t>MLGP</t>
  </si>
  <si>
    <t>F220930s377.CHR</t>
  </si>
  <si>
    <t>E220930s377.CHR</t>
  </si>
  <si>
    <t>F220930s378.CHR</t>
  </si>
  <si>
    <t>E220930s378.CHR</t>
  </si>
  <si>
    <t>PIST</t>
  </si>
  <si>
    <t>WP101</t>
  </si>
  <si>
    <t>F220930s379.CHR</t>
  </si>
  <si>
    <t>E220930s379.CHR</t>
  </si>
  <si>
    <t>F220930s380.CHR</t>
  </si>
  <si>
    <t>E220930s380.CHR</t>
  </si>
  <si>
    <t>WP102</t>
  </si>
  <si>
    <t>F220930s381.CHR</t>
  </si>
  <si>
    <t>E220930s381.CHR</t>
  </si>
  <si>
    <t>F220930s382.CHR</t>
  </si>
  <si>
    <t>E220930s382.CHR</t>
  </si>
  <si>
    <t>ChkStd11</t>
  </si>
  <si>
    <t>F220930s383.CHR</t>
  </si>
  <si>
    <t>E220930s383.CHR</t>
  </si>
  <si>
    <t>F220930s384.CHR</t>
  </si>
  <si>
    <t>E220930s384.CHR</t>
  </si>
  <si>
    <t>WP103</t>
  </si>
  <si>
    <t>F220930s385.CHR</t>
  </si>
  <si>
    <t>E220930s385.CHR</t>
  </si>
  <si>
    <t>F220930s386.CHR</t>
  </si>
  <si>
    <t>E220930s386.CHR</t>
  </si>
  <si>
    <t>WP2</t>
  </si>
  <si>
    <t>F220930s387.CHR</t>
  </si>
  <si>
    <t>E220930s387.CHR</t>
  </si>
  <si>
    <t>F220930s388.CHR</t>
  </si>
  <si>
    <t>E220930s388.CHR</t>
  </si>
  <si>
    <t>WP3</t>
  </si>
  <si>
    <t>F220930s389.CHR</t>
  </si>
  <si>
    <t>E220930s389.CHR</t>
  </si>
  <si>
    <t>F220930s390.CHR</t>
  </si>
  <si>
    <t>E220930s390.CHR</t>
  </si>
  <si>
    <t>WP4</t>
  </si>
  <si>
    <t>F220930s391.CHR</t>
  </si>
  <si>
    <t>E220930s391.CHR</t>
  </si>
  <si>
    <t>F220930s392.CHR</t>
  </si>
  <si>
    <t>E220930s392.CHR</t>
  </si>
  <si>
    <t>WP401</t>
  </si>
  <si>
    <t>F220930s393.CHR</t>
  </si>
  <si>
    <t>E220930s393.CHR</t>
  </si>
  <si>
    <t>F220930s394.CHR</t>
  </si>
  <si>
    <t>E220930s394.CHR</t>
  </si>
  <si>
    <t>WP402</t>
  </si>
  <si>
    <t>F220930s395.CHR</t>
  </si>
  <si>
    <t>E220930s395.CHR</t>
  </si>
  <si>
    <t>F220930s396.CHR</t>
  </si>
  <si>
    <t>E220930s396.CHR</t>
  </si>
  <si>
    <t>WP403</t>
  </si>
  <si>
    <t>F220930s397.CHR</t>
  </si>
  <si>
    <t>E220930s397.CHR</t>
  </si>
  <si>
    <t>F220930s398.CHR</t>
  </si>
  <si>
    <t>E220930s398.CHR</t>
  </si>
  <si>
    <t>WP5</t>
  </si>
  <si>
    <t>F220930s399.CHR</t>
  </si>
  <si>
    <t>E220930s399.CHR</t>
  </si>
  <si>
    <t>F220930s400.CHR</t>
  </si>
  <si>
    <t>E220930s400.CHR</t>
  </si>
  <si>
    <t>WP6</t>
  </si>
  <si>
    <t>F220930s401.CHR</t>
  </si>
  <si>
    <t>E220930s401.CHR</t>
  </si>
  <si>
    <t>F220930s402.CHR</t>
  </si>
  <si>
    <t>E220930s402.CHR</t>
  </si>
  <si>
    <t>ChkStd12</t>
  </si>
  <si>
    <t>F220930s403.CHR</t>
  </si>
  <si>
    <t>E220930s403.CHR</t>
  </si>
  <si>
    <t>F220930s404.CHR</t>
  </si>
  <si>
    <t>E220930s404.CHR</t>
  </si>
  <si>
    <t>WP7</t>
  </si>
  <si>
    <t>F220930s405.CHR</t>
  </si>
  <si>
    <t>E220930s405.CHR</t>
  </si>
  <si>
    <t>F220930s406.CHR</t>
  </si>
  <si>
    <t>E220930s406.CHR</t>
  </si>
  <si>
    <t>WP8</t>
  </si>
  <si>
    <t>F220930s407.CHR</t>
  </si>
  <si>
    <t>E220930s407.CHR</t>
  </si>
  <si>
    <t>F220930s408.CHR</t>
  </si>
  <si>
    <t>E220930s408.CHR</t>
  </si>
  <si>
    <t>WP9</t>
  </si>
  <si>
    <t>F220930s409.CHR</t>
  </si>
  <si>
    <t>E220930s409.CHR</t>
  </si>
  <si>
    <t>F220930s410.CHR</t>
  </si>
  <si>
    <t>E220930s410.CHR</t>
  </si>
  <si>
    <t>WPBERENICE</t>
  </si>
  <si>
    <t>F220930s411.CHR</t>
  </si>
  <si>
    <t>E220930s411.CHR</t>
  </si>
  <si>
    <t>F220930s412.CHR</t>
  </si>
  <si>
    <t>E220930s412.CHR</t>
  </si>
  <si>
    <t>WPX2</t>
  </si>
  <si>
    <t>F220930s413.CHR</t>
  </si>
  <si>
    <t>E220930s413.CHR</t>
  </si>
  <si>
    <t>F220930s414.CHR</t>
  </si>
  <si>
    <t>E220930s414.CHR</t>
  </si>
  <si>
    <t>WPX22</t>
  </si>
  <si>
    <t>F220930s415.CHR</t>
  </si>
  <si>
    <t>E220930s415.CHR</t>
  </si>
  <si>
    <t>F220930s416.CHR</t>
  </si>
  <si>
    <t>E220930s416.CHR</t>
  </si>
  <si>
    <t>WPX5</t>
  </si>
  <si>
    <t>F220930s417.CHR</t>
  </si>
  <si>
    <t>E220930s417.CHR</t>
  </si>
  <si>
    <t>F220930s418.CHR</t>
  </si>
  <si>
    <t>E220930s418.CHR</t>
  </si>
  <si>
    <t>WPX7</t>
  </si>
  <si>
    <t>F220930s419.CHR</t>
  </si>
  <si>
    <t>E220930s419.CHR</t>
  </si>
  <si>
    <t>F220930s420.CHR</t>
  </si>
  <si>
    <t>E220930s420.CHR</t>
  </si>
  <si>
    <t>PRSE</t>
  </si>
  <si>
    <t>BC1</t>
  </si>
  <si>
    <t>F220930s421.CHR</t>
  </si>
  <si>
    <t>E220930s421.CHR</t>
  </si>
  <si>
    <t>F220930s422.CHR</t>
  </si>
  <si>
    <t>E220930s422.CHR</t>
  </si>
  <si>
    <t>ChkStd13</t>
  </si>
  <si>
    <t>F220930s423.CHR</t>
  </si>
  <si>
    <t>E220930s423.CHR</t>
  </si>
  <si>
    <t>F220930s424.CHR</t>
  </si>
  <si>
    <t>E220930s424.CHR</t>
  </si>
  <si>
    <t>BC2</t>
  </si>
  <si>
    <t>F220930s425.CHR</t>
  </si>
  <si>
    <t>E220930s425.CHR</t>
  </si>
  <si>
    <t>F220930s426.CHR</t>
  </si>
  <si>
    <t>E220930s426.CHR</t>
  </si>
  <si>
    <t>BC4</t>
  </si>
  <si>
    <t>F220930s427.CHR</t>
  </si>
  <si>
    <t>E220930s427.CHR</t>
  </si>
  <si>
    <t>F220930s428.CHR</t>
  </si>
  <si>
    <t>E220930s428.CHR</t>
  </si>
  <si>
    <t>QUAL</t>
  </si>
  <si>
    <t>WO1</t>
  </si>
  <si>
    <t>F220930s429.CHR</t>
  </si>
  <si>
    <t>E220930s429.CHR</t>
  </si>
  <si>
    <t>F220930s430.CHR</t>
  </si>
  <si>
    <t>E220930s430.CHR</t>
  </si>
  <si>
    <t>QURU</t>
  </si>
  <si>
    <t>BOWSER</t>
  </si>
  <si>
    <t>F220930s431.CHR</t>
  </si>
  <si>
    <t>E220930s431.CHR</t>
  </si>
  <si>
    <t>F220930s432.CHR</t>
  </si>
  <si>
    <t>E220930s432.CHR</t>
  </si>
  <si>
    <t>RO1</t>
  </si>
  <si>
    <t>F220930s433.CHR</t>
  </si>
  <si>
    <t>E220930s433.CHR</t>
  </si>
  <si>
    <t>F220930s434.CHR</t>
  </si>
  <si>
    <t>E220930s434.CHR</t>
  </si>
  <si>
    <t>RO10</t>
  </si>
  <si>
    <t>F220930s435.CHR</t>
  </si>
  <si>
    <t>E220930s435.CHR</t>
  </si>
  <si>
    <t>F220930s436.CHR</t>
  </si>
  <si>
    <t>E220930s436.CHR</t>
  </si>
  <si>
    <t>RO101</t>
  </si>
  <si>
    <t>F220930s437.CHR</t>
  </si>
  <si>
    <t>E220930s437.CHR</t>
  </si>
  <si>
    <t>F220930s438.CHR</t>
  </si>
  <si>
    <t>E220930s438.CHR</t>
  </si>
  <si>
    <t>RO102</t>
  </si>
  <si>
    <t>F220930s439.CHR</t>
  </si>
  <si>
    <t>E220930s439.CHR</t>
  </si>
  <si>
    <t>F220930s440.CHR</t>
  </si>
  <si>
    <t>E220930s440.CHR</t>
  </si>
  <si>
    <t>RO103</t>
  </si>
  <si>
    <t>F220930s441.CHR</t>
  </si>
  <si>
    <t>E220930s441.CHR</t>
  </si>
  <si>
    <t>F220930s442.CHR</t>
  </si>
  <si>
    <t>E220930s442.CHR</t>
  </si>
  <si>
    <t>ChkStd14</t>
  </si>
  <si>
    <t>F220930s443.CHR</t>
  </si>
  <si>
    <t>E220930s443.CHR</t>
  </si>
  <si>
    <t>F220930s444.CHR</t>
  </si>
  <si>
    <t>E220930s444.CHR</t>
  </si>
  <si>
    <t>RO104</t>
  </si>
  <si>
    <t>F220930s445.CHR</t>
  </si>
  <si>
    <t>E220930s445.CHR</t>
  </si>
  <si>
    <t>F220930s446.CHR</t>
  </si>
  <si>
    <t>E220930s446.CHR</t>
  </si>
  <si>
    <t>RO105</t>
  </si>
  <si>
    <t>F220930s447.CHR</t>
  </si>
  <si>
    <t>E220930s447.CHR</t>
  </si>
  <si>
    <t>F220930s448.CHR</t>
  </si>
  <si>
    <t>E220930s448.CHR</t>
  </si>
  <si>
    <t>RO11</t>
  </si>
  <si>
    <t>F220930s449.CHR</t>
  </si>
  <si>
    <t>E220930s449.CHR</t>
  </si>
  <si>
    <t>F220930s450.CHR</t>
  </si>
  <si>
    <t>E220930s450.CHR</t>
  </si>
  <si>
    <t>RO13</t>
  </si>
  <si>
    <t>F220930s451.CHR</t>
  </si>
  <si>
    <t>E220930s451.CHR</t>
  </si>
  <si>
    <t>F220930s452.CHR</t>
  </si>
  <si>
    <t>E220930s452.CHR</t>
  </si>
  <si>
    <t>RO2</t>
  </si>
  <si>
    <t>F220930s453.CHR</t>
  </si>
  <si>
    <t>E220930s453.CHR</t>
  </si>
  <si>
    <t>F220930s454.CHR</t>
  </si>
  <si>
    <t>E220930s454.CHR</t>
  </si>
  <si>
    <t>RO3</t>
  </si>
  <si>
    <t>F220930s455.CHR</t>
  </si>
  <si>
    <t>E220930s455.CHR</t>
  </si>
  <si>
    <t>F220930s456.CHR</t>
  </si>
  <si>
    <t>E220930s456.CHR</t>
  </si>
  <si>
    <t>RO7</t>
  </si>
  <si>
    <t>F220930s457.CHR</t>
  </si>
  <si>
    <t>E220930s457.CHR</t>
  </si>
  <si>
    <t>F220930s458.CHR</t>
  </si>
  <si>
    <t>E220930s458.CHR</t>
  </si>
  <si>
    <t>RO8</t>
  </si>
  <si>
    <t>F220930s459.CHR</t>
  </si>
  <si>
    <t>E220930s459.CHR</t>
  </si>
  <si>
    <t>F220930s460.CHR</t>
  </si>
  <si>
    <t>E220930s460.CHR</t>
  </si>
  <si>
    <t>RO9</t>
  </si>
  <si>
    <t>F220930s461.CHR</t>
  </si>
  <si>
    <t>E220930s461.CHR</t>
  </si>
  <si>
    <t>F220930s462.CHR</t>
  </si>
  <si>
    <t>E220930s462.CHR</t>
  </si>
  <si>
    <t>ChkStd15</t>
  </si>
  <si>
    <t>F220930s463.CHR</t>
  </si>
  <si>
    <t>E220930s463.CHR</t>
  </si>
  <si>
    <t>F220930s464.CHR</t>
  </si>
  <si>
    <t>E220930s464.CHR</t>
  </si>
  <si>
    <t>QUVE</t>
  </si>
  <si>
    <t>BO1</t>
  </si>
  <si>
    <t>F220930s465.CHR</t>
  </si>
  <si>
    <t>E220930s465.CHR</t>
  </si>
  <si>
    <t>F220930s466.CHR</t>
  </si>
  <si>
    <t>E220930s466.CHR</t>
  </si>
  <si>
    <t>SAAL</t>
  </si>
  <si>
    <t>SA1</t>
  </si>
  <si>
    <t>F220930s467.CHR</t>
  </si>
  <si>
    <t>E220930s467.CHR</t>
  </si>
  <si>
    <t>F220930s468.CHR</t>
  </si>
  <si>
    <t>E220930s468.CHR</t>
  </si>
  <si>
    <t>TSCA</t>
  </si>
  <si>
    <t>H101</t>
  </si>
  <si>
    <t>F220930s469.CHR</t>
  </si>
  <si>
    <t>E220930s469.CHR</t>
  </si>
  <si>
    <t>F220930s470.CHR</t>
  </si>
  <si>
    <t>E220930s470.CHR</t>
  </si>
  <si>
    <t>H102</t>
  </si>
  <si>
    <t>F220930s471.CHR</t>
  </si>
  <si>
    <t>E220930s471.CHR</t>
  </si>
  <si>
    <t>F220930s472.CHR</t>
  </si>
  <si>
    <t>E220930s472.CHR</t>
  </si>
  <si>
    <t>H103</t>
  </si>
  <si>
    <t>F220930s473.CHR</t>
  </si>
  <si>
    <t>E220930s473.CHR</t>
  </si>
  <si>
    <t>F220930s474.CHR</t>
  </si>
  <si>
    <t>E220930s474.CHR</t>
  </si>
  <si>
    <t>H104</t>
  </si>
  <si>
    <t>F220930s475.CHR</t>
  </si>
  <si>
    <t>E220930s475.CHR</t>
  </si>
  <si>
    <t>F220930s476.CHR</t>
  </si>
  <si>
    <t>E220930s476.CHR</t>
  </si>
  <si>
    <t>H2</t>
  </si>
  <si>
    <t>F220930s477.CHR</t>
  </si>
  <si>
    <t>E220930s477.CHR</t>
  </si>
  <si>
    <t>F220930s478.CHR</t>
  </si>
  <si>
    <t>E220930s478.CHR</t>
  </si>
  <si>
    <t>H3</t>
  </si>
  <si>
    <t>F220930s479.CHR</t>
  </si>
  <si>
    <t>E220930s479.CHR</t>
  </si>
  <si>
    <t>F220930s480.CHR</t>
  </si>
  <si>
    <t>E220930s480.CHR</t>
  </si>
  <si>
    <t>H301</t>
  </si>
  <si>
    <t>F220930s481.CHR</t>
  </si>
  <si>
    <t>E220930s481.CHR</t>
  </si>
  <si>
    <t>F220930s482.CHR</t>
  </si>
  <si>
    <t>E220930s482.CHR</t>
  </si>
  <si>
    <t>ChkStd16</t>
  </si>
  <si>
    <t>F220930s483.CHR</t>
  </si>
  <si>
    <t>E220930s483.CHR</t>
  </si>
  <si>
    <t>F220930s484.CHR</t>
  </si>
  <si>
    <t>E220930s484.CHR</t>
  </si>
  <si>
    <t>H4</t>
  </si>
  <si>
    <t>F220930s485.CHR</t>
  </si>
  <si>
    <t>E220930s485.CHR</t>
  </si>
  <si>
    <t>F220930s486.CHR</t>
  </si>
  <si>
    <t>E220930s486.CHR</t>
  </si>
  <si>
    <t>H5</t>
  </si>
  <si>
    <t>F220930s487.CHR</t>
  </si>
  <si>
    <t>E220930s487.CHR</t>
  </si>
  <si>
    <t>F220930s488.CHR</t>
  </si>
  <si>
    <t>E220930s488.CHR</t>
  </si>
  <si>
    <t>H8</t>
  </si>
  <si>
    <t>F220930s489.CHR</t>
  </si>
  <si>
    <t>E220930s489.CHR</t>
  </si>
  <si>
    <t>F220930s490.CHR</t>
  </si>
  <si>
    <t>E220930s490.CHR</t>
  </si>
  <si>
    <t>H9</t>
  </si>
  <si>
    <t>F220930s491.CHR</t>
  </si>
  <si>
    <t>E220930s491.CHR</t>
  </si>
  <si>
    <t>F220930s492.CHR</t>
  </si>
  <si>
    <t>E220930s492.CHR</t>
  </si>
  <si>
    <t>HX2</t>
  </si>
  <si>
    <t>F220930s493.CHR</t>
  </si>
  <si>
    <t>E220930s493.CHR</t>
  </si>
  <si>
    <t>F220930s494.CHR</t>
  </si>
  <si>
    <t>E220930s494.CHR</t>
  </si>
  <si>
    <t>HX3</t>
  </si>
  <si>
    <t>F220930s495.CHR</t>
  </si>
  <si>
    <t>E220930s495.CHR</t>
  </si>
  <si>
    <t>F220930s496.CHR</t>
  </si>
  <si>
    <t>E220930s496.CHR</t>
  </si>
  <si>
    <t>HX4</t>
  </si>
  <si>
    <t>F220930s497.CHR</t>
  </si>
  <si>
    <t>E220930s497.CHR</t>
  </si>
  <si>
    <t>F220930s498.CHR</t>
  </si>
  <si>
    <t>E220930s498.CHR</t>
  </si>
  <si>
    <t>HX5</t>
  </si>
  <si>
    <t>F220930s499.CHR</t>
  </si>
  <si>
    <t>E220930s499.CHR</t>
  </si>
  <si>
    <t>F220930s500.CHR</t>
  </si>
  <si>
    <t>E220930s500.CHR</t>
  </si>
  <si>
    <t>HZ1</t>
  </si>
  <si>
    <t>F220930s501.CHR</t>
  </si>
  <si>
    <t>E220930s501.CHR</t>
  </si>
  <si>
    <t>F220930s502.CHR</t>
  </si>
  <si>
    <t>E220930s502.CHR</t>
  </si>
  <si>
    <t>ChkStd17</t>
  </si>
  <si>
    <t>F220930s503.CHR</t>
  </si>
  <si>
    <t>E220930s503.CHR</t>
  </si>
  <si>
    <t>F220930s504.CHR</t>
  </si>
  <si>
    <t>E220930s504.CHR</t>
  </si>
  <si>
    <t>Ambient 210719</t>
  </si>
  <si>
    <t>Amb1</t>
  </si>
  <si>
    <t>F220930s505.CHR</t>
  </si>
  <si>
    <t>E220930s505.CHR</t>
  </si>
  <si>
    <t>F220930s506.CHR</t>
  </si>
  <si>
    <t>E220930s506.CHR</t>
  </si>
  <si>
    <t>Ambient 210720</t>
  </si>
  <si>
    <t>Amb2</t>
  </si>
  <si>
    <t>F220930s507.CHR</t>
  </si>
  <si>
    <t>E220930s507.CHR</t>
  </si>
  <si>
    <t>F220930s508.CHR</t>
  </si>
  <si>
    <t>E220930s508.CHR</t>
  </si>
  <si>
    <t>Ambient 210721</t>
  </si>
  <si>
    <t>Amb3</t>
  </si>
  <si>
    <t>F220930s509.CHR</t>
  </si>
  <si>
    <t>E220930s509.CHR</t>
  </si>
  <si>
    <t>F220930s510.CHR</t>
  </si>
  <si>
    <t>E220930s510.CHR</t>
  </si>
  <si>
    <t>Ambient 210722</t>
  </si>
  <si>
    <t>Amb4</t>
  </si>
  <si>
    <t>F220930s511.CHR</t>
  </si>
  <si>
    <t>E220930s511.CHR</t>
  </si>
  <si>
    <t>F220930s512.CHR</t>
  </si>
  <si>
    <t>E220930s512.CHR</t>
  </si>
  <si>
    <t>Ambient 210723</t>
  </si>
  <si>
    <t>Amb5</t>
  </si>
  <si>
    <t>F220930s513.CHR</t>
  </si>
  <si>
    <t>E220930s513.CHR</t>
  </si>
  <si>
    <t>F220930s514.CHR</t>
  </si>
  <si>
    <t>E220930s514.CHR</t>
  </si>
  <si>
    <t>Ambient 210726</t>
  </si>
  <si>
    <t>Amb6</t>
  </si>
  <si>
    <t>F220930s515.CHR</t>
  </si>
  <si>
    <t>E220930s515.CHR</t>
  </si>
  <si>
    <t>F220930s516.CHR</t>
  </si>
  <si>
    <t>E220930s516.CHR</t>
  </si>
  <si>
    <t>Ambient 210728</t>
  </si>
  <si>
    <t>Amb7</t>
  </si>
  <si>
    <t>F220930s517.CHR</t>
  </si>
  <si>
    <t>E220930s517.CHR</t>
  </si>
  <si>
    <t>F220930s518.CHR</t>
  </si>
  <si>
    <t>E220930s518.CHR</t>
  </si>
  <si>
    <t>Ambient 210729</t>
  </si>
  <si>
    <t>Amb8</t>
  </si>
  <si>
    <t>F220930s519.CHR</t>
  </si>
  <si>
    <t>E220930s519.CHR</t>
  </si>
  <si>
    <t>F220930s520.CHR</t>
  </si>
  <si>
    <t>E220930s520.CHR</t>
  </si>
  <si>
    <t>Ambient 210729.2</t>
  </si>
  <si>
    <t>Amb9</t>
  </si>
  <si>
    <t>F220930s521.CHR</t>
  </si>
  <si>
    <t>E220930s521.CHR</t>
  </si>
  <si>
    <t>F220930s522.CHR</t>
  </si>
  <si>
    <t>E220930s522.CHR</t>
  </si>
  <si>
    <t>ChkStd18</t>
  </si>
  <si>
    <t>F220930s523.CHR</t>
  </si>
  <si>
    <t>E220930s523.CHR</t>
  </si>
  <si>
    <t>F220930s524.CHR</t>
  </si>
  <si>
    <t>E220930s524.CHR</t>
  </si>
  <si>
    <t>Ambient 210730</t>
  </si>
  <si>
    <t>Amb10</t>
  </si>
  <si>
    <t>F220930s525.CHR</t>
  </si>
  <si>
    <t>E220930s525.CHR</t>
  </si>
  <si>
    <t>F220930s526.CHR</t>
  </si>
  <si>
    <t>E220930s526.CHR</t>
  </si>
  <si>
    <t>Ambient 210801</t>
  </si>
  <si>
    <t>Amb11</t>
  </si>
  <si>
    <t>F220930s527.CHR</t>
  </si>
  <si>
    <t>E220930s527.CHR</t>
  </si>
  <si>
    <t>F220930s528.CHR</t>
  </si>
  <si>
    <t>E220930s528.CHR</t>
  </si>
  <si>
    <t>Ambient 210803</t>
  </si>
  <si>
    <t>Amb12</t>
  </si>
  <si>
    <t>F220930s529.CHR</t>
  </si>
  <si>
    <t>E220930s529.CHR</t>
  </si>
  <si>
    <t>F220930s530.CHR</t>
  </si>
  <si>
    <t>E220930s530.CHR</t>
  </si>
  <si>
    <t>Ambient 210803.2</t>
  </si>
  <si>
    <t>Amb13</t>
  </si>
  <si>
    <t>F220930s531.CHR</t>
  </si>
  <si>
    <t>E220930s531.CHR</t>
  </si>
  <si>
    <t>F220930s532.CHR</t>
  </si>
  <si>
    <t>E220930s532.CHR</t>
  </si>
  <si>
    <t>Ambient 210804</t>
  </si>
  <si>
    <t>Amb14</t>
  </si>
  <si>
    <t>F220930s533.CHR</t>
  </si>
  <si>
    <t>E220930s533.CHR</t>
  </si>
  <si>
    <t>F220930s534.CHR</t>
  </si>
  <si>
    <t>E220930s534.CHR</t>
  </si>
  <si>
    <t>Ambient 210806</t>
  </si>
  <si>
    <t>Amb15</t>
  </si>
  <si>
    <t>F220930s535.CHR</t>
  </si>
  <si>
    <t>E220930s535.CHR</t>
  </si>
  <si>
    <t>F220930s536.CHR</t>
  </si>
  <si>
    <t>E220930s536.CHR</t>
  </si>
  <si>
    <t>Ambient 210809</t>
  </si>
  <si>
    <t>Amb16</t>
  </si>
  <si>
    <t>F220930s537.CHR</t>
  </si>
  <si>
    <t>E220930s537.CHR</t>
  </si>
  <si>
    <t>F220930s538.CHR</t>
  </si>
  <si>
    <t>E220930s538.CHR</t>
  </si>
  <si>
    <t>Ambient 210810</t>
  </si>
  <si>
    <t>Amb17</t>
  </si>
  <si>
    <t>F220930s539.CHR</t>
  </si>
  <si>
    <t>E220930s539.CHR</t>
  </si>
  <si>
    <t>F220930s540.CHR</t>
  </si>
  <si>
    <t>E220930s540.CHR</t>
  </si>
  <si>
    <t>Ambient 210811</t>
  </si>
  <si>
    <t>Amb18</t>
  </si>
  <si>
    <t>F220930s541.CHR</t>
  </si>
  <si>
    <t>E220930s541.CHR</t>
  </si>
  <si>
    <t>F220930s542.CHR</t>
  </si>
  <si>
    <t>E220930s542.CHR</t>
  </si>
  <si>
    <t>ChkStd19</t>
  </si>
  <si>
    <t>F220930s543.CHR</t>
  </si>
  <si>
    <t>E220930s543.CHR</t>
  </si>
  <si>
    <t>F220930s544.CHR</t>
  </si>
  <si>
    <t>E220930s544.CHR</t>
  </si>
  <si>
    <t>Ambient 210812</t>
  </si>
  <si>
    <t>Amb19</t>
  </si>
  <si>
    <t>F220930s545.CHR</t>
  </si>
  <si>
    <t>E220930s545.CHR</t>
  </si>
  <si>
    <t>F220930s546.CHR</t>
  </si>
  <si>
    <t>E220930s546.CHR</t>
  </si>
  <si>
    <t>WA104_Redo</t>
  </si>
  <si>
    <t>F220930s547.CHR</t>
  </si>
  <si>
    <t>E220930s547.CHR</t>
  </si>
  <si>
    <t>F220930s548.CHR</t>
  </si>
  <si>
    <t>E220930s548.CHR</t>
  </si>
  <si>
    <t>SH1_Redo</t>
  </si>
  <si>
    <t>F220930s549.CHR</t>
  </si>
  <si>
    <t>E220930s549.CHR</t>
  </si>
  <si>
    <t>F220930s550.CHR</t>
  </si>
  <si>
    <t>E220930s550.CHR</t>
  </si>
  <si>
    <t>H6</t>
  </si>
  <si>
    <t>F220930s551.CHR</t>
  </si>
  <si>
    <t>E220930s551.CHR</t>
  </si>
  <si>
    <t>F220930s552.CHR</t>
  </si>
  <si>
    <t>E220930s552.CHR</t>
  </si>
  <si>
    <t>H7</t>
  </si>
  <si>
    <t>F220930s553.CHR</t>
  </si>
  <si>
    <t>E220930s553.CHR</t>
  </si>
  <si>
    <t>F220930s554.CHR</t>
  </si>
  <si>
    <t>E220930s554.CHR</t>
  </si>
  <si>
    <t>H304</t>
  </si>
  <si>
    <t>F220930s555.CHR</t>
  </si>
  <si>
    <t>E220930s555.CHR</t>
  </si>
  <si>
    <t>F220930s556.CHR</t>
  </si>
  <si>
    <t>E220930s556.CHR</t>
  </si>
  <si>
    <t>Std 155</t>
  </si>
  <si>
    <t>F220930s557.CHR</t>
  </si>
  <si>
    <t>E220930s557.CHR</t>
  </si>
  <si>
    <t>Std 156</t>
  </si>
  <si>
    <t>F220930s558.CHR</t>
  </si>
  <si>
    <t>E220930s558.CHR</t>
  </si>
  <si>
    <t>Std 157</t>
  </si>
  <si>
    <t>F220930s559.CHR</t>
  </si>
  <si>
    <t>E220930s559.CHR</t>
  </si>
  <si>
    <t>Std 158</t>
  </si>
  <si>
    <t>F220930s560.CHR</t>
  </si>
  <si>
    <t>E220930s560.CHR</t>
  </si>
  <si>
    <t>Std 159</t>
  </si>
  <si>
    <t>F220930s561.CHR</t>
  </si>
  <si>
    <t>E220930s561.CHR</t>
  </si>
  <si>
    <t>Std 160</t>
  </si>
  <si>
    <t>F220930s562.CHR</t>
  </si>
  <si>
    <t>E220930s562.CHR</t>
  </si>
  <si>
    <t>Std 161</t>
  </si>
  <si>
    <t>F220930s563.CHR</t>
  </si>
  <si>
    <t>E220930s563.CHR</t>
  </si>
  <si>
    <t>Std 162</t>
  </si>
  <si>
    <t>F220930s564.CHR</t>
  </si>
  <si>
    <t>E220930s564.CHR</t>
  </si>
  <si>
    <t>Std 163</t>
  </si>
  <si>
    <t>F220930s565.CHR</t>
  </si>
  <si>
    <t>E220930s565.CHR</t>
  </si>
  <si>
    <t>Std 164</t>
  </si>
  <si>
    <t>F220930s566.CHR</t>
  </si>
  <si>
    <t>E220930s566.CHR</t>
  </si>
  <si>
    <t>Std 165</t>
  </si>
  <si>
    <t>F220930s567.CHR</t>
  </si>
  <si>
    <t>E220930s567.CHR</t>
  </si>
  <si>
    <t>Std 166</t>
  </si>
  <si>
    <t>F220930s568.CHR</t>
  </si>
  <si>
    <t>E220930s568.CHR</t>
  </si>
  <si>
    <t>Std 167</t>
  </si>
  <si>
    <t>F220930s569.CHR</t>
  </si>
  <si>
    <t>E220930s569.CHR</t>
  </si>
  <si>
    <t>Std 168</t>
  </si>
  <si>
    <t>F220930s570.CHR</t>
  </si>
  <si>
    <t>E220930s570.CHR</t>
  </si>
  <si>
    <t>Std 169</t>
  </si>
  <si>
    <t>F220930s571.CHR</t>
  </si>
  <si>
    <t>E220930s571.CHR</t>
  </si>
  <si>
    <t>Std 170</t>
  </si>
  <si>
    <t>F220930s572.CHR</t>
  </si>
  <si>
    <t>E220930s572.CHR</t>
  </si>
  <si>
    <t>Std 171</t>
  </si>
  <si>
    <t>F220930s573.CHR</t>
  </si>
  <si>
    <t>E220930s573.CHR</t>
  </si>
  <si>
    <t>Std 172</t>
  </si>
  <si>
    <t>F220930s574.CHR</t>
  </si>
  <si>
    <t>E220930s574.CHR</t>
  </si>
  <si>
    <t>Std 173</t>
  </si>
  <si>
    <t>F220930s575.CHR</t>
  </si>
  <si>
    <t>E220930s575.CHR</t>
  </si>
  <si>
    <t>Std 174</t>
  </si>
  <si>
    <t>F220930s576.CHR</t>
  </si>
  <si>
    <t>E220930s576.CHR</t>
  </si>
  <si>
    <t>Std 175</t>
  </si>
  <si>
    <t>F220930s577.CHR</t>
  </si>
  <si>
    <t>E220930s577.CHR</t>
  </si>
  <si>
    <t>Std 176</t>
  </si>
  <si>
    <t>F220930s578.CHR</t>
  </si>
  <si>
    <t>E220930s578.CHR</t>
  </si>
  <si>
    <t>Std 177</t>
  </si>
  <si>
    <t>F220930s579.CHR</t>
  </si>
  <si>
    <t>E220930s579.CHR</t>
  </si>
  <si>
    <t>Std 178</t>
  </si>
  <si>
    <t>F220930s580.CHR</t>
  </si>
  <si>
    <t>E220930s580.CHR</t>
  </si>
  <si>
    <t>Std 179</t>
  </si>
  <si>
    <t>F220930s581.CHR</t>
  </si>
  <si>
    <t>E220930s581.CHR</t>
  </si>
  <si>
    <t>Std 180</t>
  </si>
  <si>
    <t>F220930s582.CHR</t>
  </si>
  <si>
    <t>E220930s582.CHR</t>
  </si>
  <si>
    <t>Std 181</t>
  </si>
  <si>
    <t>F220930s583.CHR</t>
  </si>
  <si>
    <t>E220930s583.CHR</t>
  </si>
  <si>
    <t>Std 182</t>
  </si>
  <si>
    <t>F220930s584.CHR</t>
  </si>
  <si>
    <t>E220930s584.CHR</t>
  </si>
  <si>
    <t>Std 183</t>
  </si>
  <si>
    <t>F220930s585.CHR</t>
  </si>
  <si>
    <t>E220930s585.CHR</t>
  </si>
  <si>
    <t>Std 184</t>
  </si>
  <si>
    <t>F220930s586.CHR</t>
  </si>
  <si>
    <t>E220930s586.CHR</t>
  </si>
  <si>
    <t>Std 185</t>
  </si>
  <si>
    <t>F220930s587.CHR</t>
  </si>
  <si>
    <t>E220930s587.CHR</t>
  </si>
  <si>
    <t>Std 186</t>
  </si>
  <si>
    <t>F220930s588.CHR</t>
  </si>
  <si>
    <t>E220930s588.CHR</t>
  </si>
  <si>
    <t>Std 187</t>
  </si>
  <si>
    <t>F220930s589.CHR</t>
  </si>
  <si>
    <t>E220930s589.CHR</t>
  </si>
  <si>
    <t>Std 188</t>
  </si>
  <si>
    <t>F220930s590.CHR</t>
  </si>
  <si>
    <t>E220930s590.CHR</t>
  </si>
  <si>
    <t>Std 189</t>
  </si>
  <si>
    <t>F220930s591.CHR</t>
  </si>
  <si>
    <t>E220930s591.CHR</t>
  </si>
  <si>
    <t>Std 190</t>
  </si>
  <si>
    <t>F220930s592.CHR</t>
  </si>
  <si>
    <t>E220930s592.CHR</t>
  </si>
  <si>
    <t>Std 191</t>
  </si>
  <si>
    <t>F220930s593.CHR</t>
  </si>
  <si>
    <t>E220930s593.CHR</t>
  </si>
  <si>
    <t>Std 192</t>
  </si>
  <si>
    <t>F220930s594.CHR</t>
  </si>
  <si>
    <t>E220930s594.CHR</t>
  </si>
  <si>
    <t>Std 193</t>
  </si>
  <si>
    <t>F220930s595.CHR</t>
  </si>
  <si>
    <t>E220930s595.CHR</t>
  </si>
  <si>
    <t>Std 194</t>
  </si>
  <si>
    <t>F220930s596.CHR</t>
  </si>
  <si>
    <t>E220930s596.CHR</t>
  </si>
  <si>
    <t>Std 195</t>
  </si>
  <si>
    <t>F220930s597.CHR</t>
  </si>
  <si>
    <t>E220930s597.CHR</t>
  </si>
  <si>
    <t>Std 196</t>
  </si>
  <si>
    <t>F220930s598.CHR</t>
  </si>
  <si>
    <t>E220930s598.CHR</t>
  </si>
  <si>
    <t>Std 197</t>
  </si>
  <si>
    <t>F220930s599.CHR</t>
  </si>
  <si>
    <t>E220930s599.CHR</t>
  </si>
  <si>
    <t>Std 198</t>
  </si>
  <si>
    <t>F220930s600.CHR</t>
  </si>
  <si>
    <t>E220930s600.CHR</t>
  </si>
  <si>
    <t>Std 199</t>
  </si>
  <si>
    <t>F220930s601.CHR</t>
  </si>
  <si>
    <t>E220930s601.CHR</t>
  </si>
  <si>
    <t>Std 200</t>
  </si>
  <si>
    <t>F220930s602.CHR</t>
  </si>
  <si>
    <t>E220930s602.CHR</t>
  </si>
  <si>
    <t>_xFFFF_</t>
  </si>
  <si>
    <t>FID File</t>
  </si>
  <si>
    <t>FID Date</t>
  </si>
  <si>
    <t>FID Time</t>
  </si>
  <si>
    <t>FID Channel CH4</t>
  </si>
  <si>
    <t>CH4 Area</t>
  </si>
  <si>
    <t>CH4 ppm</t>
  </si>
  <si>
    <t>CH4 Unit</t>
  </si>
  <si>
    <t>FID Channel CO2</t>
  </si>
  <si>
    <t>Certified Value CO2</t>
  </si>
  <si>
    <t>CO2 Area</t>
  </si>
  <si>
    <t>CO2 ppm</t>
  </si>
  <si>
    <t>CO2 Unit</t>
  </si>
  <si>
    <t>ECD File</t>
  </si>
  <si>
    <t>ECD Date</t>
  </si>
  <si>
    <t>ECD Time</t>
  </si>
  <si>
    <t>ECD Channel O2</t>
  </si>
  <si>
    <t>Certified Value O2</t>
  </si>
  <si>
    <t>O2 Area</t>
  </si>
  <si>
    <t>O2 ppm</t>
  </si>
  <si>
    <t>N2O</t>
  </si>
  <si>
    <t>ECD Channel N2O</t>
  </si>
  <si>
    <t>Certified Value N2O</t>
  </si>
  <si>
    <t>N2O Area</t>
  </si>
  <si>
    <t>N2O ppm</t>
  </si>
  <si>
    <t>N2O Unit</t>
  </si>
  <si>
    <t>Sample</t>
  </si>
  <si>
    <t>Stock [CO2]</t>
  </si>
  <si>
    <t>Stock [CH4]</t>
  </si>
  <si>
    <t>Stock [N2O]</t>
  </si>
  <si>
    <t>Stock [O2]</t>
  </si>
  <si>
    <t>mL Stock</t>
  </si>
  <si>
    <t>mL N2</t>
  </si>
  <si>
    <t>[CO2] (ppm)</t>
  </si>
  <si>
    <t>[CH4] (ppm)</t>
  </si>
  <si>
    <t>[N2O] (ppm)</t>
  </si>
  <si>
    <t>[O2] (ppm)</t>
  </si>
  <si>
    <t>Curve</t>
  </si>
  <si>
    <t>Run</t>
  </si>
  <si>
    <t>Slope</t>
  </si>
  <si>
    <t>RSQ</t>
  </si>
  <si>
    <t>Intercept</t>
  </si>
  <si>
    <t>Analyte</t>
  </si>
  <si>
    <t>[CO2] (ppm) Curve 1</t>
  </si>
  <si>
    <t>[CH4] (ppm) Curve 1</t>
  </si>
  <si>
    <t>[N2O] (ppm) Curve 1</t>
  </si>
  <si>
    <t>[O2] (ppm) Curve 1</t>
  </si>
  <si>
    <t>[CO2] (ppm) Curve 2</t>
  </si>
  <si>
    <t>[CH4] (ppm) Curve 2</t>
  </si>
  <si>
    <t>[N2O] (ppm) Curve 2</t>
  </si>
  <si>
    <t>[O2] (ppm) Curve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</si>
</sst>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4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21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11" fontId="0" fillId="0" borderId="0" xfId="0" applyNumberFormat="1"/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5762-FC24-834C-B796-D7BE9324D787}">
  <dimension ref="A1:AD604"/>
  <sheetViews>
    <sheetView tabSelected="1" workbookViewId="0">
      <selection activeCell="G11" sqref="A1:AD604"/>
    </sheetView>
  </sheetViews>
  <sheetFormatPr baseColWidth="10" defaultRowHeight="16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1670</v>
      </c>
      <c r="G1" s="1" t="s">
        <v>1671</v>
      </c>
      <c r="H1" s="1" t="s">
        <v>1672</v>
      </c>
      <c r="I1" s="1" t="s">
        <v>1673</v>
      </c>
      <c r="J1" s="1" t="s">
        <v>1678</v>
      </c>
      <c r="K1" s="1" t="s">
        <v>1674</v>
      </c>
      <c r="L1" s="1" t="s">
        <v>1675</v>
      </c>
      <c r="M1" s="1" t="s">
        <v>1676</v>
      </c>
      <c r="N1" s="1" t="s">
        <v>1677</v>
      </c>
      <c r="O1" s="1" t="s">
        <v>1678</v>
      </c>
      <c r="P1" s="1" t="s">
        <v>1679</v>
      </c>
      <c r="Q1" s="1" t="s">
        <v>1680</v>
      </c>
      <c r="R1" s="1" t="s">
        <v>1681</v>
      </c>
      <c r="S1" s="1" t="s">
        <v>1682</v>
      </c>
      <c r="T1" s="1" t="s">
        <v>1683</v>
      </c>
      <c r="U1" s="1" t="s">
        <v>1684</v>
      </c>
      <c r="V1" s="1" t="s">
        <v>1685</v>
      </c>
      <c r="W1" s="1" t="s">
        <v>1686</v>
      </c>
      <c r="X1" s="1" t="s">
        <v>1687</v>
      </c>
      <c r="Y1" s="1" t="s">
        <v>1688</v>
      </c>
      <c r="Z1" s="1" t="s">
        <v>1690</v>
      </c>
      <c r="AA1" s="1" t="s">
        <v>1691</v>
      </c>
      <c r="AB1" s="1" t="s">
        <v>1692</v>
      </c>
      <c r="AC1" s="1" t="s">
        <v>1693</v>
      </c>
      <c r="AD1" s="1" t="s">
        <v>1694</v>
      </c>
    </row>
    <row r="2" spans="1:30">
      <c r="A2" s="2">
        <v>1</v>
      </c>
      <c r="B2" s="3" t="s">
        <v>5</v>
      </c>
      <c r="C2" s="2" t="s">
        <v>6</v>
      </c>
      <c r="D2" s="2">
        <v>1</v>
      </c>
      <c r="E2" s="2" t="s">
        <v>7</v>
      </c>
      <c r="F2" t="s">
        <v>8</v>
      </c>
      <c r="G2" s="4">
        <v>44834</v>
      </c>
      <c r="H2" s="5">
        <v>0.32184027777777779</v>
      </c>
      <c r="I2" t="s">
        <v>9</v>
      </c>
      <c r="J2">
        <v>1.4</v>
      </c>
      <c r="K2">
        <v>0.27839999999999998</v>
      </c>
      <c r="L2">
        <v>1.5221</v>
      </c>
      <c r="M2" t="s">
        <v>10</v>
      </c>
      <c r="N2" t="s">
        <v>11</v>
      </c>
      <c r="O2">
        <v>1.913</v>
      </c>
      <c r="P2">
        <v>95.474000000000004</v>
      </c>
      <c r="Q2">
        <v>143.28720000000001</v>
      </c>
      <c r="R2" t="s">
        <v>10</v>
      </c>
      <c r="S2" t="s">
        <v>12</v>
      </c>
      <c r="T2" s="4">
        <v>44834</v>
      </c>
      <c r="U2" s="5">
        <v>0.32184027777777779</v>
      </c>
      <c r="V2" t="s">
        <v>13</v>
      </c>
      <c r="W2">
        <v>1.163</v>
      </c>
      <c r="X2">
        <v>3236.0891999999999</v>
      </c>
      <c r="Y2">
        <v>137445.32459999999</v>
      </c>
      <c r="Z2" t="s">
        <v>1689</v>
      </c>
      <c r="AA2">
        <v>2.2130000000000001</v>
      </c>
      <c r="AB2">
        <v>51.8202</v>
      </c>
      <c r="AC2">
        <v>1.3599999999999999E-2</v>
      </c>
      <c r="AD2" t="s">
        <v>10</v>
      </c>
    </row>
    <row r="3" spans="1:30">
      <c r="A3" s="2">
        <v>2</v>
      </c>
      <c r="B3" s="3" t="s">
        <v>5</v>
      </c>
      <c r="C3" s="2" t="s">
        <v>6</v>
      </c>
      <c r="D3" s="2">
        <v>2</v>
      </c>
      <c r="E3" s="2" t="s">
        <v>14</v>
      </c>
      <c r="F3" t="s">
        <v>15</v>
      </c>
      <c r="G3" s="4">
        <v>44834</v>
      </c>
      <c r="H3" s="5">
        <v>0.32559027777777777</v>
      </c>
      <c r="I3" t="s">
        <v>9</v>
      </c>
      <c r="J3">
        <v>1.4059999999999999</v>
      </c>
      <c r="K3">
        <v>0.29039999999999999</v>
      </c>
      <c r="L3">
        <v>1.5740000000000001</v>
      </c>
      <c r="M3" t="s">
        <v>10</v>
      </c>
      <c r="N3" t="s">
        <v>11</v>
      </c>
      <c r="O3">
        <v>1.92</v>
      </c>
      <c r="P3">
        <v>89.7547</v>
      </c>
      <c r="Q3">
        <v>122.15009999999999</v>
      </c>
      <c r="R3" t="s">
        <v>10</v>
      </c>
      <c r="S3" t="s">
        <v>16</v>
      </c>
      <c r="T3" s="4">
        <v>44834</v>
      </c>
      <c r="U3" s="5">
        <v>0.32559027777777777</v>
      </c>
      <c r="V3" t="s">
        <v>13</v>
      </c>
      <c r="W3">
        <v>1.1659999999999999</v>
      </c>
      <c r="X3">
        <v>3113.7458000000001</v>
      </c>
      <c r="Y3">
        <v>125334.5393</v>
      </c>
      <c r="Z3" t="s">
        <v>1689</v>
      </c>
      <c r="AA3">
        <v>2.2160000000000002</v>
      </c>
      <c r="AB3">
        <v>49.396799999999999</v>
      </c>
      <c r="AC3">
        <v>3.7000000000000002E-3</v>
      </c>
      <c r="AD3" t="s">
        <v>10</v>
      </c>
    </row>
    <row r="4" spans="1:30">
      <c r="A4" s="2">
        <v>3</v>
      </c>
      <c r="B4" s="3" t="s">
        <v>5</v>
      </c>
      <c r="C4" s="2" t="s">
        <v>6</v>
      </c>
      <c r="D4" s="2">
        <v>3</v>
      </c>
      <c r="E4" s="2" t="s">
        <v>17</v>
      </c>
      <c r="F4" t="s">
        <v>18</v>
      </c>
      <c r="G4" s="4">
        <v>44834</v>
      </c>
      <c r="H4" s="5">
        <v>0.3293402777777778</v>
      </c>
      <c r="I4" t="s">
        <v>9</v>
      </c>
      <c r="J4">
        <v>1.4</v>
      </c>
      <c r="K4">
        <v>0.31830000000000003</v>
      </c>
      <c r="L4">
        <v>1.6946000000000001</v>
      </c>
      <c r="M4" t="s">
        <v>10</v>
      </c>
      <c r="N4" t="s">
        <v>11</v>
      </c>
      <c r="O4">
        <v>1.913</v>
      </c>
      <c r="P4">
        <v>102.7178</v>
      </c>
      <c r="Q4">
        <v>170.05840000000001</v>
      </c>
      <c r="R4" t="s">
        <v>10</v>
      </c>
      <c r="S4" t="s">
        <v>19</v>
      </c>
      <c r="T4" s="4">
        <v>44834</v>
      </c>
      <c r="U4" s="5">
        <v>0.3293402777777778</v>
      </c>
      <c r="V4" t="s">
        <v>13</v>
      </c>
      <c r="W4">
        <v>1.163</v>
      </c>
      <c r="X4">
        <v>3259.7307999999998</v>
      </c>
      <c r="Y4">
        <v>139916.8499</v>
      </c>
      <c r="Z4" t="s">
        <v>1689</v>
      </c>
      <c r="AA4">
        <v>2.21</v>
      </c>
      <c r="AB4">
        <v>59.890999999999998</v>
      </c>
      <c r="AC4">
        <v>4.6699999999999998E-2</v>
      </c>
      <c r="AD4" t="s">
        <v>10</v>
      </c>
    </row>
    <row r="5" spans="1:30">
      <c r="A5" s="2">
        <v>4</v>
      </c>
      <c r="B5" s="3" t="s">
        <v>5</v>
      </c>
      <c r="C5" s="2" t="s">
        <v>6</v>
      </c>
      <c r="D5" s="2">
        <v>4</v>
      </c>
      <c r="E5" s="2" t="s">
        <v>20</v>
      </c>
      <c r="F5" t="s">
        <v>21</v>
      </c>
      <c r="G5" s="4">
        <v>44834</v>
      </c>
      <c r="H5" s="5">
        <v>0.33309027777777778</v>
      </c>
      <c r="I5" t="s">
        <v>9</v>
      </c>
      <c r="J5">
        <v>1.403</v>
      </c>
      <c r="K5">
        <v>0.36520000000000002</v>
      </c>
      <c r="L5">
        <v>1.8975</v>
      </c>
      <c r="M5" t="s">
        <v>10</v>
      </c>
      <c r="N5" t="s">
        <v>11</v>
      </c>
      <c r="O5">
        <v>1.9159999999999999</v>
      </c>
      <c r="P5">
        <v>109.1048</v>
      </c>
      <c r="Q5">
        <v>193.66309999999999</v>
      </c>
      <c r="R5" t="s">
        <v>10</v>
      </c>
      <c r="S5" t="s">
        <v>22</v>
      </c>
      <c r="T5" s="4">
        <v>44834</v>
      </c>
      <c r="U5" s="5">
        <v>0.33309027777777778</v>
      </c>
      <c r="V5" t="s">
        <v>13</v>
      </c>
      <c r="W5">
        <v>1.163</v>
      </c>
      <c r="X5">
        <v>3417.0821999999998</v>
      </c>
      <c r="Y5">
        <v>159076.3083</v>
      </c>
      <c r="Z5" t="s">
        <v>1689</v>
      </c>
      <c r="AA5">
        <v>2.2130000000000001</v>
      </c>
      <c r="AB5">
        <v>62.992600000000003</v>
      </c>
      <c r="AC5">
        <v>5.9400000000000001E-2</v>
      </c>
      <c r="AD5" t="s">
        <v>10</v>
      </c>
    </row>
    <row r="6" spans="1:30">
      <c r="A6" s="2">
        <v>5</v>
      </c>
      <c r="B6" s="3" t="s">
        <v>5</v>
      </c>
      <c r="C6" s="2" t="s">
        <v>6</v>
      </c>
      <c r="D6" s="2">
        <v>5</v>
      </c>
      <c r="E6" s="2" t="s">
        <v>23</v>
      </c>
      <c r="F6" t="s">
        <v>24</v>
      </c>
      <c r="G6" s="4">
        <v>44834</v>
      </c>
      <c r="H6" s="5">
        <v>0.3368518518518519</v>
      </c>
      <c r="I6" t="s">
        <v>9</v>
      </c>
      <c r="J6">
        <v>1.403</v>
      </c>
      <c r="K6">
        <v>0.29580000000000001</v>
      </c>
      <c r="L6">
        <v>1.5972999999999999</v>
      </c>
      <c r="M6" t="s">
        <v>10</v>
      </c>
      <c r="N6" t="s">
        <v>11</v>
      </c>
      <c r="O6">
        <v>1.913</v>
      </c>
      <c r="P6">
        <v>90.867999999999995</v>
      </c>
      <c r="Q6">
        <v>126.2646</v>
      </c>
      <c r="R6" t="s">
        <v>10</v>
      </c>
      <c r="S6" t="s">
        <v>25</v>
      </c>
      <c r="T6" s="4">
        <v>44834</v>
      </c>
      <c r="U6" s="5">
        <v>0.3368518518518519</v>
      </c>
      <c r="V6" t="s">
        <v>13</v>
      </c>
      <c r="W6">
        <v>1.1599999999999999</v>
      </c>
      <c r="X6">
        <v>3152.4220999999998</v>
      </c>
      <c r="Y6">
        <v>129013.1041</v>
      </c>
      <c r="Z6" t="s">
        <v>1689</v>
      </c>
      <c r="AA6">
        <v>2.21</v>
      </c>
      <c r="AB6">
        <v>55.708799999999997</v>
      </c>
      <c r="AC6">
        <v>2.9600000000000001E-2</v>
      </c>
      <c r="AD6" t="s">
        <v>10</v>
      </c>
    </row>
    <row r="7" spans="1:30">
      <c r="A7" s="2">
        <v>6</v>
      </c>
      <c r="B7" s="3" t="s">
        <v>5</v>
      </c>
      <c r="C7" s="2" t="s">
        <v>6</v>
      </c>
      <c r="D7" s="2">
        <v>6</v>
      </c>
      <c r="E7" s="2" t="s">
        <v>26</v>
      </c>
      <c r="F7" t="s">
        <v>27</v>
      </c>
      <c r="G7" s="4">
        <v>44834</v>
      </c>
      <c r="H7" s="5">
        <v>0.34061342592592592</v>
      </c>
      <c r="I7" t="s">
        <v>9</v>
      </c>
      <c r="J7">
        <v>1.41</v>
      </c>
      <c r="K7">
        <v>0.307</v>
      </c>
      <c r="L7">
        <v>1.6457999999999999</v>
      </c>
      <c r="M7" t="s">
        <v>10</v>
      </c>
      <c r="N7" t="s">
        <v>11</v>
      </c>
      <c r="O7">
        <v>1.923</v>
      </c>
      <c r="P7">
        <v>88.9572</v>
      </c>
      <c r="Q7">
        <v>119.20269999999999</v>
      </c>
      <c r="R7" t="s">
        <v>10</v>
      </c>
      <c r="S7" t="s">
        <v>28</v>
      </c>
      <c r="T7" s="4">
        <v>44834</v>
      </c>
      <c r="U7" s="5">
        <v>0.34061342592592592</v>
      </c>
      <c r="V7" t="s">
        <v>13</v>
      </c>
      <c r="W7">
        <v>1.1659999999999999</v>
      </c>
      <c r="X7">
        <v>3163.6668</v>
      </c>
      <c r="Y7">
        <v>130108.88340000001</v>
      </c>
      <c r="Z7" t="s">
        <v>1689</v>
      </c>
      <c r="AA7">
        <v>2.2229999999999999</v>
      </c>
      <c r="AB7">
        <v>53.468400000000003</v>
      </c>
      <c r="AC7">
        <v>2.0400000000000001E-2</v>
      </c>
      <c r="AD7" t="s">
        <v>10</v>
      </c>
    </row>
    <row r="8" spans="1:30">
      <c r="A8" s="2">
        <v>7</v>
      </c>
      <c r="B8" s="3" t="s">
        <v>5</v>
      </c>
      <c r="C8" s="2" t="s">
        <v>6</v>
      </c>
      <c r="D8" s="2">
        <v>7</v>
      </c>
      <c r="E8" s="2" t="s">
        <v>29</v>
      </c>
      <c r="F8" t="s">
        <v>30</v>
      </c>
      <c r="G8" s="4">
        <v>44834</v>
      </c>
      <c r="H8" s="5">
        <v>0.34436342592592589</v>
      </c>
      <c r="I8" t="s">
        <v>9</v>
      </c>
      <c r="J8">
        <v>1.413</v>
      </c>
      <c r="K8">
        <v>0.33329999999999999</v>
      </c>
      <c r="L8">
        <v>1.7595000000000001</v>
      </c>
      <c r="M8" t="s">
        <v>10</v>
      </c>
      <c r="N8" t="s">
        <v>11</v>
      </c>
      <c r="O8">
        <v>1.9259999999999999</v>
      </c>
      <c r="P8">
        <v>98.793099999999995</v>
      </c>
      <c r="Q8">
        <v>155.55369999999999</v>
      </c>
      <c r="R8" t="s">
        <v>10</v>
      </c>
      <c r="S8" t="s">
        <v>31</v>
      </c>
      <c r="T8" s="4">
        <v>44834</v>
      </c>
      <c r="U8" s="5">
        <v>0.34436342592592589</v>
      </c>
      <c r="V8" t="s">
        <v>13</v>
      </c>
      <c r="W8">
        <v>1.17</v>
      </c>
      <c r="X8">
        <v>3300.4506999999999</v>
      </c>
      <c r="Y8">
        <v>144501.3996</v>
      </c>
      <c r="Z8" t="s">
        <v>1689</v>
      </c>
      <c r="AA8">
        <v>2.226</v>
      </c>
      <c r="AB8">
        <v>56.186799999999998</v>
      </c>
      <c r="AC8">
        <v>3.15E-2</v>
      </c>
      <c r="AD8" t="s">
        <v>10</v>
      </c>
    </row>
    <row r="9" spans="1:30">
      <c r="A9" s="2">
        <v>8</v>
      </c>
      <c r="B9" s="3" t="s">
        <v>5</v>
      </c>
      <c r="C9" s="2" t="s">
        <v>6</v>
      </c>
      <c r="D9" s="2">
        <v>8</v>
      </c>
      <c r="E9" s="2" t="s">
        <v>32</v>
      </c>
      <c r="F9" t="s">
        <v>33</v>
      </c>
      <c r="G9" s="4">
        <v>44834</v>
      </c>
      <c r="H9" s="5">
        <v>0.34811342592592592</v>
      </c>
      <c r="I9" t="s">
        <v>9</v>
      </c>
      <c r="J9">
        <v>1.4</v>
      </c>
      <c r="K9">
        <v>0.31540000000000001</v>
      </c>
      <c r="L9">
        <v>1.6820999999999999</v>
      </c>
      <c r="M9" t="s">
        <v>10</v>
      </c>
      <c r="N9" t="s">
        <v>11</v>
      </c>
      <c r="O9">
        <v>1.913</v>
      </c>
      <c r="P9">
        <v>94.366600000000005</v>
      </c>
      <c r="Q9">
        <v>139.19450000000001</v>
      </c>
      <c r="R9" t="s">
        <v>10</v>
      </c>
      <c r="S9" t="s">
        <v>34</v>
      </c>
      <c r="T9" s="4">
        <v>44834</v>
      </c>
      <c r="U9" s="5">
        <v>0.34811342592592592</v>
      </c>
      <c r="V9" t="s">
        <v>13</v>
      </c>
      <c r="W9">
        <v>1.1599999999999999</v>
      </c>
      <c r="X9">
        <v>3154.4769999999999</v>
      </c>
      <c r="Y9">
        <v>129213.351</v>
      </c>
      <c r="Z9" t="s">
        <v>1689</v>
      </c>
      <c r="AA9">
        <v>2.21</v>
      </c>
      <c r="AB9">
        <v>53.443899999999999</v>
      </c>
      <c r="AC9">
        <v>2.0299999999999999E-2</v>
      </c>
      <c r="AD9" t="s">
        <v>10</v>
      </c>
    </row>
    <row r="10" spans="1:30">
      <c r="A10" s="2">
        <v>9</v>
      </c>
      <c r="B10" s="3" t="s">
        <v>5</v>
      </c>
      <c r="C10" s="2" t="s">
        <v>6</v>
      </c>
      <c r="D10" s="2">
        <v>9</v>
      </c>
      <c r="E10" s="2" t="s">
        <v>35</v>
      </c>
      <c r="F10" t="s">
        <v>36</v>
      </c>
      <c r="G10" s="4">
        <v>44834</v>
      </c>
      <c r="H10" s="5">
        <v>0.3518634259259259</v>
      </c>
      <c r="I10" t="s">
        <v>9</v>
      </c>
      <c r="J10">
        <v>1.41</v>
      </c>
      <c r="K10">
        <v>0.28370000000000001</v>
      </c>
      <c r="L10">
        <v>1.5449999999999999</v>
      </c>
      <c r="M10" t="s">
        <v>10</v>
      </c>
      <c r="N10" t="s">
        <v>11</v>
      </c>
      <c r="O10">
        <v>1.9259999999999999</v>
      </c>
      <c r="P10">
        <v>84.565899999999999</v>
      </c>
      <c r="Q10">
        <v>102.9736</v>
      </c>
      <c r="R10" t="s">
        <v>10</v>
      </c>
      <c r="S10" t="s">
        <v>37</v>
      </c>
      <c r="T10" s="4">
        <v>44834</v>
      </c>
      <c r="U10" s="5">
        <v>0.3518634259259259</v>
      </c>
      <c r="V10" t="s">
        <v>13</v>
      </c>
      <c r="W10">
        <v>1.1659999999999999</v>
      </c>
      <c r="X10">
        <v>3065.4079000000002</v>
      </c>
      <c r="Y10">
        <v>120923.3692</v>
      </c>
      <c r="Z10" t="s">
        <v>1689</v>
      </c>
      <c r="AA10">
        <v>2.226</v>
      </c>
      <c r="AB10">
        <v>50.3889</v>
      </c>
      <c r="AC10">
        <v>7.7999999999999996E-3</v>
      </c>
      <c r="AD10" t="s">
        <v>10</v>
      </c>
    </row>
    <row r="11" spans="1:30">
      <c r="A11" s="2">
        <v>10</v>
      </c>
      <c r="B11" s="3" t="s">
        <v>5</v>
      </c>
      <c r="C11" s="2" t="s">
        <v>6</v>
      </c>
      <c r="D11" s="2">
        <v>10</v>
      </c>
      <c r="E11" s="2" t="s">
        <v>38</v>
      </c>
      <c r="F11" t="s">
        <v>39</v>
      </c>
      <c r="G11" s="4">
        <v>44834</v>
      </c>
      <c r="H11" s="5">
        <v>0.35561342592592587</v>
      </c>
      <c r="I11" t="s">
        <v>9</v>
      </c>
      <c r="J11">
        <v>1.4059999999999999</v>
      </c>
      <c r="K11">
        <v>0.35389999999999999</v>
      </c>
      <c r="L11">
        <v>1.8486</v>
      </c>
      <c r="M11" t="s">
        <v>10</v>
      </c>
      <c r="N11" t="s">
        <v>11</v>
      </c>
      <c r="O11">
        <v>1.923</v>
      </c>
      <c r="P11">
        <v>109.23350000000001</v>
      </c>
      <c r="Q11">
        <v>194.1388</v>
      </c>
      <c r="R11" t="s">
        <v>10</v>
      </c>
      <c r="S11" t="s">
        <v>40</v>
      </c>
      <c r="T11" s="4">
        <v>44834</v>
      </c>
      <c r="U11" s="5">
        <v>0.35561342592592587</v>
      </c>
      <c r="V11" t="s">
        <v>13</v>
      </c>
      <c r="W11">
        <v>1.17</v>
      </c>
      <c r="X11">
        <v>3316.991</v>
      </c>
      <c r="Y11">
        <v>146366.28200000001</v>
      </c>
      <c r="Z11" t="s">
        <v>1689</v>
      </c>
      <c r="AA11">
        <v>2.2200000000000002</v>
      </c>
      <c r="AB11">
        <v>59.388599999999997</v>
      </c>
      <c r="AC11">
        <v>4.4699999999999997E-2</v>
      </c>
      <c r="AD11" t="s">
        <v>10</v>
      </c>
    </row>
    <row r="12" spans="1:30">
      <c r="A12" s="2">
        <v>11</v>
      </c>
      <c r="B12" s="3" t="s">
        <v>41</v>
      </c>
      <c r="C12" s="2" t="s">
        <v>6</v>
      </c>
      <c r="D12" s="2">
        <v>11</v>
      </c>
      <c r="E12" s="2" t="s">
        <v>42</v>
      </c>
      <c r="F12" t="s">
        <v>43</v>
      </c>
      <c r="G12" s="4">
        <v>44834</v>
      </c>
      <c r="H12" s="5">
        <v>0.359375</v>
      </c>
      <c r="I12" t="s">
        <v>9</v>
      </c>
      <c r="J12">
        <v>0</v>
      </c>
      <c r="K12">
        <v>0</v>
      </c>
      <c r="L12">
        <v>0</v>
      </c>
      <c r="M12" t="s">
        <v>10</v>
      </c>
      <c r="N12" t="s">
        <v>11</v>
      </c>
      <c r="O12">
        <v>1.923</v>
      </c>
      <c r="P12">
        <v>42.255000000000003</v>
      </c>
      <c r="Q12">
        <v>0</v>
      </c>
      <c r="R12" t="s">
        <v>10</v>
      </c>
      <c r="S12" t="s">
        <v>44</v>
      </c>
      <c r="T12" s="4">
        <v>44834</v>
      </c>
      <c r="U12" s="5">
        <v>0.359375</v>
      </c>
      <c r="V12" t="s">
        <v>13</v>
      </c>
      <c r="W12">
        <v>1.1659999999999999</v>
      </c>
      <c r="X12">
        <v>1197.8327999999999</v>
      </c>
      <c r="Y12">
        <v>10817.7724</v>
      </c>
      <c r="Z12" t="s">
        <v>1689</v>
      </c>
      <c r="AA12">
        <v>2.2200000000000002</v>
      </c>
      <c r="AB12">
        <v>18.776</v>
      </c>
      <c r="AC12">
        <v>0</v>
      </c>
      <c r="AD12" t="s">
        <v>10</v>
      </c>
    </row>
    <row r="13" spans="1:30">
      <c r="A13" s="2">
        <v>12</v>
      </c>
      <c r="B13" s="3" t="s">
        <v>5</v>
      </c>
      <c r="C13" s="2" t="s">
        <v>6</v>
      </c>
      <c r="D13" s="2">
        <v>12</v>
      </c>
      <c r="E13" s="2" t="s">
        <v>45</v>
      </c>
      <c r="F13" t="s">
        <v>46</v>
      </c>
      <c r="G13" s="4">
        <v>44834</v>
      </c>
      <c r="H13" s="5">
        <v>0.36313657407407413</v>
      </c>
      <c r="I13" t="s">
        <v>9</v>
      </c>
      <c r="J13">
        <v>1.4059999999999999</v>
      </c>
      <c r="K13">
        <v>0.29220000000000002</v>
      </c>
      <c r="L13">
        <v>1.5817000000000001</v>
      </c>
      <c r="M13" t="s">
        <v>10</v>
      </c>
      <c r="N13" t="s">
        <v>11</v>
      </c>
      <c r="O13">
        <v>1.92</v>
      </c>
      <c r="P13">
        <v>82.304699999999997</v>
      </c>
      <c r="Q13">
        <v>94.616799999999998</v>
      </c>
      <c r="R13" t="s">
        <v>10</v>
      </c>
      <c r="S13" t="s">
        <v>47</v>
      </c>
      <c r="T13" s="4">
        <v>44834</v>
      </c>
      <c r="U13" s="5">
        <v>0.36313657407407413</v>
      </c>
      <c r="V13" t="s">
        <v>13</v>
      </c>
      <c r="W13">
        <v>1.1659999999999999</v>
      </c>
      <c r="X13">
        <v>2901.2608</v>
      </c>
      <c r="Y13">
        <v>107152.7674</v>
      </c>
      <c r="Z13" t="s">
        <v>1689</v>
      </c>
      <c r="AA13">
        <v>2.2160000000000002</v>
      </c>
      <c r="AB13">
        <v>48.339599999999997</v>
      </c>
      <c r="AC13">
        <v>0</v>
      </c>
      <c r="AD13" t="s">
        <v>10</v>
      </c>
    </row>
    <row r="14" spans="1:30">
      <c r="A14" s="2">
        <v>13</v>
      </c>
      <c r="B14" s="3" t="s">
        <v>48</v>
      </c>
      <c r="C14" s="2" t="s">
        <v>6</v>
      </c>
      <c r="D14" s="2">
        <v>13</v>
      </c>
      <c r="E14" s="2" t="s">
        <v>49</v>
      </c>
      <c r="F14" t="s">
        <v>50</v>
      </c>
      <c r="G14" s="4">
        <v>44834</v>
      </c>
      <c r="H14" s="5">
        <v>0.36689814814814814</v>
      </c>
      <c r="I14" t="s">
        <v>9</v>
      </c>
      <c r="J14">
        <v>1.403</v>
      </c>
      <c r="K14">
        <v>0.21890000000000001</v>
      </c>
      <c r="L14">
        <v>1.2646999999999999</v>
      </c>
      <c r="M14" t="s">
        <v>10</v>
      </c>
      <c r="N14" t="s">
        <v>11</v>
      </c>
      <c r="O14">
        <v>1.9159999999999999</v>
      </c>
      <c r="P14">
        <v>80.824200000000005</v>
      </c>
      <c r="Q14">
        <v>89.145200000000003</v>
      </c>
      <c r="R14" t="s">
        <v>10</v>
      </c>
      <c r="S14" t="s">
        <v>51</v>
      </c>
      <c r="T14" s="4">
        <v>44834</v>
      </c>
      <c r="U14" s="5">
        <v>0.36689814814814814</v>
      </c>
      <c r="V14" t="s">
        <v>13</v>
      </c>
      <c r="W14">
        <v>1.163</v>
      </c>
      <c r="X14">
        <v>3522.0446000000002</v>
      </c>
      <c r="Y14">
        <v>174461.1839</v>
      </c>
      <c r="Z14" t="s">
        <v>1689</v>
      </c>
      <c r="AA14">
        <v>2.2130000000000001</v>
      </c>
      <c r="AB14">
        <v>62.205599999999997</v>
      </c>
      <c r="AC14">
        <v>5.62E-2</v>
      </c>
      <c r="AD14" t="s">
        <v>10</v>
      </c>
    </row>
    <row r="15" spans="1:30">
      <c r="A15" s="2">
        <v>14</v>
      </c>
      <c r="B15" s="3" t="s">
        <v>5</v>
      </c>
      <c r="C15" s="2" t="s">
        <v>6</v>
      </c>
      <c r="D15" s="2">
        <v>14</v>
      </c>
      <c r="E15" s="2" t="s">
        <v>52</v>
      </c>
      <c r="F15" t="s">
        <v>53</v>
      </c>
      <c r="G15" s="4">
        <v>44834</v>
      </c>
      <c r="H15" s="5">
        <v>0.37064814814814812</v>
      </c>
      <c r="I15" t="s">
        <v>9</v>
      </c>
      <c r="J15">
        <v>1.4</v>
      </c>
      <c r="K15">
        <v>0.30599999999999999</v>
      </c>
      <c r="L15">
        <v>1.6414</v>
      </c>
      <c r="M15" t="s">
        <v>10</v>
      </c>
      <c r="N15" t="s">
        <v>11</v>
      </c>
      <c r="O15">
        <v>1.913</v>
      </c>
      <c r="P15">
        <v>94.8185</v>
      </c>
      <c r="Q15">
        <v>140.8646</v>
      </c>
      <c r="R15" t="s">
        <v>10</v>
      </c>
      <c r="S15" t="s">
        <v>54</v>
      </c>
      <c r="T15" s="4">
        <v>44834</v>
      </c>
      <c r="U15" s="5">
        <v>0.37064814814814812</v>
      </c>
      <c r="V15" t="s">
        <v>13</v>
      </c>
      <c r="W15">
        <v>1.1599999999999999</v>
      </c>
      <c r="X15">
        <v>3156.3932</v>
      </c>
      <c r="Y15">
        <v>129400.0819</v>
      </c>
      <c r="Z15" t="s">
        <v>1689</v>
      </c>
      <c r="AA15">
        <v>2.21</v>
      </c>
      <c r="AB15">
        <v>57.317399999999999</v>
      </c>
      <c r="AC15">
        <v>3.6200000000000003E-2</v>
      </c>
      <c r="AD15" t="s">
        <v>10</v>
      </c>
    </row>
    <row r="16" spans="1:30">
      <c r="A16" s="2">
        <v>15</v>
      </c>
      <c r="B16" s="3" t="s">
        <v>55</v>
      </c>
      <c r="C16" s="2" t="s">
        <v>6</v>
      </c>
      <c r="D16" s="2">
        <v>15</v>
      </c>
      <c r="E16" s="2" t="s">
        <v>56</v>
      </c>
      <c r="F16" t="s">
        <v>57</v>
      </c>
      <c r="G16" s="4">
        <v>44834</v>
      </c>
      <c r="H16" s="5">
        <v>0.37439814814814815</v>
      </c>
      <c r="I16" t="s">
        <v>9</v>
      </c>
      <c r="J16">
        <v>1.413</v>
      </c>
      <c r="K16">
        <v>0.6532</v>
      </c>
      <c r="L16">
        <v>3.1432000000000002</v>
      </c>
      <c r="M16" t="s">
        <v>10</v>
      </c>
      <c r="N16" t="s">
        <v>11</v>
      </c>
      <c r="O16">
        <v>1.9259999999999999</v>
      </c>
      <c r="P16">
        <v>166.32239999999999</v>
      </c>
      <c r="Q16">
        <v>405.12490000000003</v>
      </c>
      <c r="R16" t="s">
        <v>10</v>
      </c>
      <c r="S16" t="s">
        <v>58</v>
      </c>
      <c r="T16" s="4">
        <v>44834</v>
      </c>
      <c r="U16" s="5">
        <v>0.37439814814814815</v>
      </c>
      <c r="V16" t="s">
        <v>13</v>
      </c>
      <c r="W16">
        <v>1.17</v>
      </c>
      <c r="X16">
        <v>4086.0365000000002</v>
      </c>
      <c r="Y16">
        <v>257638.00589999999</v>
      </c>
      <c r="Z16" t="s">
        <v>1689</v>
      </c>
      <c r="AA16">
        <v>2.226</v>
      </c>
      <c r="AB16">
        <v>97.435699999999997</v>
      </c>
      <c r="AC16">
        <v>0.2006</v>
      </c>
      <c r="AD16" t="s">
        <v>10</v>
      </c>
    </row>
    <row r="17" spans="1:30">
      <c r="A17" s="2">
        <v>16</v>
      </c>
      <c r="B17" s="3" t="s">
        <v>5</v>
      </c>
      <c r="C17" s="2" t="s">
        <v>6</v>
      </c>
      <c r="D17" s="2">
        <v>16</v>
      </c>
      <c r="E17" s="2" t="s">
        <v>59</v>
      </c>
      <c r="F17" t="s">
        <v>60</v>
      </c>
      <c r="G17" s="4">
        <v>44834</v>
      </c>
      <c r="H17" s="5">
        <v>0.37815972222222222</v>
      </c>
      <c r="I17" t="s">
        <v>9</v>
      </c>
      <c r="J17">
        <v>1.403</v>
      </c>
      <c r="K17">
        <v>0.30380000000000001</v>
      </c>
      <c r="L17">
        <v>1.6318999999999999</v>
      </c>
      <c r="M17" t="s">
        <v>10</v>
      </c>
      <c r="N17" t="s">
        <v>11</v>
      </c>
      <c r="O17">
        <v>1.9159999999999999</v>
      </c>
      <c r="P17">
        <v>91.680999999999997</v>
      </c>
      <c r="Q17">
        <v>129.26920000000001</v>
      </c>
      <c r="R17" t="s">
        <v>10</v>
      </c>
      <c r="S17" t="s">
        <v>61</v>
      </c>
      <c r="T17" s="4">
        <v>44834</v>
      </c>
      <c r="U17" s="5">
        <v>0.37815972222222222</v>
      </c>
      <c r="V17" t="s">
        <v>13</v>
      </c>
      <c r="W17">
        <v>1.163</v>
      </c>
      <c r="X17">
        <v>3036.3186000000001</v>
      </c>
      <c r="Y17">
        <v>118372.19469999999</v>
      </c>
      <c r="Z17" t="s">
        <v>1689</v>
      </c>
      <c r="AA17">
        <v>2.2130000000000001</v>
      </c>
      <c r="AB17">
        <v>49.971200000000003</v>
      </c>
      <c r="AC17">
        <v>6.1000000000000004E-3</v>
      </c>
      <c r="AD17" t="s">
        <v>10</v>
      </c>
    </row>
    <row r="18" spans="1:30">
      <c r="A18" s="2">
        <v>17</v>
      </c>
      <c r="B18" s="3" t="s">
        <v>62</v>
      </c>
      <c r="C18" s="2" t="s">
        <v>6</v>
      </c>
      <c r="D18" s="2">
        <v>17</v>
      </c>
      <c r="E18" s="2" t="s">
        <v>63</v>
      </c>
      <c r="F18" t="s">
        <v>64</v>
      </c>
      <c r="G18" s="4">
        <v>44834</v>
      </c>
      <c r="H18" s="5">
        <v>0.38190972222222225</v>
      </c>
      <c r="I18" t="s">
        <v>9</v>
      </c>
      <c r="J18">
        <v>1.403</v>
      </c>
      <c r="K18">
        <v>4.7571000000000003</v>
      </c>
      <c r="L18">
        <v>20.8934</v>
      </c>
      <c r="M18" t="s">
        <v>10</v>
      </c>
      <c r="N18" t="s">
        <v>11</v>
      </c>
      <c r="O18">
        <v>1.92</v>
      </c>
      <c r="P18">
        <v>609.30939999999998</v>
      </c>
      <c r="Q18">
        <v>2042.2925</v>
      </c>
      <c r="R18" t="s">
        <v>10</v>
      </c>
      <c r="S18" t="s">
        <v>65</v>
      </c>
      <c r="T18" s="4">
        <v>44834</v>
      </c>
      <c r="U18" s="5">
        <v>0.38190972222222225</v>
      </c>
      <c r="V18" t="s">
        <v>13</v>
      </c>
      <c r="W18">
        <v>1.163</v>
      </c>
      <c r="X18">
        <v>3669.28</v>
      </c>
      <c r="Y18">
        <v>196175.277</v>
      </c>
      <c r="Z18" t="s">
        <v>1689</v>
      </c>
      <c r="AA18">
        <v>2.2130000000000001</v>
      </c>
      <c r="AB18">
        <v>150.9828</v>
      </c>
      <c r="AC18">
        <v>0.42009999999999997</v>
      </c>
      <c r="AD18" t="s">
        <v>10</v>
      </c>
    </row>
    <row r="19" spans="1:30">
      <c r="A19" s="2">
        <v>18</v>
      </c>
      <c r="B19" s="3" t="s">
        <v>5</v>
      </c>
      <c r="C19" s="2" t="s">
        <v>6</v>
      </c>
      <c r="D19" s="2">
        <v>18</v>
      </c>
      <c r="E19" s="2" t="s">
        <v>66</v>
      </c>
      <c r="F19" t="s">
        <v>67</v>
      </c>
      <c r="G19" s="4">
        <v>44834</v>
      </c>
      <c r="H19" s="5">
        <v>0.38567129629629626</v>
      </c>
      <c r="I19" t="s">
        <v>9</v>
      </c>
      <c r="J19">
        <v>1.4059999999999999</v>
      </c>
      <c r="K19">
        <v>0.30640000000000001</v>
      </c>
      <c r="L19">
        <v>1.6432</v>
      </c>
      <c r="M19" t="s">
        <v>10</v>
      </c>
      <c r="N19" t="s">
        <v>11</v>
      </c>
      <c r="O19">
        <v>1.923</v>
      </c>
      <c r="P19">
        <v>96.416399999999996</v>
      </c>
      <c r="Q19">
        <v>146.77000000000001</v>
      </c>
      <c r="R19" t="s">
        <v>10</v>
      </c>
      <c r="S19" t="s">
        <v>68</v>
      </c>
      <c r="T19" s="4">
        <v>44834</v>
      </c>
      <c r="U19" s="5">
        <v>0.38567129629629626</v>
      </c>
      <c r="V19" t="s">
        <v>13</v>
      </c>
      <c r="W19">
        <v>1.1659999999999999</v>
      </c>
      <c r="X19">
        <v>3168.4474</v>
      </c>
      <c r="Y19">
        <v>130574.7457</v>
      </c>
      <c r="Z19" t="s">
        <v>1689</v>
      </c>
      <c r="AA19">
        <v>2.2200000000000002</v>
      </c>
      <c r="AB19">
        <v>57.435099999999998</v>
      </c>
      <c r="AC19">
        <v>3.6600000000000001E-2</v>
      </c>
      <c r="AD19" t="s">
        <v>10</v>
      </c>
    </row>
    <row r="20" spans="1:30">
      <c r="A20" s="2">
        <v>19</v>
      </c>
      <c r="B20" s="3" t="s">
        <v>69</v>
      </c>
      <c r="C20" s="2" t="s">
        <v>6</v>
      </c>
      <c r="D20" s="2">
        <v>19</v>
      </c>
      <c r="E20" s="2" t="s">
        <v>70</v>
      </c>
      <c r="F20" t="s">
        <v>71</v>
      </c>
      <c r="G20" s="4">
        <v>44834</v>
      </c>
      <c r="H20" s="5">
        <v>0.38942129629629635</v>
      </c>
      <c r="I20" t="s">
        <v>9</v>
      </c>
      <c r="J20">
        <v>1.403</v>
      </c>
      <c r="K20">
        <v>47.275399999999998</v>
      </c>
      <c r="L20">
        <v>204.7945</v>
      </c>
      <c r="M20" t="s">
        <v>10</v>
      </c>
      <c r="N20" t="s">
        <v>11</v>
      </c>
      <c r="O20">
        <v>1.923</v>
      </c>
      <c r="P20">
        <v>1447.9233999999999</v>
      </c>
      <c r="Q20">
        <v>5141.5972000000002</v>
      </c>
      <c r="R20" t="s">
        <v>10</v>
      </c>
      <c r="S20" t="s">
        <v>72</v>
      </c>
      <c r="T20" s="4">
        <v>44834</v>
      </c>
      <c r="U20" s="5">
        <v>0.38942129629629635</v>
      </c>
      <c r="V20" t="s">
        <v>13</v>
      </c>
      <c r="W20">
        <v>1.163</v>
      </c>
      <c r="X20">
        <v>3678.2919999999999</v>
      </c>
      <c r="Y20">
        <v>197504.35560000001</v>
      </c>
      <c r="Z20" t="s">
        <v>1689</v>
      </c>
      <c r="AA20">
        <v>2.2130000000000001</v>
      </c>
      <c r="AB20">
        <v>674.78579999999999</v>
      </c>
      <c r="AC20">
        <v>2.5670999999999999</v>
      </c>
      <c r="AD20" t="s">
        <v>10</v>
      </c>
    </row>
    <row r="21" spans="1:30">
      <c r="A21" s="2">
        <v>20</v>
      </c>
      <c r="B21" s="3" t="s">
        <v>5</v>
      </c>
      <c r="C21" s="2" t="s">
        <v>6</v>
      </c>
      <c r="D21" s="2">
        <v>20</v>
      </c>
      <c r="E21" s="2" t="s">
        <v>73</v>
      </c>
      <c r="F21" t="s">
        <v>74</v>
      </c>
      <c r="G21" s="4">
        <v>44834</v>
      </c>
      <c r="H21" s="5">
        <v>0.39318287037037036</v>
      </c>
      <c r="I21" t="s">
        <v>9</v>
      </c>
      <c r="J21">
        <v>1.41</v>
      </c>
      <c r="K21">
        <v>0.38100000000000001</v>
      </c>
      <c r="L21">
        <v>1.9658</v>
      </c>
      <c r="M21" t="s">
        <v>10</v>
      </c>
      <c r="N21" t="s">
        <v>11</v>
      </c>
      <c r="O21">
        <v>1.9259999999999999</v>
      </c>
      <c r="P21">
        <v>116.3309</v>
      </c>
      <c r="Q21">
        <v>220.369</v>
      </c>
      <c r="R21" t="s">
        <v>10</v>
      </c>
      <c r="S21" t="s">
        <v>75</v>
      </c>
      <c r="T21" s="4">
        <v>44834</v>
      </c>
      <c r="U21" s="5">
        <v>0.39318287037037036</v>
      </c>
      <c r="V21" t="s">
        <v>13</v>
      </c>
      <c r="W21">
        <v>1.1659999999999999</v>
      </c>
      <c r="X21">
        <v>3394.7462</v>
      </c>
      <c r="Y21">
        <v>156088.9644</v>
      </c>
      <c r="Z21" t="s">
        <v>1689</v>
      </c>
      <c r="AA21">
        <v>2.226</v>
      </c>
      <c r="AB21">
        <v>70.407399999999996</v>
      </c>
      <c r="AC21">
        <v>8.9800000000000005E-2</v>
      </c>
      <c r="AD21" t="s">
        <v>10</v>
      </c>
    </row>
    <row r="22" spans="1:30">
      <c r="A22" s="2">
        <v>21</v>
      </c>
      <c r="B22" s="3" t="s">
        <v>76</v>
      </c>
      <c r="C22" s="2" t="s">
        <v>6</v>
      </c>
      <c r="D22" s="2">
        <v>21</v>
      </c>
      <c r="E22" s="2" t="s">
        <v>77</v>
      </c>
      <c r="F22" t="s">
        <v>78</v>
      </c>
      <c r="G22" s="4">
        <v>44834</v>
      </c>
      <c r="H22" s="5">
        <v>0.39693287037037034</v>
      </c>
      <c r="I22" t="s">
        <v>9</v>
      </c>
      <c r="J22">
        <v>1.4</v>
      </c>
      <c r="K22">
        <v>1169.1266000000001</v>
      </c>
      <c r="L22">
        <v>5057.0484999999999</v>
      </c>
      <c r="M22" t="s">
        <v>10</v>
      </c>
      <c r="N22" t="s">
        <v>11</v>
      </c>
      <c r="O22">
        <v>1.9259999999999999</v>
      </c>
      <c r="P22">
        <v>2576.5482000000002</v>
      </c>
      <c r="Q22">
        <v>9312.7083000000002</v>
      </c>
      <c r="R22" t="s">
        <v>10</v>
      </c>
      <c r="S22" t="s">
        <v>79</v>
      </c>
      <c r="T22" s="4">
        <v>44834</v>
      </c>
      <c r="U22" s="5">
        <v>0.39693287037037034</v>
      </c>
      <c r="V22" t="s">
        <v>13</v>
      </c>
      <c r="W22">
        <v>1.1599999999999999</v>
      </c>
      <c r="X22">
        <v>3680.6601999999998</v>
      </c>
      <c r="Y22">
        <v>197853.61470000001</v>
      </c>
      <c r="Z22" t="s">
        <v>1689</v>
      </c>
      <c r="AA22">
        <v>2.2130000000000001</v>
      </c>
      <c r="AB22">
        <v>1216.5209</v>
      </c>
      <c r="AC22">
        <v>4.7876000000000003</v>
      </c>
      <c r="AD22" t="s">
        <v>10</v>
      </c>
    </row>
    <row r="23" spans="1:30">
      <c r="A23" s="2">
        <v>22</v>
      </c>
      <c r="B23" s="3" t="s">
        <v>5</v>
      </c>
      <c r="C23" s="2" t="s">
        <v>6</v>
      </c>
      <c r="D23" s="2">
        <v>22</v>
      </c>
      <c r="E23" s="2" t="s">
        <v>80</v>
      </c>
      <c r="F23" t="s">
        <v>81</v>
      </c>
      <c r="G23" s="4">
        <v>44834</v>
      </c>
      <c r="H23" s="5">
        <v>0.40068287037037037</v>
      </c>
      <c r="I23" t="s">
        <v>9</v>
      </c>
      <c r="J23">
        <v>1.4</v>
      </c>
      <c r="K23">
        <v>1.7276</v>
      </c>
      <c r="L23">
        <v>7.7901999999999996</v>
      </c>
      <c r="M23" t="s">
        <v>10</v>
      </c>
      <c r="N23" t="s">
        <v>11</v>
      </c>
      <c r="O23">
        <v>1.9159999999999999</v>
      </c>
      <c r="P23">
        <v>99.142899999999997</v>
      </c>
      <c r="Q23">
        <v>156.84649999999999</v>
      </c>
      <c r="R23" t="s">
        <v>10</v>
      </c>
      <c r="S23" t="s">
        <v>82</v>
      </c>
      <c r="T23" s="4">
        <v>44834</v>
      </c>
      <c r="U23" s="5">
        <v>0.40068287037037037</v>
      </c>
      <c r="V23" t="s">
        <v>13</v>
      </c>
      <c r="W23">
        <v>1.1599999999999999</v>
      </c>
      <c r="X23">
        <v>3033.9261999999999</v>
      </c>
      <c r="Y23">
        <v>118166.9143</v>
      </c>
      <c r="Z23" t="s">
        <v>1689</v>
      </c>
      <c r="AA23">
        <v>2.2160000000000002</v>
      </c>
      <c r="AB23">
        <v>59.6995</v>
      </c>
      <c r="AC23">
        <v>4.5900000000000003E-2</v>
      </c>
      <c r="AD23" t="s">
        <v>10</v>
      </c>
    </row>
    <row r="24" spans="1:30">
      <c r="A24" s="2">
        <v>23</v>
      </c>
      <c r="B24" s="3" t="s">
        <v>83</v>
      </c>
      <c r="C24" s="2" t="s">
        <v>6</v>
      </c>
      <c r="D24" s="2">
        <v>23</v>
      </c>
      <c r="E24" s="2" t="s">
        <v>84</v>
      </c>
      <c r="F24" t="s">
        <v>85</v>
      </c>
      <c r="G24" s="4">
        <v>44834</v>
      </c>
      <c r="H24" s="5">
        <v>0.40443287037037035</v>
      </c>
      <c r="I24" t="s">
        <v>9</v>
      </c>
      <c r="J24">
        <v>1.383</v>
      </c>
      <c r="K24">
        <v>9889.3145000000004</v>
      </c>
      <c r="L24">
        <v>42773.785799999998</v>
      </c>
      <c r="M24" t="s">
        <v>10</v>
      </c>
      <c r="N24" t="s">
        <v>11</v>
      </c>
      <c r="O24">
        <v>1.92</v>
      </c>
      <c r="P24">
        <v>11978.617200000001</v>
      </c>
      <c r="Q24">
        <v>44060.371500000001</v>
      </c>
      <c r="R24" t="s">
        <v>10</v>
      </c>
      <c r="S24" t="s">
        <v>86</v>
      </c>
      <c r="T24" s="4">
        <v>44834</v>
      </c>
      <c r="U24" s="5">
        <v>0.40443287037037035</v>
      </c>
      <c r="V24" t="s">
        <v>13</v>
      </c>
      <c r="W24">
        <v>1.1559999999999999</v>
      </c>
      <c r="X24">
        <v>1211.9921999999999</v>
      </c>
      <c r="Y24">
        <v>11438.959000000001</v>
      </c>
      <c r="Z24" t="s">
        <v>1689</v>
      </c>
      <c r="AA24">
        <v>2.2200000000000002</v>
      </c>
      <c r="AB24">
        <v>4841.1833999999999</v>
      </c>
      <c r="AC24">
        <v>19.6447</v>
      </c>
      <c r="AD24" t="s">
        <v>10</v>
      </c>
    </row>
    <row r="25" spans="1:30">
      <c r="A25" s="2">
        <v>24</v>
      </c>
      <c r="B25" s="3" t="s">
        <v>5</v>
      </c>
      <c r="C25" s="2" t="s">
        <v>6</v>
      </c>
      <c r="D25" s="2">
        <v>24</v>
      </c>
      <c r="E25" s="2" t="s">
        <v>87</v>
      </c>
      <c r="F25" t="s">
        <v>88</v>
      </c>
      <c r="G25" s="4">
        <v>44834</v>
      </c>
      <c r="H25" s="5">
        <v>0.40818287037037032</v>
      </c>
      <c r="I25" t="s">
        <v>9</v>
      </c>
      <c r="J25">
        <v>1.4</v>
      </c>
      <c r="K25">
        <v>13.1366</v>
      </c>
      <c r="L25">
        <v>57.136600000000001</v>
      </c>
      <c r="M25" t="s">
        <v>10</v>
      </c>
      <c r="N25" t="s">
        <v>11</v>
      </c>
      <c r="O25">
        <v>1.9159999999999999</v>
      </c>
      <c r="P25">
        <v>165.08160000000001</v>
      </c>
      <c r="Q25">
        <v>400.53919999999999</v>
      </c>
      <c r="R25" t="s">
        <v>10</v>
      </c>
      <c r="S25" t="s">
        <v>89</v>
      </c>
      <c r="T25" s="4">
        <v>44834</v>
      </c>
      <c r="U25" s="5">
        <v>0.40818287037037032</v>
      </c>
      <c r="V25" t="s">
        <v>13</v>
      </c>
      <c r="W25">
        <v>1.1599999999999999</v>
      </c>
      <c r="X25">
        <v>3104.5542</v>
      </c>
      <c r="Y25">
        <v>124495.7417</v>
      </c>
      <c r="Z25" t="s">
        <v>1689</v>
      </c>
      <c r="AA25">
        <v>2.2130000000000001</v>
      </c>
      <c r="AB25">
        <v>68.955200000000005</v>
      </c>
      <c r="AC25">
        <v>8.3900000000000002E-2</v>
      </c>
      <c r="AD25" t="s">
        <v>10</v>
      </c>
    </row>
    <row r="26" spans="1:30">
      <c r="A26" s="2">
        <v>25</v>
      </c>
      <c r="B26" s="3" t="s">
        <v>5</v>
      </c>
      <c r="C26" s="2" t="s">
        <v>6</v>
      </c>
      <c r="D26" s="2">
        <v>25</v>
      </c>
      <c r="E26" s="2" t="s">
        <v>90</v>
      </c>
      <c r="F26" t="s">
        <v>91</v>
      </c>
      <c r="G26" s="4">
        <v>44834</v>
      </c>
      <c r="H26" s="5">
        <v>0.41193287037037035</v>
      </c>
      <c r="I26" t="s">
        <v>9</v>
      </c>
      <c r="J26">
        <v>1.41</v>
      </c>
      <c r="K26">
        <v>0.39700000000000002</v>
      </c>
      <c r="L26">
        <v>2.0350000000000001</v>
      </c>
      <c r="M26" t="s">
        <v>10</v>
      </c>
      <c r="N26" t="s">
        <v>11</v>
      </c>
      <c r="O26">
        <v>1.9330000000000001</v>
      </c>
      <c r="P26">
        <v>126.0158</v>
      </c>
      <c r="Q26">
        <v>256.1619</v>
      </c>
      <c r="R26" t="s">
        <v>10</v>
      </c>
      <c r="S26" t="s">
        <v>92</v>
      </c>
      <c r="T26" s="4">
        <v>44834</v>
      </c>
      <c r="U26" s="5">
        <v>0.41193287037037035</v>
      </c>
      <c r="V26" t="s">
        <v>13</v>
      </c>
      <c r="W26">
        <v>1.1659999999999999</v>
      </c>
      <c r="X26">
        <v>3083.3274000000001</v>
      </c>
      <c r="Y26">
        <v>122558.64840000001</v>
      </c>
      <c r="Z26" t="s">
        <v>1689</v>
      </c>
      <c r="AA26">
        <v>2.2330000000000001</v>
      </c>
      <c r="AB26">
        <v>55.592599999999997</v>
      </c>
      <c r="AC26">
        <v>2.9100000000000001E-2</v>
      </c>
      <c r="AD26" t="s">
        <v>10</v>
      </c>
    </row>
    <row r="27" spans="1:30">
      <c r="A27" s="2">
        <v>26</v>
      </c>
      <c r="B27" s="3" t="s">
        <v>5</v>
      </c>
      <c r="C27" s="2" t="s">
        <v>6</v>
      </c>
      <c r="D27" s="2">
        <v>26</v>
      </c>
      <c r="E27" s="2" t="s">
        <v>93</v>
      </c>
      <c r="F27" t="s">
        <v>94</v>
      </c>
      <c r="G27" s="4">
        <v>44834</v>
      </c>
      <c r="H27" s="5">
        <v>0.41568287037037038</v>
      </c>
      <c r="I27" t="s">
        <v>9</v>
      </c>
      <c r="J27">
        <v>1.41</v>
      </c>
      <c r="K27">
        <v>0.36580000000000001</v>
      </c>
      <c r="L27">
        <v>1.9000999999999999</v>
      </c>
      <c r="M27" t="s">
        <v>10</v>
      </c>
      <c r="N27" t="s">
        <v>11</v>
      </c>
      <c r="O27">
        <v>1.9330000000000001</v>
      </c>
      <c r="P27">
        <v>123.2278</v>
      </c>
      <c r="Q27">
        <v>245.85820000000001</v>
      </c>
      <c r="R27" t="s">
        <v>10</v>
      </c>
      <c r="S27" t="s">
        <v>95</v>
      </c>
      <c r="T27" s="4">
        <v>44834</v>
      </c>
      <c r="U27" s="5">
        <v>0.41568287037037038</v>
      </c>
      <c r="V27" t="s">
        <v>13</v>
      </c>
      <c r="W27">
        <v>1.1659999999999999</v>
      </c>
      <c r="X27">
        <v>3017.6134000000002</v>
      </c>
      <c r="Y27">
        <v>116767.19130000001</v>
      </c>
      <c r="Z27" t="s">
        <v>1689</v>
      </c>
      <c r="AA27">
        <v>2.2360000000000002</v>
      </c>
      <c r="AB27">
        <v>56.705800000000004</v>
      </c>
      <c r="AC27">
        <v>3.3700000000000001E-2</v>
      </c>
      <c r="AD27" t="s">
        <v>10</v>
      </c>
    </row>
    <row r="28" spans="1:30">
      <c r="A28" s="2">
        <v>27</v>
      </c>
      <c r="B28" s="3" t="s">
        <v>96</v>
      </c>
      <c r="C28" s="2" t="s">
        <v>6</v>
      </c>
      <c r="D28" s="2">
        <v>27</v>
      </c>
      <c r="E28" s="2" t="s">
        <v>97</v>
      </c>
      <c r="F28" t="s">
        <v>98</v>
      </c>
      <c r="G28" s="4">
        <v>44834</v>
      </c>
      <c r="H28" s="5">
        <v>0.41944444444444445</v>
      </c>
      <c r="I28" t="s">
        <v>9</v>
      </c>
      <c r="J28">
        <v>0</v>
      </c>
      <c r="K28">
        <v>0</v>
      </c>
      <c r="L28">
        <v>0</v>
      </c>
      <c r="M28" t="s">
        <v>10</v>
      </c>
      <c r="N28" t="s">
        <v>11</v>
      </c>
      <c r="O28">
        <v>1.93</v>
      </c>
      <c r="P28">
        <v>12.7037</v>
      </c>
      <c r="Q28">
        <v>0</v>
      </c>
      <c r="R28" t="s">
        <v>10</v>
      </c>
      <c r="S28" t="s">
        <v>99</v>
      </c>
      <c r="T28" s="4">
        <v>44834</v>
      </c>
      <c r="U28" s="5">
        <v>0.41944444444444445</v>
      </c>
      <c r="V28" t="s">
        <v>13</v>
      </c>
      <c r="W28">
        <v>1.1559999999999999</v>
      </c>
      <c r="X28">
        <v>940.11339999999996</v>
      </c>
      <c r="Y28">
        <v>0</v>
      </c>
      <c r="Z28" t="s">
        <v>1689</v>
      </c>
      <c r="AA28">
        <v>2.2400000000000002</v>
      </c>
      <c r="AB28">
        <v>6.5975999999999999</v>
      </c>
      <c r="AC28">
        <v>0</v>
      </c>
      <c r="AD28" t="s">
        <v>10</v>
      </c>
    </row>
    <row r="29" spans="1:30">
      <c r="A29" s="2">
        <v>28</v>
      </c>
      <c r="B29" s="3" t="s">
        <v>5</v>
      </c>
      <c r="C29" s="2" t="s">
        <v>6</v>
      </c>
      <c r="D29" s="2">
        <v>28</v>
      </c>
      <c r="E29" s="2" t="s">
        <v>100</v>
      </c>
      <c r="F29" t="s">
        <v>101</v>
      </c>
      <c r="G29" s="4">
        <v>44834</v>
      </c>
      <c r="H29" s="5">
        <v>0.42319444444444443</v>
      </c>
      <c r="I29" t="s">
        <v>9</v>
      </c>
      <c r="J29">
        <v>1.4159999999999999</v>
      </c>
      <c r="K29">
        <v>0.37359999999999999</v>
      </c>
      <c r="L29">
        <v>1.9338</v>
      </c>
      <c r="M29" t="s">
        <v>10</v>
      </c>
      <c r="N29" t="s">
        <v>11</v>
      </c>
      <c r="O29">
        <v>1.946</v>
      </c>
      <c r="P29">
        <v>164.9888</v>
      </c>
      <c r="Q29">
        <v>400.19619999999998</v>
      </c>
      <c r="R29" t="s">
        <v>10</v>
      </c>
      <c r="S29" t="s">
        <v>102</v>
      </c>
      <c r="T29" s="4">
        <v>44834</v>
      </c>
      <c r="U29" s="5">
        <v>0.42319444444444443</v>
      </c>
      <c r="V29" t="s">
        <v>13</v>
      </c>
      <c r="W29">
        <v>1.1659999999999999</v>
      </c>
      <c r="X29">
        <v>3179.2919999999999</v>
      </c>
      <c r="Y29">
        <v>131631.53589999999</v>
      </c>
      <c r="Z29" t="s">
        <v>1689</v>
      </c>
      <c r="AA29">
        <v>2.2530000000000001</v>
      </c>
      <c r="AB29">
        <v>57.674199999999999</v>
      </c>
      <c r="AC29">
        <v>3.7600000000000001E-2</v>
      </c>
      <c r="AD29" t="s">
        <v>10</v>
      </c>
    </row>
    <row r="30" spans="1:30">
      <c r="A30" s="2">
        <v>29</v>
      </c>
      <c r="B30" s="3" t="s">
        <v>103</v>
      </c>
      <c r="C30" s="2" t="s">
        <v>6</v>
      </c>
      <c r="D30" s="2">
        <v>29</v>
      </c>
      <c r="E30" s="2" t="s">
        <v>104</v>
      </c>
      <c r="F30" t="s">
        <v>105</v>
      </c>
      <c r="G30" s="4">
        <v>44834</v>
      </c>
      <c r="H30" s="5">
        <v>0.4269444444444444</v>
      </c>
      <c r="I30" t="s">
        <v>9</v>
      </c>
      <c r="J30">
        <v>1.413</v>
      </c>
      <c r="K30">
        <v>0.14879999999999999</v>
      </c>
      <c r="L30">
        <v>0.96150000000000002</v>
      </c>
      <c r="M30" t="s">
        <v>10</v>
      </c>
      <c r="N30" t="s">
        <v>11</v>
      </c>
      <c r="O30">
        <v>1.9430000000000001</v>
      </c>
      <c r="P30">
        <v>39.930999999999997</v>
      </c>
      <c r="Q30">
        <v>0</v>
      </c>
      <c r="R30" t="s">
        <v>10</v>
      </c>
      <c r="S30" t="s">
        <v>106</v>
      </c>
      <c r="T30" s="4">
        <v>44834</v>
      </c>
      <c r="U30" s="5">
        <v>0.4269444444444444</v>
      </c>
      <c r="V30" t="s">
        <v>13</v>
      </c>
      <c r="W30">
        <v>1.1659999999999999</v>
      </c>
      <c r="X30">
        <v>1768.8222000000001</v>
      </c>
      <c r="Y30">
        <v>37612.1999</v>
      </c>
      <c r="Z30" t="s">
        <v>1689</v>
      </c>
      <c r="AA30">
        <v>2.246</v>
      </c>
      <c r="AB30">
        <v>21.120200000000001</v>
      </c>
      <c r="AC30">
        <v>0</v>
      </c>
      <c r="AD30" t="s">
        <v>10</v>
      </c>
    </row>
    <row r="31" spans="1:30">
      <c r="A31" s="2">
        <v>30</v>
      </c>
      <c r="B31" s="3" t="s">
        <v>5</v>
      </c>
      <c r="C31" s="2" t="s">
        <v>6</v>
      </c>
      <c r="D31" s="2">
        <v>30</v>
      </c>
      <c r="E31" s="2" t="s">
        <v>107</v>
      </c>
      <c r="F31" t="s">
        <v>108</v>
      </c>
      <c r="G31" s="4">
        <v>44834</v>
      </c>
      <c r="H31" s="5">
        <v>0.43069444444444444</v>
      </c>
      <c r="I31" t="s">
        <v>9</v>
      </c>
      <c r="J31">
        <v>1.42</v>
      </c>
      <c r="K31">
        <v>0.3614</v>
      </c>
      <c r="L31">
        <v>1.8811</v>
      </c>
      <c r="M31" t="s">
        <v>10</v>
      </c>
      <c r="N31" t="s">
        <v>11</v>
      </c>
      <c r="O31">
        <v>1.95</v>
      </c>
      <c r="P31">
        <v>134.756</v>
      </c>
      <c r="Q31">
        <v>288.46350000000001</v>
      </c>
      <c r="R31" t="s">
        <v>10</v>
      </c>
      <c r="S31" t="s">
        <v>109</v>
      </c>
      <c r="T31" s="4">
        <v>44834</v>
      </c>
      <c r="U31" s="5">
        <v>0.43069444444444444</v>
      </c>
      <c r="V31" t="s">
        <v>13</v>
      </c>
      <c r="W31">
        <v>1.17</v>
      </c>
      <c r="X31">
        <v>3245.4551999999999</v>
      </c>
      <c r="Y31">
        <v>138424.45910000001</v>
      </c>
      <c r="Z31" t="s">
        <v>1689</v>
      </c>
      <c r="AA31">
        <v>2.2559999999999998</v>
      </c>
      <c r="AB31">
        <v>62.279699999999998</v>
      </c>
      <c r="AC31">
        <v>5.6500000000000002E-2</v>
      </c>
      <c r="AD31" t="s">
        <v>10</v>
      </c>
    </row>
    <row r="32" spans="1:30">
      <c r="A32" s="2">
        <v>31</v>
      </c>
      <c r="B32" s="3" t="s">
        <v>110</v>
      </c>
      <c r="C32" s="2" t="s">
        <v>6</v>
      </c>
      <c r="D32" s="2">
        <v>31</v>
      </c>
      <c r="E32" s="2" t="s">
        <v>111</v>
      </c>
      <c r="F32" t="s">
        <v>112</v>
      </c>
      <c r="G32" s="4">
        <v>44834</v>
      </c>
      <c r="H32" s="5">
        <v>0.43444444444444441</v>
      </c>
      <c r="I32" t="s">
        <v>9</v>
      </c>
      <c r="J32">
        <v>1.4059999999999999</v>
      </c>
      <c r="K32">
        <v>0.1988</v>
      </c>
      <c r="L32">
        <v>1.1778</v>
      </c>
      <c r="M32" t="s">
        <v>10</v>
      </c>
      <c r="N32" t="s">
        <v>11</v>
      </c>
      <c r="O32">
        <v>1.94</v>
      </c>
      <c r="P32">
        <v>54.900399999999998</v>
      </c>
      <c r="Q32">
        <v>0</v>
      </c>
      <c r="R32" t="s">
        <v>10</v>
      </c>
      <c r="S32" t="s">
        <v>113</v>
      </c>
      <c r="T32" s="4">
        <v>44834</v>
      </c>
      <c r="U32" s="5">
        <v>0.43444444444444441</v>
      </c>
      <c r="V32" t="s">
        <v>13</v>
      </c>
      <c r="W32">
        <v>1.1599999999999999</v>
      </c>
      <c r="X32">
        <v>2264.0079999999998</v>
      </c>
      <c r="Y32">
        <v>64358.637999999999</v>
      </c>
      <c r="Z32" t="s">
        <v>1689</v>
      </c>
      <c r="AA32">
        <v>2.246</v>
      </c>
      <c r="AB32">
        <v>33.474200000000003</v>
      </c>
      <c r="AC32">
        <v>0</v>
      </c>
      <c r="AD32" t="s">
        <v>10</v>
      </c>
    </row>
    <row r="33" spans="1:30">
      <c r="A33" s="2">
        <v>32</v>
      </c>
      <c r="B33" s="3" t="s">
        <v>5</v>
      </c>
      <c r="C33" s="2" t="s">
        <v>6</v>
      </c>
      <c r="D33" s="2">
        <v>32</v>
      </c>
      <c r="E33" s="2" t="s">
        <v>114</v>
      </c>
      <c r="F33" t="s">
        <v>115</v>
      </c>
      <c r="G33" s="4">
        <v>44834</v>
      </c>
      <c r="H33" s="5">
        <v>0.4381944444444445</v>
      </c>
      <c r="I33" t="s">
        <v>9</v>
      </c>
      <c r="J33">
        <v>1.41</v>
      </c>
      <c r="K33">
        <v>0.28299999999999997</v>
      </c>
      <c r="L33">
        <v>1.542</v>
      </c>
      <c r="M33" t="s">
        <v>10</v>
      </c>
      <c r="N33" t="s">
        <v>11</v>
      </c>
      <c r="O33">
        <v>1.9430000000000001</v>
      </c>
      <c r="P33">
        <v>149.32140000000001</v>
      </c>
      <c r="Q33">
        <v>342.29349999999999</v>
      </c>
      <c r="R33" t="s">
        <v>10</v>
      </c>
      <c r="S33" t="s">
        <v>116</v>
      </c>
      <c r="T33" s="4">
        <v>44834</v>
      </c>
      <c r="U33" s="5">
        <v>0.4381944444444445</v>
      </c>
      <c r="V33" t="s">
        <v>13</v>
      </c>
      <c r="W33">
        <v>1.1599999999999999</v>
      </c>
      <c r="X33">
        <v>3056.5934999999999</v>
      </c>
      <c r="Y33">
        <v>120118.9938</v>
      </c>
      <c r="Z33" t="s">
        <v>1689</v>
      </c>
      <c r="AA33">
        <v>2.25</v>
      </c>
      <c r="AB33">
        <v>56.562899999999999</v>
      </c>
      <c r="AC33">
        <v>3.3099999999999997E-2</v>
      </c>
      <c r="AD33" t="s">
        <v>10</v>
      </c>
    </row>
    <row r="34" spans="1:30">
      <c r="A34" s="2">
        <v>33</v>
      </c>
      <c r="B34" s="3" t="s">
        <v>117</v>
      </c>
      <c r="C34" s="2" t="s">
        <v>6</v>
      </c>
      <c r="D34" s="2">
        <v>33</v>
      </c>
      <c r="E34" s="2" t="s">
        <v>118</v>
      </c>
      <c r="F34" t="s">
        <v>119</v>
      </c>
      <c r="G34" s="4">
        <v>44834</v>
      </c>
      <c r="H34" s="5">
        <v>0.44193287037037038</v>
      </c>
      <c r="I34" t="s">
        <v>9</v>
      </c>
      <c r="J34">
        <v>1.4059999999999999</v>
      </c>
      <c r="K34">
        <v>0.29349999999999998</v>
      </c>
      <c r="L34">
        <v>1.5873999999999999</v>
      </c>
      <c r="M34" t="s">
        <v>10</v>
      </c>
      <c r="N34" t="s">
        <v>11</v>
      </c>
      <c r="O34">
        <v>1.9359999999999999</v>
      </c>
      <c r="P34">
        <v>93.245999999999995</v>
      </c>
      <c r="Q34">
        <v>135.053</v>
      </c>
      <c r="R34" t="s">
        <v>10</v>
      </c>
      <c r="S34" t="s">
        <v>120</v>
      </c>
      <c r="T34" s="4">
        <v>44834</v>
      </c>
      <c r="U34" s="5">
        <v>0.44193287037037038</v>
      </c>
      <c r="V34" t="s">
        <v>13</v>
      </c>
      <c r="W34">
        <v>1.1559999999999999</v>
      </c>
      <c r="X34">
        <v>2677.8557999999998</v>
      </c>
      <c r="Y34">
        <v>90646.030499999993</v>
      </c>
      <c r="Z34" t="s">
        <v>1689</v>
      </c>
      <c r="AA34">
        <v>2.246</v>
      </c>
      <c r="AB34">
        <v>48.035200000000003</v>
      </c>
      <c r="AC34">
        <v>0</v>
      </c>
      <c r="AD34" t="s">
        <v>10</v>
      </c>
    </row>
    <row r="35" spans="1:30">
      <c r="A35" s="2">
        <v>34</v>
      </c>
      <c r="B35" s="3" t="s">
        <v>5</v>
      </c>
      <c r="C35" s="2" t="s">
        <v>6</v>
      </c>
      <c r="D35" s="2">
        <v>34</v>
      </c>
      <c r="E35" s="2" t="s">
        <v>121</v>
      </c>
      <c r="F35" t="s">
        <v>122</v>
      </c>
      <c r="G35" s="4">
        <v>44834</v>
      </c>
      <c r="H35" s="5">
        <v>0.44568287037037035</v>
      </c>
      <c r="I35" t="s">
        <v>9</v>
      </c>
      <c r="J35">
        <v>1.4159999999999999</v>
      </c>
      <c r="K35">
        <v>0.39019999999999999</v>
      </c>
      <c r="L35">
        <v>2.0055999999999998</v>
      </c>
      <c r="M35" t="s">
        <v>10</v>
      </c>
      <c r="N35" t="s">
        <v>11</v>
      </c>
      <c r="O35">
        <v>1.9530000000000001</v>
      </c>
      <c r="P35">
        <v>143.18450000000001</v>
      </c>
      <c r="Q35">
        <v>319.61309999999997</v>
      </c>
      <c r="R35" t="s">
        <v>10</v>
      </c>
      <c r="S35" t="s">
        <v>123</v>
      </c>
      <c r="T35" s="4">
        <v>44834</v>
      </c>
      <c r="U35" s="5">
        <v>0.44568287037037035</v>
      </c>
      <c r="V35" t="s">
        <v>13</v>
      </c>
      <c r="W35">
        <v>1.17</v>
      </c>
      <c r="X35">
        <v>3355.9061999999999</v>
      </c>
      <c r="Y35">
        <v>151102.0582</v>
      </c>
      <c r="Z35" t="s">
        <v>1689</v>
      </c>
      <c r="AA35">
        <v>2.2599999999999998</v>
      </c>
      <c r="AB35">
        <v>68.574600000000004</v>
      </c>
      <c r="AC35">
        <v>8.2299999999999998E-2</v>
      </c>
      <c r="AD35" t="s">
        <v>10</v>
      </c>
    </row>
    <row r="36" spans="1:30">
      <c r="A36" s="2">
        <v>35</v>
      </c>
      <c r="B36" s="3" t="s">
        <v>124</v>
      </c>
      <c r="C36" s="2" t="s">
        <v>6</v>
      </c>
      <c r="D36" s="2">
        <v>35</v>
      </c>
      <c r="E36" s="2" t="s">
        <v>125</v>
      </c>
      <c r="F36" t="s">
        <v>126</v>
      </c>
      <c r="G36" s="4">
        <v>44834</v>
      </c>
      <c r="H36" s="5">
        <v>0.44942129629629629</v>
      </c>
      <c r="I36" t="s">
        <v>9</v>
      </c>
      <c r="J36">
        <v>1.4</v>
      </c>
      <c r="K36">
        <v>0.40350000000000003</v>
      </c>
      <c r="L36">
        <v>2.0630999999999999</v>
      </c>
      <c r="M36" t="s">
        <v>10</v>
      </c>
      <c r="N36" t="s">
        <v>11</v>
      </c>
      <c r="O36">
        <v>1.93</v>
      </c>
      <c r="P36">
        <v>101.3862</v>
      </c>
      <c r="Q36">
        <v>165.13720000000001</v>
      </c>
      <c r="R36" t="s">
        <v>10</v>
      </c>
      <c r="S36" t="s">
        <v>127</v>
      </c>
      <c r="T36" s="4">
        <v>44834</v>
      </c>
      <c r="U36" s="5">
        <v>0.44942129629629629</v>
      </c>
      <c r="V36" t="s">
        <v>13</v>
      </c>
      <c r="W36">
        <v>1.1559999999999999</v>
      </c>
      <c r="X36">
        <v>2961.9964</v>
      </c>
      <c r="Y36">
        <v>112070.413</v>
      </c>
      <c r="Z36" t="s">
        <v>1689</v>
      </c>
      <c r="AA36">
        <v>2.2330000000000001</v>
      </c>
      <c r="AB36">
        <v>62.127600000000001</v>
      </c>
      <c r="AC36">
        <v>5.5899999999999998E-2</v>
      </c>
      <c r="AD36" t="s">
        <v>10</v>
      </c>
    </row>
    <row r="37" spans="1:30">
      <c r="A37" s="2">
        <v>36</v>
      </c>
      <c r="B37" s="3" t="s">
        <v>5</v>
      </c>
      <c r="C37" s="2" t="s">
        <v>6</v>
      </c>
      <c r="D37" s="2">
        <v>36</v>
      </c>
      <c r="E37" s="2" t="s">
        <v>128</v>
      </c>
      <c r="F37" t="s">
        <v>129</v>
      </c>
      <c r="G37" s="4">
        <v>44834</v>
      </c>
      <c r="H37" s="5">
        <v>0.45317129629629632</v>
      </c>
      <c r="I37" t="s">
        <v>9</v>
      </c>
      <c r="J37">
        <v>1.4059999999999999</v>
      </c>
      <c r="K37">
        <v>0.33379999999999999</v>
      </c>
      <c r="L37">
        <v>1.7617</v>
      </c>
      <c r="M37" t="s">
        <v>10</v>
      </c>
      <c r="N37" t="s">
        <v>11</v>
      </c>
      <c r="O37">
        <v>1.94</v>
      </c>
      <c r="P37">
        <v>117.27630000000001</v>
      </c>
      <c r="Q37">
        <v>223.8629</v>
      </c>
      <c r="R37" t="s">
        <v>10</v>
      </c>
      <c r="S37" t="s">
        <v>130</v>
      </c>
      <c r="T37" s="4">
        <v>44834</v>
      </c>
      <c r="U37" s="5">
        <v>0.45317129629629632</v>
      </c>
      <c r="V37" t="s">
        <v>13</v>
      </c>
      <c r="W37">
        <v>1.1599999999999999</v>
      </c>
      <c r="X37">
        <v>2936.8861999999999</v>
      </c>
      <c r="Y37">
        <v>110037.288</v>
      </c>
      <c r="Z37" t="s">
        <v>1689</v>
      </c>
      <c r="AA37">
        <v>2.246</v>
      </c>
      <c r="AB37">
        <v>53.918999999999997</v>
      </c>
      <c r="AC37">
        <v>2.2200000000000001E-2</v>
      </c>
      <c r="AD37" t="s">
        <v>10</v>
      </c>
    </row>
    <row r="38" spans="1:30">
      <c r="A38" s="2">
        <v>37</v>
      </c>
      <c r="B38" s="3" t="s">
        <v>131</v>
      </c>
      <c r="C38" s="2" t="s">
        <v>6</v>
      </c>
      <c r="D38" s="2">
        <v>37</v>
      </c>
      <c r="E38" s="2" t="s">
        <v>132</v>
      </c>
      <c r="F38" t="s">
        <v>133</v>
      </c>
      <c r="G38" s="4">
        <v>44834</v>
      </c>
      <c r="H38" s="5">
        <v>0.4569212962962963</v>
      </c>
      <c r="I38" t="s">
        <v>9</v>
      </c>
      <c r="J38">
        <v>1.403</v>
      </c>
      <c r="K38">
        <v>0.45540000000000003</v>
      </c>
      <c r="L38">
        <v>2.2875999999999999</v>
      </c>
      <c r="M38" t="s">
        <v>10</v>
      </c>
      <c r="N38" t="s">
        <v>11</v>
      </c>
      <c r="O38">
        <v>1.9359999999999999</v>
      </c>
      <c r="P38">
        <v>113.7486</v>
      </c>
      <c r="Q38">
        <v>210.82550000000001</v>
      </c>
      <c r="R38" t="s">
        <v>10</v>
      </c>
      <c r="S38" t="s">
        <v>134</v>
      </c>
      <c r="T38" s="4">
        <v>44834</v>
      </c>
      <c r="U38" s="5">
        <v>0.4569212962962963</v>
      </c>
      <c r="V38" t="s">
        <v>13</v>
      </c>
      <c r="W38">
        <v>1.1559999999999999</v>
      </c>
      <c r="X38">
        <v>3321.0814</v>
      </c>
      <c r="Y38">
        <v>146841.16099999999</v>
      </c>
      <c r="Z38" t="s">
        <v>1689</v>
      </c>
      <c r="AA38">
        <v>2.246</v>
      </c>
      <c r="AB38">
        <v>72.868399999999994</v>
      </c>
      <c r="AC38">
        <v>9.9900000000000003E-2</v>
      </c>
      <c r="AD38" t="s">
        <v>10</v>
      </c>
    </row>
    <row r="39" spans="1:30">
      <c r="A39" s="2">
        <v>38</v>
      </c>
      <c r="B39" s="3" t="s">
        <v>5</v>
      </c>
      <c r="C39" s="2" t="s">
        <v>6</v>
      </c>
      <c r="D39" s="2">
        <v>38</v>
      </c>
      <c r="E39" s="2" t="s">
        <v>135</v>
      </c>
      <c r="F39" t="s">
        <v>136</v>
      </c>
      <c r="G39" s="4">
        <v>44834</v>
      </c>
      <c r="H39" s="5">
        <v>0.46067129629629627</v>
      </c>
      <c r="I39" t="s">
        <v>9</v>
      </c>
      <c r="J39">
        <v>1.413</v>
      </c>
      <c r="K39">
        <v>0.34799999999999998</v>
      </c>
      <c r="L39">
        <v>1.8230999999999999</v>
      </c>
      <c r="M39" t="s">
        <v>10</v>
      </c>
      <c r="N39" t="s">
        <v>11</v>
      </c>
      <c r="O39">
        <v>1.946</v>
      </c>
      <c r="P39">
        <v>98.2</v>
      </c>
      <c r="Q39">
        <v>153.36179999999999</v>
      </c>
      <c r="R39" t="s">
        <v>10</v>
      </c>
      <c r="S39" t="s">
        <v>137</v>
      </c>
      <c r="T39" s="4">
        <v>44834</v>
      </c>
      <c r="U39" s="5">
        <v>0.46067129629629627</v>
      </c>
      <c r="V39" t="s">
        <v>13</v>
      </c>
      <c r="W39">
        <v>1.1659999999999999</v>
      </c>
      <c r="X39">
        <v>3115.0796</v>
      </c>
      <c r="Y39">
        <v>125456.25780000001</v>
      </c>
      <c r="Z39" t="s">
        <v>1689</v>
      </c>
      <c r="AA39">
        <v>2.2559999999999998</v>
      </c>
      <c r="AB39">
        <v>58.106200000000001</v>
      </c>
      <c r="AC39">
        <v>3.9399999999999998E-2</v>
      </c>
      <c r="AD39" t="s">
        <v>10</v>
      </c>
    </row>
    <row r="40" spans="1:30">
      <c r="A40" s="2">
        <v>39</v>
      </c>
      <c r="B40" s="3" t="s">
        <v>138</v>
      </c>
      <c r="C40" s="2" t="s">
        <v>6</v>
      </c>
      <c r="D40" s="2">
        <v>39</v>
      </c>
      <c r="E40" s="2" t="s">
        <v>139</v>
      </c>
      <c r="F40" t="s">
        <v>140</v>
      </c>
      <c r="G40" s="4">
        <v>44834</v>
      </c>
      <c r="H40" s="5">
        <v>0.46440972222222227</v>
      </c>
      <c r="I40" t="s">
        <v>9</v>
      </c>
      <c r="J40">
        <v>1.403</v>
      </c>
      <c r="K40">
        <v>0.53779999999999994</v>
      </c>
      <c r="L40">
        <v>2.6440000000000001</v>
      </c>
      <c r="M40" t="s">
        <v>10</v>
      </c>
      <c r="N40" t="s">
        <v>11</v>
      </c>
      <c r="O40">
        <v>1.9359999999999999</v>
      </c>
      <c r="P40">
        <v>138.17060000000001</v>
      </c>
      <c r="Q40">
        <v>301.08300000000003</v>
      </c>
      <c r="R40" t="s">
        <v>10</v>
      </c>
      <c r="S40" t="s">
        <v>141</v>
      </c>
      <c r="T40" s="4">
        <v>44834</v>
      </c>
      <c r="U40" s="5">
        <v>0.46440972222222227</v>
      </c>
      <c r="V40" t="s">
        <v>13</v>
      </c>
      <c r="W40">
        <v>1.1599999999999999</v>
      </c>
      <c r="X40">
        <v>3632.2024999999999</v>
      </c>
      <c r="Y40">
        <v>190707.1336</v>
      </c>
      <c r="Z40" t="s">
        <v>1689</v>
      </c>
      <c r="AA40">
        <v>2.246</v>
      </c>
      <c r="AB40">
        <v>90.689400000000006</v>
      </c>
      <c r="AC40">
        <v>0.17299999999999999</v>
      </c>
      <c r="AD40" t="s">
        <v>10</v>
      </c>
    </row>
    <row r="41" spans="1:30">
      <c r="A41" s="2">
        <v>40</v>
      </c>
      <c r="B41" s="3" t="s">
        <v>5</v>
      </c>
      <c r="C41" s="2" t="s">
        <v>6</v>
      </c>
      <c r="D41" s="2">
        <v>40</v>
      </c>
      <c r="E41" s="2" t="s">
        <v>142</v>
      </c>
      <c r="F41" t="s">
        <v>143</v>
      </c>
      <c r="G41" s="4">
        <v>44834</v>
      </c>
      <c r="H41" s="5">
        <v>0.46815972222222224</v>
      </c>
      <c r="I41" t="s">
        <v>9</v>
      </c>
      <c r="J41">
        <v>1.4059999999999999</v>
      </c>
      <c r="K41">
        <v>0.33979999999999999</v>
      </c>
      <c r="L41">
        <v>1.7876000000000001</v>
      </c>
      <c r="M41" t="s">
        <v>10</v>
      </c>
      <c r="N41" t="s">
        <v>11</v>
      </c>
      <c r="O41">
        <v>1.94</v>
      </c>
      <c r="P41">
        <v>99.265000000000001</v>
      </c>
      <c r="Q41">
        <v>157.29769999999999</v>
      </c>
      <c r="R41" t="s">
        <v>10</v>
      </c>
      <c r="S41" t="s">
        <v>144</v>
      </c>
      <c r="T41" s="4">
        <v>44834</v>
      </c>
      <c r="U41" s="5">
        <v>0.46815972222222224</v>
      </c>
      <c r="V41" t="s">
        <v>13</v>
      </c>
      <c r="W41">
        <v>1.1599999999999999</v>
      </c>
      <c r="X41">
        <v>3120.2361999999998</v>
      </c>
      <c r="Y41">
        <v>125926.83349999999</v>
      </c>
      <c r="Z41" t="s">
        <v>1689</v>
      </c>
      <c r="AA41">
        <v>2.246</v>
      </c>
      <c r="AB41">
        <v>64.375500000000002</v>
      </c>
      <c r="AC41">
        <v>6.5100000000000005E-2</v>
      </c>
      <c r="AD41" t="s">
        <v>10</v>
      </c>
    </row>
    <row r="42" spans="1:30">
      <c r="A42" s="2">
        <v>41</v>
      </c>
      <c r="B42" s="3" t="s">
        <v>5</v>
      </c>
      <c r="C42" s="2" t="s">
        <v>6</v>
      </c>
      <c r="D42" s="2">
        <v>41</v>
      </c>
      <c r="E42" s="2" t="s">
        <v>145</v>
      </c>
      <c r="F42" t="s">
        <v>146</v>
      </c>
      <c r="G42" s="4">
        <v>44834</v>
      </c>
      <c r="H42" s="5">
        <v>0.47192129629629626</v>
      </c>
      <c r="I42" t="s">
        <v>9</v>
      </c>
      <c r="J42">
        <v>1.4159999999999999</v>
      </c>
      <c r="K42">
        <v>0.3589</v>
      </c>
      <c r="L42">
        <v>1.8702000000000001</v>
      </c>
      <c r="M42" t="s">
        <v>10</v>
      </c>
      <c r="N42" t="s">
        <v>11</v>
      </c>
      <c r="O42">
        <v>1.95</v>
      </c>
      <c r="P42">
        <v>110.70740000000001</v>
      </c>
      <c r="Q42">
        <v>199.58600000000001</v>
      </c>
      <c r="R42" t="s">
        <v>10</v>
      </c>
      <c r="S42" t="s">
        <v>147</v>
      </c>
      <c r="T42" s="4">
        <v>44834</v>
      </c>
      <c r="U42" s="5">
        <v>0.47192129629629626</v>
      </c>
      <c r="V42" t="s">
        <v>13</v>
      </c>
      <c r="W42">
        <v>1.1659999999999999</v>
      </c>
      <c r="X42">
        <v>3284.6673000000001</v>
      </c>
      <c r="Y42">
        <v>142721.856</v>
      </c>
      <c r="Z42" t="s">
        <v>1689</v>
      </c>
      <c r="AA42">
        <v>2.2599999999999998</v>
      </c>
      <c r="AB42">
        <v>66.504599999999996</v>
      </c>
      <c r="AC42">
        <v>7.3800000000000004E-2</v>
      </c>
      <c r="AD42" t="s">
        <v>10</v>
      </c>
    </row>
    <row r="43" spans="1:30">
      <c r="A43" s="2">
        <v>42</v>
      </c>
      <c r="B43" s="3" t="s">
        <v>5</v>
      </c>
      <c r="C43" s="2" t="s">
        <v>6</v>
      </c>
      <c r="D43" s="2">
        <v>42</v>
      </c>
      <c r="E43" s="2" t="s">
        <v>148</v>
      </c>
      <c r="F43" t="s">
        <v>149</v>
      </c>
      <c r="G43" s="4">
        <v>44834</v>
      </c>
      <c r="H43" s="5">
        <v>0.47565972222222225</v>
      </c>
      <c r="I43" t="s">
        <v>9</v>
      </c>
      <c r="J43">
        <v>1.4059999999999999</v>
      </c>
      <c r="K43">
        <v>0.32900000000000001</v>
      </c>
      <c r="L43">
        <v>1.7408999999999999</v>
      </c>
      <c r="M43" t="s">
        <v>10</v>
      </c>
      <c r="N43" t="s">
        <v>11</v>
      </c>
      <c r="O43">
        <v>1.9359999999999999</v>
      </c>
      <c r="P43">
        <v>99.654799999999994</v>
      </c>
      <c r="Q43">
        <v>158.73830000000001</v>
      </c>
      <c r="R43" t="s">
        <v>10</v>
      </c>
      <c r="S43" t="s">
        <v>150</v>
      </c>
      <c r="T43" s="4">
        <v>44834</v>
      </c>
      <c r="U43" s="5">
        <v>0.47565972222222225</v>
      </c>
      <c r="V43" t="s">
        <v>13</v>
      </c>
      <c r="W43">
        <v>1.1559999999999999</v>
      </c>
      <c r="X43">
        <v>3004.518</v>
      </c>
      <c r="Y43">
        <v>115643.5379</v>
      </c>
      <c r="Z43" t="s">
        <v>1689</v>
      </c>
      <c r="AA43">
        <v>2.2429999999999999</v>
      </c>
      <c r="AB43">
        <v>56.7624</v>
      </c>
      <c r="AC43">
        <v>3.39E-2</v>
      </c>
      <c r="AD43" t="s">
        <v>10</v>
      </c>
    </row>
    <row r="44" spans="1:30">
      <c r="A44" s="2">
        <v>43</v>
      </c>
      <c r="B44" s="3" t="s">
        <v>151</v>
      </c>
      <c r="C44" s="2" t="s">
        <v>6</v>
      </c>
      <c r="D44" s="2">
        <v>43</v>
      </c>
      <c r="E44" s="2" t="s">
        <v>152</v>
      </c>
      <c r="F44" t="s">
        <v>153</v>
      </c>
      <c r="G44" s="4">
        <v>44834</v>
      </c>
      <c r="H44" s="5">
        <v>0.47942129629629626</v>
      </c>
      <c r="I44" t="s">
        <v>9</v>
      </c>
      <c r="J44">
        <v>0</v>
      </c>
      <c r="K44">
        <v>0</v>
      </c>
      <c r="L44">
        <v>0</v>
      </c>
      <c r="M44" t="s">
        <v>10</v>
      </c>
      <c r="N44" t="s">
        <v>11</v>
      </c>
      <c r="O44">
        <v>1.9359999999999999</v>
      </c>
      <c r="P44">
        <v>8.9723000000000006</v>
      </c>
      <c r="Q44">
        <v>0</v>
      </c>
      <c r="R44" t="s">
        <v>10</v>
      </c>
      <c r="S44" t="s">
        <v>154</v>
      </c>
      <c r="T44" s="4">
        <v>44834</v>
      </c>
      <c r="U44" s="5">
        <v>0.47942129629629626</v>
      </c>
      <c r="V44" t="s">
        <v>13</v>
      </c>
      <c r="W44">
        <v>1.153</v>
      </c>
      <c r="X44">
        <v>781.4982</v>
      </c>
      <c r="Y44">
        <v>0</v>
      </c>
      <c r="Z44" t="s">
        <v>1689</v>
      </c>
      <c r="AA44">
        <v>0</v>
      </c>
      <c r="AB44">
        <v>0</v>
      </c>
      <c r="AC44">
        <v>0</v>
      </c>
      <c r="AD44" t="s">
        <v>10</v>
      </c>
    </row>
    <row r="45" spans="1:30">
      <c r="A45" s="2">
        <v>44</v>
      </c>
      <c r="B45" s="3" t="s">
        <v>5</v>
      </c>
      <c r="C45" s="2" t="s">
        <v>6</v>
      </c>
      <c r="D45" s="2">
        <v>44</v>
      </c>
      <c r="E45" s="2" t="s">
        <v>155</v>
      </c>
      <c r="F45" t="s">
        <v>156</v>
      </c>
      <c r="G45" s="4">
        <v>44834</v>
      </c>
      <c r="H45" s="5">
        <v>0.48317129629629635</v>
      </c>
      <c r="I45" t="s">
        <v>9</v>
      </c>
      <c r="J45">
        <v>1.4059999999999999</v>
      </c>
      <c r="K45">
        <v>0.36880000000000002</v>
      </c>
      <c r="L45">
        <v>1.9131</v>
      </c>
      <c r="M45" t="s">
        <v>10</v>
      </c>
      <c r="N45" t="s">
        <v>11</v>
      </c>
      <c r="O45">
        <v>1.9359999999999999</v>
      </c>
      <c r="P45">
        <v>109.414</v>
      </c>
      <c r="Q45">
        <v>194.80590000000001</v>
      </c>
      <c r="R45" t="s">
        <v>10</v>
      </c>
      <c r="S45" t="s">
        <v>157</v>
      </c>
      <c r="T45" s="4">
        <v>44834</v>
      </c>
      <c r="U45" s="5">
        <v>0.48317129629629635</v>
      </c>
      <c r="V45" t="s">
        <v>13</v>
      </c>
      <c r="W45">
        <v>1.1599999999999999</v>
      </c>
      <c r="X45">
        <v>3130.1727999999998</v>
      </c>
      <c r="Y45">
        <v>126844.94289999999</v>
      </c>
      <c r="Z45" t="s">
        <v>1689</v>
      </c>
      <c r="AA45">
        <v>2.246</v>
      </c>
      <c r="AB45">
        <v>63.515799999999999</v>
      </c>
      <c r="AC45">
        <v>6.1600000000000002E-2</v>
      </c>
      <c r="AD45" t="s">
        <v>10</v>
      </c>
    </row>
    <row r="46" spans="1:30">
      <c r="A46" s="2">
        <v>45</v>
      </c>
      <c r="B46" s="3" t="s">
        <v>158</v>
      </c>
      <c r="C46" s="2" t="s">
        <v>6</v>
      </c>
      <c r="D46" s="2">
        <v>45</v>
      </c>
      <c r="E46" s="2" t="s">
        <v>159</v>
      </c>
      <c r="F46" t="s">
        <v>160</v>
      </c>
      <c r="G46" s="4">
        <v>44834</v>
      </c>
      <c r="H46" s="5">
        <v>0.48692129629629632</v>
      </c>
      <c r="I46" t="s">
        <v>9</v>
      </c>
      <c r="J46">
        <v>0</v>
      </c>
      <c r="K46">
        <v>0</v>
      </c>
      <c r="L46">
        <v>0</v>
      </c>
      <c r="M46" t="s">
        <v>10</v>
      </c>
      <c r="N46" t="s">
        <v>11</v>
      </c>
      <c r="O46">
        <v>1.9359999999999999</v>
      </c>
      <c r="P46">
        <v>16.661999999999999</v>
      </c>
      <c r="Q46">
        <v>0</v>
      </c>
      <c r="R46" t="s">
        <v>10</v>
      </c>
      <c r="S46" t="s">
        <v>161</v>
      </c>
      <c r="T46" s="4">
        <v>44834</v>
      </c>
      <c r="U46" s="5">
        <v>0.48692129629629632</v>
      </c>
      <c r="V46" t="s">
        <v>13</v>
      </c>
      <c r="W46">
        <v>1.1559999999999999</v>
      </c>
      <c r="X46">
        <v>1655.3430000000001</v>
      </c>
      <c r="Y46">
        <v>31987.663100000002</v>
      </c>
      <c r="Z46" t="s">
        <v>1689</v>
      </c>
      <c r="AA46">
        <v>2.2429999999999999</v>
      </c>
      <c r="AB46">
        <v>6.0114000000000001</v>
      </c>
      <c r="AC46">
        <v>0</v>
      </c>
      <c r="AD46" t="s">
        <v>10</v>
      </c>
    </row>
    <row r="47" spans="1:30">
      <c r="A47" s="2">
        <v>46</v>
      </c>
      <c r="B47" s="3" t="s">
        <v>5</v>
      </c>
      <c r="C47" s="2" t="s">
        <v>6</v>
      </c>
      <c r="D47" s="2">
        <v>46</v>
      </c>
      <c r="E47" s="2" t="s">
        <v>162</v>
      </c>
      <c r="F47" t="s">
        <v>163</v>
      </c>
      <c r="G47" s="4">
        <v>44834</v>
      </c>
      <c r="H47" s="5">
        <v>0.4906712962962963</v>
      </c>
      <c r="I47" t="s">
        <v>9</v>
      </c>
      <c r="J47">
        <v>1.41</v>
      </c>
      <c r="K47">
        <v>0.32579999999999998</v>
      </c>
      <c r="L47">
        <v>1.7271000000000001</v>
      </c>
      <c r="M47" t="s">
        <v>10</v>
      </c>
      <c r="N47" t="s">
        <v>11</v>
      </c>
      <c r="O47">
        <v>1.95</v>
      </c>
      <c r="P47">
        <v>97.729500000000002</v>
      </c>
      <c r="Q47">
        <v>151.62289999999999</v>
      </c>
      <c r="R47" t="s">
        <v>10</v>
      </c>
      <c r="S47" t="s">
        <v>164</v>
      </c>
      <c r="T47" s="4">
        <v>44834</v>
      </c>
      <c r="U47" s="5">
        <v>0.4906712962962963</v>
      </c>
      <c r="V47" t="s">
        <v>13</v>
      </c>
      <c r="W47">
        <v>1.163</v>
      </c>
      <c r="X47">
        <v>3085.0012000000002</v>
      </c>
      <c r="Y47">
        <v>122711.3943</v>
      </c>
      <c r="Z47" t="s">
        <v>1689</v>
      </c>
      <c r="AA47">
        <v>2.2559999999999998</v>
      </c>
      <c r="AB47">
        <v>57.855800000000002</v>
      </c>
      <c r="AC47">
        <v>3.8399999999999997E-2</v>
      </c>
      <c r="AD47" t="s">
        <v>10</v>
      </c>
    </row>
    <row r="48" spans="1:30">
      <c r="A48" s="2">
        <v>47</v>
      </c>
      <c r="B48" s="3" t="s">
        <v>165</v>
      </c>
      <c r="C48" s="2" t="s">
        <v>6</v>
      </c>
      <c r="D48" s="2">
        <v>47</v>
      </c>
      <c r="E48" s="2" t="s">
        <v>166</v>
      </c>
      <c r="F48" t="s">
        <v>167</v>
      </c>
      <c r="G48" s="4">
        <v>44834</v>
      </c>
      <c r="H48" s="5">
        <v>0.49442129629629633</v>
      </c>
      <c r="I48" t="s">
        <v>9</v>
      </c>
      <c r="J48">
        <v>0</v>
      </c>
      <c r="K48">
        <v>0</v>
      </c>
      <c r="L48">
        <v>0</v>
      </c>
      <c r="M48" t="s">
        <v>10</v>
      </c>
      <c r="N48" t="s">
        <v>11</v>
      </c>
      <c r="O48">
        <v>1.9359999999999999</v>
      </c>
      <c r="P48">
        <v>13.303699999999999</v>
      </c>
      <c r="Q48">
        <v>0</v>
      </c>
      <c r="R48" t="s">
        <v>10</v>
      </c>
      <c r="S48" t="s">
        <v>168</v>
      </c>
      <c r="T48" s="4">
        <v>44834</v>
      </c>
      <c r="U48" s="5">
        <v>0.49442129629629633</v>
      </c>
      <c r="V48" t="s">
        <v>13</v>
      </c>
      <c r="W48">
        <v>1.1559999999999999</v>
      </c>
      <c r="X48">
        <v>2049.4194000000002</v>
      </c>
      <c r="Y48">
        <v>52256.621599999999</v>
      </c>
      <c r="Z48" t="s">
        <v>1689</v>
      </c>
      <c r="AA48">
        <v>2.246</v>
      </c>
      <c r="AB48">
        <v>7.3667999999999996</v>
      </c>
      <c r="AC48">
        <v>0</v>
      </c>
      <c r="AD48" t="s">
        <v>10</v>
      </c>
    </row>
    <row r="49" spans="1:30">
      <c r="A49" s="2">
        <v>48</v>
      </c>
      <c r="B49" s="3" t="s">
        <v>5</v>
      </c>
      <c r="C49" s="2" t="s">
        <v>6</v>
      </c>
      <c r="D49" s="2">
        <v>48</v>
      </c>
      <c r="E49" s="2" t="s">
        <v>169</v>
      </c>
      <c r="F49" t="s">
        <v>170</v>
      </c>
      <c r="G49" s="4">
        <v>44834</v>
      </c>
      <c r="H49" s="5">
        <v>0.49815972222222221</v>
      </c>
      <c r="I49" t="s">
        <v>9</v>
      </c>
      <c r="J49">
        <v>1.4159999999999999</v>
      </c>
      <c r="K49">
        <v>0.34179999999999999</v>
      </c>
      <c r="L49">
        <v>1.7963</v>
      </c>
      <c r="M49" t="s">
        <v>10</v>
      </c>
      <c r="N49" t="s">
        <v>11</v>
      </c>
      <c r="O49">
        <v>1.9530000000000001</v>
      </c>
      <c r="P49">
        <v>106.7157</v>
      </c>
      <c r="Q49">
        <v>184.83359999999999</v>
      </c>
      <c r="R49" t="s">
        <v>10</v>
      </c>
      <c r="S49" t="s">
        <v>171</v>
      </c>
      <c r="T49" s="4">
        <v>44834</v>
      </c>
      <c r="U49" s="5">
        <v>0.49815972222222221</v>
      </c>
      <c r="V49" t="s">
        <v>13</v>
      </c>
      <c r="W49">
        <v>1.1659999999999999</v>
      </c>
      <c r="X49">
        <v>3192.3065999999999</v>
      </c>
      <c r="Y49">
        <v>132899.7893</v>
      </c>
      <c r="Z49" t="s">
        <v>1689</v>
      </c>
      <c r="AA49">
        <v>2.2629999999999999</v>
      </c>
      <c r="AB49">
        <v>65.989000000000004</v>
      </c>
      <c r="AC49">
        <v>7.17E-2</v>
      </c>
      <c r="AD49" t="s">
        <v>10</v>
      </c>
    </row>
    <row r="50" spans="1:30">
      <c r="A50" s="2">
        <v>49</v>
      </c>
      <c r="B50" s="3" t="s">
        <v>172</v>
      </c>
      <c r="C50" s="2" t="s">
        <v>6</v>
      </c>
      <c r="D50" s="2">
        <v>49</v>
      </c>
      <c r="E50" s="2" t="s">
        <v>173</v>
      </c>
      <c r="F50" t="s">
        <v>174</v>
      </c>
      <c r="G50" s="4">
        <v>44834</v>
      </c>
      <c r="H50" s="5">
        <v>0.50190972222222219</v>
      </c>
      <c r="I50" t="s">
        <v>9</v>
      </c>
      <c r="J50">
        <v>0</v>
      </c>
      <c r="K50">
        <v>0</v>
      </c>
      <c r="L50">
        <v>0</v>
      </c>
      <c r="M50" t="s">
        <v>10</v>
      </c>
      <c r="N50" t="s">
        <v>11</v>
      </c>
      <c r="O50">
        <v>1.9430000000000001</v>
      </c>
      <c r="P50">
        <v>11.8392</v>
      </c>
      <c r="Q50">
        <v>0</v>
      </c>
      <c r="R50" t="s">
        <v>10</v>
      </c>
      <c r="S50" t="s">
        <v>175</v>
      </c>
      <c r="T50" s="4">
        <v>44834</v>
      </c>
      <c r="U50" s="5">
        <v>0.50190972222222219</v>
      </c>
      <c r="V50" t="s">
        <v>13</v>
      </c>
      <c r="W50">
        <v>1.1599999999999999</v>
      </c>
      <c r="X50">
        <v>2794.3532</v>
      </c>
      <c r="Y50">
        <v>98986.728400000007</v>
      </c>
      <c r="Z50" t="s">
        <v>1689</v>
      </c>
      <c r="AA50">
        <v>2.2400000000000002</v>
      </c>
      <c r="AB50">
        <v>6.8631000000000002</v>
      </c>
      <c r="AC50">
        <v>0</v>
      </c>
      <c r="AD50" t="s">
        <v>10</v>
      </c>
    </row>
    <row r="51" spans="1:30">
      <c r="A51" s="2">
        <v>50</v>
      </c>
      <c r="B51" s="3" t="s">
        <v>5</v>
      </c>
      <c r="C51" s="2" t="s">
        <v>6</v>
      </c>
      <c r="D51" s="2">
        <v>50</v>
      </c>
      <c r="E51" s="2" t="s">
        <v>176</v>
      </c>
      <c r="F51" t="s">
        <v>177</v>
      </c>
      <c r="G51" s="4">
        <v>44834</v>
      </c>
      <c r="H51" s="5">
        <v>0.50565972222222222</v>
      </c>
      <c r="I51" t="s">
        <v>9</v>
      </c>
      <c r="J51">
        <v>1.4059999999999999</v>
      </c>
      <c r="K51">
        <v>0.3664</v>
      </c>
      <c r="L51">
        <v>1.9027000000000001</v>
      </c>
      <c r="M51" t="s">
        <v>10</v>
      </c>
      <c r="N51" t="s">
        <v>11</v>
      </c>
      <c r="O51">
        <v>1.94</v>
      </c>
      <c r="P51">
        <v>109.1571</v>
      </c>
      <c r="Q51">
        <v>193.85640000000001</v>
      </c>
      <c r="R51" t="s">
        <v>10</v>
      </c>
      <c r="S51" t="s">
        <v>178</v>
      </c>
      <c r="T51" s="4">
        <v>44834</v>
      </c>
      <c r="U51" s="5">
        <v>0.50565972222222222</v>
      </c>
      <c r="V51" t="s">
        <v>13</v>
      </c>
      <c r="W51">
        <v>1.1559999999999999</v>
      </c>
      <c r="X51">
        <v>3137.2979999999998</v>
      </c>
      <c r="Y51">
        <v>127539.283</v>
      </c>
      <c r="Z51" t="s">
        <v>1689</v>
      </c>
      <c r="AA51">
        <v>2.2530000000000001</v>
      </c>
      <c r="AB51">
        <v>65.1554</v>
      </c>
      <c r="AC51">
        <v>6.83E-2</v>
      </c>
      <c r="AD51" t="s">
        <v>10</v>
      </c>
    </row>
    <row r="52" spans="1:30">
      <c r="A52" s="2">
        <v>51</v>
      </c>
      <c r="B52" s="3" t="s">
        <v>179</v>
      </c>
      <c r="C52" s="2" t="s">
        <v>6</v>
      </c>
      <c r="D52" s="2">
        <v>51</v>
      </c>
      <c r="E52" s="2" t="s">
        <v>180</v>
      </c>
      <c r="F52" t="s">
        <v>181</v>
      </c>
      <c r="G52" s="4">
        <v>44834</v>
      </c>
      <c r="H52" s="5">
        <v>0.5093981481481481</v>
      </c>
      <c r="I52" t="s">
        <v>9</v>
      </c>
      <c r="J52">
        <v>0</v>
      </c>
      <c r="K52">
        <v>0</v>
      </c>
      <c r="L52">
        <v>0</v>
      </c>
      <c r="M52" t="s">
        <v>10</v>
      </c>
      <c r="N52" t="s">
        <v>11</v>
      </c>
      <c r="O52">
        <v>1.9430000000000001</v>
      </c>
      <c r="P52">
        <v>11.961</v>
      </c>
      <c r="Q52">
        <v>0</v>
      </c>
      <c r="R52" t="s">
        <v>10</v>
      </c>
      <c r="S52" t="s">
        <v>182</v>
      </c>
      <c r="T52" s="4">
        <v>44834</v>
      </c>
      <c r="U52" s="5">
        <v>0.5093981481481481</v>
      </c>
      <c r="V52" t="s">
        <v>13</v>
      </c>
      <c r="W52">
        <v>1.1599999999999999</v>
      </c>
      <c r="X52">
        <v>3357.1442000000002</v>
      </c>
      <c r="Y52">
        <v>151253.53049999999</v>
      </c>
      <c r="Z52" t="s">
        <v>1689</v>
      </c>
      <c r="AA52">
        <v>2.2530000000000001</v>
      </c>
      <c r="AB52">
        <v>6.7808000000000002</v>
      </c>
      <c r="AC52">
        <v>0</v>
      </c>
      <c r="AD52" t="s">
        <v>10</v>
      </c>
    </row>
    <row r="53" spans="1:30">
      <c r="A53" s="2">
        <v>52</v>
      </c>
      <c r="B53" s="3" t="s">
        <v>5</v>
      </c>
      <c r="C53" s="2" t="s">
        <v>6</v>
      </c>
      <c r="D53" s="2">
        <v>52</v>
      </c>
      <c r="E53" s="2" t="s">
        <v>183</v>
      </c>
      <c r="F53" t="s">
        <v>184</v>
      </c>
      <c r="G53" s="4">
        <v>44834</v>
      </c>
      <c r="H53" s="5">
        <v>0.51314814814814813</v>
      </c>
      <c r="I53" t="s">
        <v>9</v>
      </c>
      <c r="J53">
        <v>1.4159999999999999</v>
      </c>
      <c r="K53">
        <v>0.38059999999999999</v>
      </c>
      <c r="L53">
        <v>1.9641</v>
      </c>
      <c r="M53" t="s">
        <v>10</v>
      </c>
      <c r="N53" t="s">
        <v>11</v>
      </c>
      <c r="O53">
        <v>1.956</v>
      </c>
      <c r="P53">
        <v>103.5333</v>
      </c>
      <c r="Q53">
        <v>173.07230000000001</v>
      </c>
      <c r="R53" t="s">
        <v>10</v>
      </c>
      <c r="S53" t="s">
        <v>185</v>
      </c>
      <c r="T53" s="4">
        <v>44834</v>
      </c>
      <c r="U53" s="5">
        <v>0.51314814814814813</v>
      </c>
      <c r="V53" t="s">
        <v>13</v>
      </c>
      <c r="W53">
        <v>1.1659999999999999</v>
      </c>
      <c r="X53">
        <v>3193.8876</v>
      </c>
      <c r="Y53">
        <v>133053.8554</v>
      </c>
      <c r="Z53" t="s">
        <v>1689</v>
      </c>
      <c r="AA53">
        <v>2.266</v>
      </c>
      <c r="AB53">
        <v>60.858199999999997</v>
      </c>
      <c r="AC53">
        <v>5.0700000000000002E-2</v>
      </c>
      <c r="AD53" t="s">
        <v>10</v>
      </c>
    </row>
    <row r="54" spans="1:30">
      <c r="A54" s="2">
        <v>53</v>
      </c>
      <c r="B54" s="3" t="s">
        <v>5</v>
      </c>
      <c r="C54" s="2" t="s">
        <v>6</v>
      </c>
      <c r="D54" s="2">
        <v>53</v>
      </c>
      <c r="E54" s="2" t="s">
        <v>186</v>
      </c>
      <c r="F54" t="s">
        <v>187</v>
      </c>
      <c r="G54" s="4">
        <v>44834</v>
      </c>
      <c r="H54" s="5">
        <v>0.51689814814814816</v>
      </c>
      <c r="I54" t="s">
        <v>9</v>
      </c>
      <c r="J54">
        <v>1.4059999999999999</v>
      </c>
      <c r="K54">
        <v>0.34</v>
      </c>
      <c r="L54">
        <v>1.7885</v>
      </c>
      <c r="M54" t="s">
        <v>10</v>
      </c>
      <c r="N54" t="s">
        <v>11</v>
      </c>
      <c r="O54">
        <v>1.946</v>
      </c>
      <c r="P54">
        <v>115.26860000000001</v>
      </c>
      <c r="Q54">
        <v>216.44300000000001</v>
      </c>
      <c r="R54" t="s">
        <v>10</v>
      </c>
      <c r="S54" t="s">
        <v>188</v>
      </c>
      <c r="T54" s="4">
        <v>44834</v>
      </c>
      <c r="U54" s="5">
        <v>0.51689814814814816</v>
      </c>
      <c r="V54" t="s">
        <v>13</v>
      </c>
      <c r="W54">
        <v>1.1599999999999999</v>
      </c>
      <c r="X54">
        <v>3040.5639999999999</v>
      </c>
      <c r="Y54">
        <v>118736.47199999999</v>
      </c>
      <c r="Z54" t="s">
        <v>1689</v>
      </c>
      <c r="AA54">
        <v>2.2559999999999998</v>
      </c>
      <c r="AB54">
        <v>61.606999999999999</v>
      </c>
      <c r="AC54">
        <v>5.3699999999999998E-2</v>
      </c>
      <c r="AD54" t="s">
        <v>10</v>
      </c>
    </row>
    <row r="55" spans="1:30">
      <c r="A55" s="2">
        <v>54</v>
      </c>
      <c r="B55" s="3" t="s">
        <v>5</v>
      </c>
      <c r="C55" s="2" t="s">
        <v>6</v>
      </c>
      <c r="D55" s="2">
        <v>54</v>
      </c>
      <c r="E55" s="2" t="s">
        <v>189</v>
      </c>
      <c r="F55" t="s">
        <v>190</v>
      </c>
      <c r="G55" s="4">
        <v>44834</v>
      </c>
      <c r="H55" s="5">
        <v>0.52103009259259259</v>
      </c>
      <c r="I55" t="s">
        <v>9</v>
      </c>
      <c r="J55">
        <v>1.41</v>
      </c>
      <c r="K55">
        <v>0.35780000000000001</v>
      </c>
      <c r="L55">
        <v>1.8654999999999999</v>
      </c>
      <c r="M55" t="s">
        <v>10</v>
      </c>
      <c r="N55" t="s">
        <v>11</v>
      </c>
      <c r="O55">
        <v>1.946</v>
      </c>
      <c r="P55">
        <v>99.148799999999994</v>
      </c>
      <c r="Q55">
        <v>156.8683</v>
      </c>
      <c r="R55" t="s">
        <v>10</v>
      </c>
      <c r="S55" t="s">
        <v>191</v>
      </c>
      <c r="T55" s="4">
        <v>44834</v>
      </c>
      <c r="U55" s="5">
        <v>0.52103009259259259</v>
      </c>
      <c r="V55" t="s">
        <v>13</v>
      </c>
      <c r="W55">
        <v>1.1659999999999999</v>
      </c>
      <c r="X55">
        <v>3073.4656</v>
      </c>
      <c r="Y55">
        <v>121658.69040000001</v>
      </c>
      <c r="Z55" t="s">
        <v>1689</v>
      </c>
      <c r="AA55">
        <v>2.2559999999999998</v>
      </c>
      <c r="AB55">
        <v>62.131900000000002</v>
      </c>
      <c r="AC55">
        <v>5.5899999999999998E-2</v>
      </c>
      <c r="AD55" t="s">
        <v>10</v>
      </c>
    </row>
    <row r="56" spans="1:30">
      <c r="A56" s="2">
        <v>55</v>
      </c>
      <c r="B56" s="2" t="s">
        <v>192</v>
      </c>
      <c r="C56" s="2" t="s">
        <v>193</v>
      </c>
      <c r="D56" s="2">
        <v>55</v>
      </c>
      <c r="E56" s="3" t="str">
        <f>D56&amp;"g"</f>
        <v>55g</v>
      </c>
      <c r="F56" t="s">
        <v>194</v>
      </c>
      <c r="G56" s="4">
        <v>44834</v>
      </c>
      <c r="H56" s="5">
        <v>0.52478009259259262</v>
      </c>
      <c r="I56" t="s">
        <v>9</v>
      </c>
      <c r="J56">
        <v>1.41</v>
      </c>
      <c r="K56">
        <v>6.2389999999999999</v>
      </c>
      <c r="L56">
        <v>27.303000000000001</v>
      </c>
      <c r="M56" t="s">
        <v>10</v>
      </c>
      <c r="N56" t="s">
        <v>11</v>
      </c>
      <c r="O56">
        <v>1.94</v>
      </c>
      <c r="P56">
        <v>17693.3688</v>
      </c>
      <c r="Q56">
        <v>65180.644399999997</v>
      </c>
      <c r="R56" t="s">
        <v>10</v>
      </c>
      <c r="S56" t="s">
        <v>195</v>
      </c>
      <c r="T56" s="4">
        <v>44834</v>
      </c>
      <c r="U56" s="5">
        <v>0.52478009259259262</v>
      </c>
      <c r="V56" t="s">
        <v>13</v>
      </c>
      <c r="W56">
        <v>1.1599999999999999</v>
      </c>
      <c r="X56">
        <v>2745.5214000000001</v>
      </c>
      <c r="Y56">
        <v>95433.521200000003</v>
      </c>
      <c r="Z56" t="s">
        <v>1689</v>
      </c>
      <c r="AA56">
        <v>2.25</v>
      </c>
      <c r="AB56">
        <v>350.17180000000002</v>
      </c>
      <c r="AC56">
        <v>1.2364999999999999</v>
      </c>
      <c r="AD56" t="s">
        <v>10</v>
      </c>
    </row>
    <row r="57" spans="1:30">
      <c r="A57" s="2">
        <v>56</v>
      </c>
      <c r="B57" s="2" t="s">
        <v>196</v>
      </c>
      <c r="C57" s="2" t="s">
        <v>196</v>
      </c>
      <c r="D57" s="2">
        <v>56</v>
      </c>
      <c r="E57" s="2" t="s">
        <v>196</v>
      </c>
      <c r="F57" t="s">
        <v>197</v>
      </c>
      <c r="G57" s="4">
        <v>44834</v>
      </c>
      <c r="H57" s="5">
        <v>0.52853009259259254</v>
      </c>
      <c r="I57" t="s">
        <v>9</v>
      </c>
      <c r="J57">
        <v>0</v>
      </c>
      <c r="K57">
        <v>0</v>
      </c>
      <c r="L57">
        <v>0</v>
      </c>
      <c r="M57" t="s">
        <v>10</v>
      </c>
      <c r="N57" t="s">
        <v>11</v>
      </c>
      <c r="O57">
        <v>1.956</v>
      </c>
      <c r="P57">
        <v>154.61019999999999</v>
      </c>
      <c r="Q57">
        <v>361.83960000000002</v>
      </c>
      <c r="R57" t="s">
        <v>10</v>
      </c>
      <c r="S57" t="s">
        <v>198</v>
      </c>
      <c r="T57" s="4">
        <v>44834</v>
      </c>
      <c r="U57" s="5">
        <v>0.52853009259259254</v>
      </c>
      <c r="V57" t="s">
        <v>13</v>
      </c>
      <c r="W57">
        <v>1.1659999999999999</v>
      </c>
      <c r="X57">
        <v>3198.6341000000002</v>
      </c>
      <c r="Y57">
        <v>133529.71710000001</v>
      </c>
      <c r="Z57" t="s">
        <v>1689</v>
      </c>
      <c r="AA57">
        <v>2.2629999999999999</v>
      </c>
      <c r="AB57">
        <v>66.5488</v>
      </c>
      <c r="AC57">
        <v>7.3999999999999996E-2</v>
      </c>
      <c r="AD57" t="s">
        <v>10</v>
      </c>
    </row>
    <row r="58" spans="1:30">
      <c r="A58" s="2">
        <v>57</v>
      </c>
      <c r="B58" s="2" t="s">
        <v>192</v>
      </c>
      <c r="C58" s="2" t="s">
        <v>199</v>
      </c>
      <c r="D58" s="2">
        <v>57</v>
      </c>
      <c r="E58" s="3" t="str">
        <f>D58&amp;"g"</f>
        <v>57g</v>
      </c>
      <c r="F58" t="s">
        <v>200</v>
      </c>
      <c r="G58" s="4">
        <v>44834</v>
      </c>
      <c r="H58" s="5">
        <v>0.53228009259259257</v>
      </c>
      <c r="I58" t="s">
        <v>9</v>
      </c>
      <c r="J58">
        <v>1.42</v>
      </c>
      <c r="K58">
        <v>14.824</v>
      </c>
      <c r="L58">
        <v>64.435000000000002</v>
      </c>
      <c r="M58" t="s">
        <v>10</v>
      </c>
      <c r="N58" t="s">
        <v>11</v>
      </c>
      <c r="O58">
        <v>1.966</v>
      </c>
      <c r="P58">
        <v>7544.7502000000004</v>
      </c>
      <c r="Q58">
        <v>27673.923200000001</v>
      </c>
      <c r="R58" t="s">
        <v>10</v>
      </c>
      <c r="S58" t="s">
        <v>201</v>
      </c>
      <c r="T58" s="4">
        <v>44834</v>
      </c>
      <c r="U58" s="5">
        <v>0.53228009259259257</v>
      </c>
      <c r="V58" t="s">
        <v>13</v>
      </c>
      <c r="W58">
        <v>1.17</v>
      </c>
      <c r="X58">
        <v>3445.2341999999999</v>
      </c>
      <c r="Y58">
        <v>163133.2819</v>
      </c>
      <c r="Z58" t="s">
        <v>1689</v>
      </c>
      <c r="AA58">
        <v>2.2599999999999998</v>
      </c>
      <c r="AB58">
        <v>238.07300000000001</v>
      </c>
      <c r="AC58">
        <v>0.77710000000000001</v>
      </c>
      <c r="AD58" t="s">
        <v>10</v>
      </c>
    </row>
    <row r="59" spans="1:30">
      <c r="A59" s="2">
        <v>58</v>
      </c>
      <c r="B59" s="2" t="s">
        <v>196</v>
      </c>
      <c r="C59" s="2" t="s">
        <v>196</v>
      </c>
      <c r="D59" s="2">
        <v>58</v>
      </c>
      <c r="E59" s="2" t="s">
        <v>196</v>
      </c>
      <c r="F59" t="s">
        <v>202</v>
      </c>
      <c r="G59" s="4">
        <v>44834</v>
      </c>
      <c r="H59" s="5">
        <v>0.5360300925925926</v>
      </c>
      <c r="I59" t="s">
        <v>9</v>
      </c>
      <c r="J59">
        <v>1.4</v>
      </c>
      <c r="K59">
        <v>0.2757</v>
      </c>
      <c r="L59">
        <v>1.5104</v>
      </c>
      <c r="M59" t="s">
        <v>10</v>
      </c>
      <c r="N59" t="s">
        <v>11</v>
      </c>
      <c r="O59">
        <v>1.94</v>
      </c>
      <c r="P59">
        <v>146.99860000000001</v>
      </c>
      <c r="Q59">
        <v>333.709</v>
      </c>
      <c r="R59" t="s">
        <v>10</v>
      </c>
      <c r="S59" t="s">
        <v>203</v>
      </c>
      <c r="T59" s="4">
        <v>44834</v>
      </c>
      <c r="U59" s="5">
        <v>0.5360300925925926</v>
      </c>
      <c r="V59" t="s">
        <v>13</v>
      </c>
      <c r="W59">
        <v>1.1599999999999999</v>
      </c>
      <c r="X59">
        <v>3168.6772000000001</v>
      </c>
      <c r="Y59">
        <v>130597.1394</v>
      </c>
      <c r="Z59" t="s">
        <v>1689</v>
      </c>
      <c r="AA59">
        <v>2.246</v>
      </c>
      <c r="AB59">
        <v>66.724400000000003</v>
      </c>
      <c r="AC59">
        <v>7.4700000000000003E-2</v>
      </c>
      <c r="AD59" t="s">
        <v>10</v>
      </c>
    </row>
    <row r="60" spans="1:30">
      <c r="A60" s="2">
        <v>59</v>
      </c>
      <c r="B60" s="2" t="s">
        <v>192</v>
      </c>
      <c r="C60" s="2" t="s">
        <v>204</v>
      </c>
      <c r="D60" s="2">
        <v>59</v>
      </c>
      <c r="E60" s="3" t="str">
        <f>D60&amp;"g"</f>
        <v>59g</v>
      </c>
      <c r="F60" t="s">
        <v>205</v>
      </c>
      <c r="G60" s="4">
        <v>44834</v>
      </c>
      <c r="H60" s="5">
        <v>0.53978009259259252</v>
      </c>
      <c r="I60" t="s">
        <v>9</v>
      </c>
      <c r="J60">
        <v>1.4059999999999999</v>
      </c>
      <c r="K60">
        <v>0.5796</v>
      </c>
      <c r="L60">
        <v>2.8248000000000002</v>
      </c>
      <c r="M60" t="s">
        <v>10</v>
      </c>
      <c r="N60" t="s">
        <v>11</v>
      </c>
      <c r="O60">
        <v>1.94</v>
      </c>
      <c r="P60">
        <v>812.05079999999998</v>
      </c>
      <c r="Q60">
        <v>2791.5733</v>
      </c>
      <c r="R60" t="s">
        <v>10</v>
      </c>
      <c r="S60" t="s">
        <v>206</v>
      </c>
      <c r="T60" s="4">
        <v>44834</v>
      </c>
      <c r="U60" s="5">
        <v>0.53978009259259252</v>
      </c>
      <c r="V60" t="s">
        <v>13</v>
      </c>
      <c r="W60">
        <v>1.1599999999999999</v>
      </c>
      <c r="X60">
        <v>3542.5475000000001</v>
      </c>
      <c r="Y60">
        <v>177484.92600000001</v>
      </c>
      <c r="Z60" t="s">
        <v>1689</v>
      </c>
      <c r="AA60">
        <v>2.2429999999999999</v>
      </c>
      <c r="AB60">
        <v>112.7424</v>
      </c>
      <c r="AC60">
        <v>0.26329999999999998</v>
      </c>
      <c r="AD60" t="s">
        <v>10</v>
      </c>
    </row>
    <row r="61" spans="1:30">
      <c r="A61" s="2">
        <v>60</v>
      </c>
      <c r="B61" s="2" t="s">
        <v>196</v>
      </c>
      <c r="C61" s="2" t="s">
        <v>196</v>
      </c>
      <c r="D61" s="2">
        <v>60</v>
      </c>
      <c r="E61" s="2" t="s">
        <v>196</v>
      </c>
      <c r="F61" t="s">
        <v>207</v>
      </c>
      <c r="G61" s="4">
        <v>44834</v>
      </c>
      <c r="H61" s="5">
        <v>0.54353009259259266</v>
      </c>
      <c r="I61" t="s">
        <v>9</v>
      </c>
      <c r="J61">
        <v>1.4159999999999999</v>
      </c>
      <c r="K61">
        <v>0.27060000000000001</v>
      </c>
      <c r="L61">
        <v>1.4883</v>
      </c>
      <c r="M61" t="s">
        <v>10</v>
      </c>
      <c r="N61" t="s">
        <v>11</v>
      </c>
      <c r="O61">
        <v>1.95</v>
      </c>
      <c r="P61">
        <v>85.928600000000003</v>
      </c>
      <c r="Q61">
        <v>108.0098</v>
      </c>
      <c r="R61" t="s">
        <v>10</v>
      </c>
      <c r="S61" t="s">
        <v>208</v>
      </c>
      <c r="T61" s="4">
        <v>44834</v>
      </c>
      <c r="U61" s="5">
        <v>0.54353009259259266</v>
      </c>
      <c r="V61" t="s">
        <v>13</v>
      </c>
      <c r="W61">
        <v>1.17</v>
      </c>
      <c r="X61">
        <v>3020.2809999999999</v>
      </c>
      <c r="Y61">
        <v>116996.0852</v>
      </c>
      <c r="Z61" t="s">
        <v>1689</v>
      </c>
      <c r="AA61">
        <v>2.2599999999999998</v>
      </c>
      <c r="AB61">
        <v>52.3992</v>
      </c>
      <c r="AC61">
        <v>1.6E-2</v>
      </c>
      <c r="AD61" t="s">
        <v>10</v>
      </c>
    </row>
    <row r="62" spans="1:30">
      <c r="A62" s="2">
        <v>61</v>
      </c>
      <c r="B62" s="2" t="s">
        <v>192</v>
      </c>
      <c r="C62" s="2" t="s">
        <v>209</v>
      </c>
      <c r="D62" s="2">
        <v>61</v>
      </c>
      <c r="E62" s="3" t="str">
        <f>D62&amp;"g"</f>
        <v>61g</v>
      </c>
      <c r="F62" t="s">
        <v>210</v>
      </c>
      <c r="G62" s="4">
        <v>44834</v>
      </c>
      <c r="H62" s="5">
        <v>0.54726851851851854</v>
      </c>
      <c r="I62" t="s">
        <v>9</v>
      </c>
      <c r="J62">
        <v>1.4059999999999999</v>
      </c>
      <c r="K62">
        <v>0.6522</v>
      </c>
      <c r="L62">
        <v>3.1387999999999998</v>
      </c>
      <c r="M62" t="s">
        <v>10</v>
      </c>
      <c r="N62" t="s">
        <v>11</v>
      </c>
      <c r="O62">
        <v>1.94</v>
      </c>
      <c r="P62">
        <v>418.34449999999998</v>
      </c>
      <c r="Q62">
        <v>1336.5346999999999</v>
      </c>
      <c r="R62" t="s">
        <v>10</v>
      </c>
      <c r="S62" t="s">
        <v>211</v>
      </c>
      <c r="T62" s="4">
        <v>44834</v>
      </c>
      <c r="U62" s="5">
        <v>0.54726851851851854</v>
      </c>
      <c r="V62" t="s">
        <v>13</v>
      </c>
      <c r="W62">
        <v>1.1599999999999999</v>
      </c>
      <c r="X62">
        <v>3567.1041</v>
      </c>
      <c r="Y62">
        <v>181106.50270000001</v>
      </c>
      <c r="Z62" t="s">
        <v>1689</v>
      </c>
      <c r="AA62">
        <v>2.2429999999999999</v>
      </c>
      <c r="AB62">
        <v>96.932000000000002</v>
      </c>
      <c r="AC62">
        <v>0.19850000000000001</v>
      </c>
      <c r="AD62" t="s">
        <v>10</v>
      </c>
    </row>
    <row r="63" spans="1:30">
      <c r="A63" s="2">
        <v>62</v>
      </c>
      <c r="B63" s="2" t="s">
        <v>196</v>
      </c>
      <c r="C63" s="2" t="s">
        <v>196</v>
      </c>
      <c r="D63" s="2">
        <v>62</v>
      </c>
      <c r="E63" s="2" t="s">
        <v>196</v>
      </c>
      <c r="F63" t="s">
        <v>212</v>
      </c>
      <c r="G63" s="4">
        <v>44834</v>
      </c>
      <c r="H63" s="5">
        <v>0.55101851851851846</v>
      </c>
      <c r="I63" t="s">
        <v>9</v>
      </c>
      <c r="J63">
        <v>1.403</v>
      </c>
      <c r="K63">
        <v>0.30020000000000002</v>
      </c>
      <c r="L63">
        <v>1.6163000000000001</v>
      </c>
      <c r="M63" t="s">
        <v>10</v>
      </c>
      <c r="N63" t="s">
        <v>11</v>
      </c>
      <c r="O63">
        <v>1.9359999999999999</v>
      </c>
      <c r="P63">
        <v>93.529799999999994</v>
      </c>
      <c r="Q63">
        <v>136.1019</v>
      </c>
      <c r="R63" t="s">
        <v>10</v>
      </c>
      <c r="S63" t="s">
        <v>213</v>
      </c>
      <c r="T63" s="4">
        <v>44834</v>
      </c>
      <c r="U63" s="5">
        <v>0.55101851851851846</v>
      </c>
      <c r="V63" t="s">
        <v>13</v>
      </c>
      <c r="W63">
        <v>1.1599999999999999</v>
      </c>
      <c r="X63">
        <v>2985.6592000000001</v>
      </c>
      <c r="Y63">
        <v>114025.35490000001</v>
      </c>
      <c r="Z63" t="s">
        <v>1689</v>
      </c>
      <c r="AA63">
        <v>2.2429999999999999</v>
      </c>
      <c r="AB63">
        <v>60.106699999999996</v>
      </c>
      <c r="AC63">
        <v>4.7600000000000003E-2</v>
      </c>
      <c r="AD63" t="s">
        <v>10</v>
      </c>
    </row>
    <row r="64" spans="1:30">
      <c r="A64" s="2">
        <v>63</v>
      </c>
      <c r="B64" s="2" t="s">
        <v>192</v>
      </c>
      <c r="C64" s="2" t="s">
        <v>214</v>
      </c>
      <c r="D64" s="2">
        <v>63</v>
      </c>
      <c r="E64" s="3" t="str">
        <f>D64&amp;"g"</f>
        <v>63g</v>
      </c>
      <c r="F64" t="s">
        <v>215</v>
      </c>
      <c r="G64" s="4">
        <v>44834</v>
      </c>
      <c r="H64" s="5">
        <v>0.55475694444444446</v>
      </c>
      <c r="I64" t="s">
        <v>9</v>
      </c>
      <c r="J64">
        <v>1.4059999999999999</v>
      </c>
      <c r="K64">
        <v>5.5582000000000003</v>
      </c>
      <c r="L64">
        <v>24.3584</v>
      </c>
      <c r="M64" t="s">
        <v>10</v>
      </c>
      <c r="N64" t="s">
        <v>11</v>
      </c>
      <c r="O64">
        <v>1.9430000000000001</v>
      </c>
      <c r="P64">
        <v>12837.626399999999</v>
      </c>
      <c r="Q64">
        <v>47235.051700000004</v>
      </c>
      <c r="R64" t="s">
        <v>10</v>
      </c>
      <c r="S64" t="s">
        <v>216</v>
      </c>
      <c r="T64" s="4">
        <v>44834</v>
      </c>
      <c r="U64" s="5">
        <v>0.55475694444444446</v>
      </c>
      <c r="V64" t="s">
        <v>13</v>
      </c>
      <c r="W64">
        <v>1.1559999999999999</v>
      </c>
      <c r="X64">
        <v>3030.5880999999999</v>
      </c>
      <c r="Y64">
        <v>117880.488</v>
      </c>
      <c r="Z64" t="s">
        <v>1689</v>
      </c>
      <c r="AA64">
        <v>2.2400000000000002</v>
      </c>
      <c r="AB64">
        <v>290.54739999999998</v>
      </c>
      <c r="AC64">
        <v>0.99209999999999998</v>
      </c>
      <c r="AD64" t="s">
        <v>10</v>
      </c>
    </row>
    <row r="65" spans="1:30">
      <c r="A65" s="2">
        <v>64</v>
      </c>
      <c r="B65" s="2" t="s">
        <v>196</v>
      </c>
      <c r="C65" s="2" t="s">
        <v>196</v>
      </c>
      <c r="D65" s="2">
        <v>64</v>
      </c>
      <c r="E65" s="2" t="s">
        <v>196</v>
      </c>
      <c r="F65" t="s">
        <v>217</v>
      </c>
      <c r="G65" s="4">
        <v>44834</v>
      </c>
      <c r="H65" s="5">
        <v>0.55850694444444449</v>
      </c>
      <c r="I65" t="s">
        <v>9</v>
      </c>
      <c r="J65">
        <v>0</v>
      </c>
      <c r="K65">
        <v>0</v>
      </c>
      <c r="L65">
        <v>0</v>
      </c>
      <c r="M65" t="s">
        <v>10</v>
      </c>
      <c r="N65" t="s">
        <v>11</v>
      </c>
      <c r="O65">
        <v>1.94</v>
      </c>
      <c r="P65">
        <v>89.08</v>
      </c>
      <c r="Q65">
        <v>119.6566</v>
      </c>
      <c r="R65" t="s">
        <v>10</v>
      </c>
      <c r="S65" t="s">
        <v>218</v>
      </c>
      <c r="T65" s="4">
        <v>44834</v>
      </c>
      <c r="U65" s="5">
        <v>0.55850694444444449</v>
      </c>
      <c r="V65" t="s">
        <v>13</v>
      </c>
      <c r="W65">
        <v>1.1599999999999999</v>
      </c>
      <c r="X65">
        <v>2872.0868</v>
      </c>
      <c r="Y65">
        <v>104890.72100000001</v>
      </c>
      <c r="Z65" t="s">
        <v>1689</v>
      </c>
      <c r="AA65">
        <v>2.25</v>
      </c>
      <c r="AB65">
        <v>51.833599999999997</v>
      </c>
      <c r="AC65">
        <v>1.37E-2</v>
      </c>
      <c r="AD65" t="s">
        <v>10</v>
      </c>
    </row>
    <row r="66" spans="1:30">
      <c r="A66" s="2">
        <v>65</v>
      </c>
      <c r="B66" s="2" t="s">
        <v>192</v>
      </c>
      <c r="C66" s="2" t="s">
        <v>219</v>
      </c>
      <c r="D66" s="2">
        <v>65</v>
      </c>
      <c r="E66" s="3" t="str">
        <f>D66&amp;"g"</f>
        <v>65g</v>
      </c>
      <c r="F66" t="s">
        <v>220</v>
      </c>
      <c r="G66" s="4">
        <v>44834</v>
      </c>
      <c r="H66" s="5">
        <v>0.56225694444444441</v>
      </c>
      <c r="I66" t="s">
        <v>9</v>
      </c>
      <c r="J66">
        <v>1.42</v>
      </c>
      <c r="K66">
        <v>69.391199999999998</v>
      </c>
      <c r="L66">
        <v>300.4502</v>
      </c>
      <c r="M66" t="s">
        <v>10</v>
      </c>
      <c r="N66" t="s">
        <v>11</v>
      </c>
      <c r="O66">
        <v>1.966</v>
      </c>
      <c r="P66">
        <v>4780.4642000000003</v>
      </c>
      <c r="Q66">
        <v>17457.823100000001</v>
      </c>
      <c r="R66" t="s">
        <v>10</v>
      </c>
      <c r="S66" t="s">
        <v>221</v>
      </c>
      <c r="T66" s="4">
        <v>44834</v>
      </c>
      <c r="U66" s="5">
        <v>0.56225694444444441</v>
      </c>
      <c r="V66" t="s">
        <v>13</v>
      </c>
      <c r="W66">
        <v>1.1659999999999999</v>
      </c>
      <c r="X66">
        <v>3423.3818000000001</v>
      </c>
      <c r="Y66">
        <v>159918.85269999999</v>
      </c>
      <c r="Z66" t="s">
        <v>1689</v>
      </c>
      <c r="AA66">
        <v>2.2599999999999998</v>
      </c>
      <c r="AB66">
        <v>195.12459999999999</v>
      </c>
      <c r="AC66">
        <v>0.60099999999999998</v>
      </c>
      <c r="AD66" t="s">
        <v>10</v>
      </c>
    </row>
    <row r="67" spans="1:30">
      <c r="A67" s="2">
        <v>66</v>
      </c>
      <c r="B67" s="2" t="s">
        <v>196</v>
      </c>
      <c r="C67" s="2" t="s">
        <v>196</v>
      </c>
      <c r="D67" s="2">
        <v>66</v>
      </c>
      <c r="E67" s="2" t="s">
        <v>196</v>
      </c>
      <c r="F67" t="s">
        <v>222</v>
      </c>
      <c r="G67" s="4">
        <v>44834</v>
      </c>
      <c r="H67" s="5">
        <v>0.5659953703703704</v>
      </c>
      <c r="I67" t="s">
        <v>9</v>
      </c>
      <c r="J67">
        <v>1.403</v>
      </c>
      <c r="K67">
        <v>0.31209999999999999</v>
      </c>
      <c r="L67">
        <v>1.6677999999999999</v>
      </c>
      <c r="M67" t="s">
        <v>10</v>
      </c>
      <c r="N67" t="s">
        <v>11</v>
      </c>
      <c r="O67">
        <v>1.9430000000000001</v>
      </c>
      <c r="P67">
        <v>100.2808</v>
      </c>
      <c r="Q67">
        <v>161.05189999999999</v>
      </c>
      <c r="R67" t="s">
        <v>10</v>
      </c>
      <c r="S67" t="s">
        <v>223</v>
      </c>
      <c r="T67" s="4">
        <v>44834</v>
      </c>
      <c r="U67" s="5">
        <v>0.5659953703703704</v>
      </c>
      <c r="V67" t="s">
        <v>13</v>
      </c>
      <c r="W67">
        <v>1.1599999999999999</v>
      </c>
      <c r="X67">
        <v>2928.1401999999998</v>
      </c>
      <c r="Y67">
        <v>109329.14109999999</v>
      </c>
      <c r="Z67" t="s">
        <v>1689</v>
      </c>
      <c r="AA67">
        <v>2.2559999999999998</v>
      </c>
      <c r="AB67">
        <v>57.993400000000001</v>
      </c>
      <c r="AC67">
        <v>3.8899999999999997E-2</v>
      </c>
      <c r="AD67" t="s">
        <v>10</v>
      </c>
    </row>
    <row r="68" spans="1:30">
      <c r="A68" s="2">
        <v>67</v>
      </c>
      <c r="B68" s="2" t="s">
        <v>196</v>
      </c>
      <c r="C68" s="2" t="s">
        <v>196</v>
      </c>
      <c r="D68" s="2">
        <v>67</v>
      </c>
      <c r="E68" s="2" t="s">
        <v>196</v>
      </c>
      <c r="F68" t="s">
        <v>224</v>
      </c>
      <c r="G68" s="4">
        <v>44834</v>
      </c>
      <c r="H68" s="5">
        <v>0.56974537037037043</v>
      </c>
      <c r="I68" t="s">
        <v>9</v>
      </c>
      <c r="J68">
        <v>1.413</v>
      </c>
      <c r="K68">
        <v>0.36699999999999999</v>
      </c>
      <c r="L68">
        <v>1.9053</v>
      </c>
      <c r="M68" t="s">
        <v>10</v>
      </c>
      <c r="N68" t="s">
        <v>11</v>
      </c>
      <c r="O68">
        <v>1.95</v>
      </c>
      <c r="P68">
        <v>103.307</v>
      </c>
      <c r="Q68">
        <v>172.23599999999999</v>
      </c>
      <c r="R68" t="s">
        <v>10</v>
      </c>
      <c r="S68" t="s">
        <v>225</v>
      </c>
      <c r="T68" s="4">
        <v>44834</v>
      </c>
      <c r="U68" s="5">
        <v>0.56974537037037043</v>
      </c>
      <c r="V68" t="s">
        <v>13</v>
      </c>
      <c r="W68">
        <v>1.1659999999999999</v>
      </c>
      <c r="X68">
        <v>3120.9450000000002</v>
      </c>
      <c r="Y68">
        <v>125991.51639999999</v>
      </c>
      <c r="Z68" t="s">
        <v>1689</v>
      </c>
      <c r="AA68">
        <v>2.2629999999999999</v>
      </c>
      <c r="AB68">
        <v>65.226600000000005</v>
      </c>
      <c r="AC68">
        <v>6.8599999999999994E-2</v>
      </c>
      <c r="AD68" t="s">
        <v>10</v>
      </c>
    </row>
    <row r="69" spans="1:30">
      <c r="A69" s="2">
        <v>68</v>
      </c>
      <c r="B69" s="2" t="s">
        <v>196</v>
      </c>
      <c r="C69" s="2" t="s">
        <v>196</v>
      </c>
      <c r="D69" s="2">
        <v>68</v>
      </c>
      <c r="E69" s="2" t="s">
        <v>196</v>
      </c>
      <c r="F69" t="s">
        <v>226</v>
      </c>
      <c r="G69" s="4">
        <v>44834</v>
      </c>
      <c r="H69" s="5">
        <v>0.57348379629629631</v>
      </c>
      <c r="I69" t="s">
        <v>9</v>
      </c>
      <c r="J69">
        <v>1.4059999999999999</v>
      </c>
      <c r="K69">
        <v>0.39200000000000002</v>
      </c>
      <c r="L69">
        <v>2.0133999999999999</v>
      </c>
      <c r="M69" t="s">
        <v>10</v>
      </c>
      <c r="N69" t="s">
        <v>11</v>
      </c>
      <c r="O69">
        <v>1.946</v>
      </c>
      <c r="P69">
        <v>130.04159999999999</v>
      </c>
      <c r="Q69">
        <v>271.0403</v>
      </c>
      <c r="R69" t="s">
        <v>10</v>
      </c>
      <c r="S69" t="s">
        <v>227</v>
      </c>
      <c r="T69" s="4">
        <v>44834</v>
      </c>
      <c r="U69" s="5">
        <v>0.57348379629629631</v>
      </c>
      <c r="V69" t="s">
        <v>13</v>
      </c>
      <c r="W69">
        <v>1.1599999999999999</v>
      </c>
      <c r="X69">
        <v>3398.0848000000001</v>
      </c>
      <c r="Y69">
        <v>156535.4878</v>
      </c>
      <c r="Z69" t="s">
        <v>1689</v>
      </c>
      <c r="AA69">
        <v>2.2599999999999998</v>
      </c>
      <c r="AB69">
        <v>78.251800000000003</v>
      </c>
      <c r="AC69">
        <v>0.122</v>
      </c>
      <c r="AD69" t="s">
        <v>10</v>
      </c>
    </row>
    <row r="70" spans="1:30">
      <c r="A70" s="2">
        <v>69</v>
      </c>
      <c r="B70" s="2" t="s">
        <v>192</v>
      </c>
      <c r="C70" s="2" t="s">
        <v>228</v>
      </c>
      <c r="D70" s="2">
        <v>69</v>
      </c>
      <c r="E70" s="3" t="str">
        <f>D70&amp;"g"</f>
        <v>69g</v>
      </c>
      <c r="F70" t="s">
        <v>229</v>
      </c>
      <c r="G70" s="4">
        <v>44834</v>
      </c>
      <c r="H70" s="5">
        <v>0.57723379629629623</v>
      </c>
      <c r="I70" t="s">
        <v>9</v>
      </c>
      <c r="J70">
        <v>1.4159999999999999</v>
      </c>
      <c r="K70">
        <v>111.1246</v>
      </c>
      <c r="L70">
        <v>480.9563</v>
      </c>
      <c r="M70" t="s">
        <v>10</v>
      </c>
      <c r="N70" t="s">
        <v>11</v>
      </c>
      <c r="O70">
        <v>1.9530000000000001</v>
      </c>
      <c r="P70">
        <v>15504.634700000001</v>
      </c>
      <c r="Q70">
        <v>57091.638099999996</v>
      </c>
      <c r="R70" t="s">
        <v>10</v>
      </c>
      <c r="S70" t="s">
        <v>230</v>
      </c>
      <c r="T70" s="4">
        <v>44834</v>
      </c>
      <c r="U70" s="5">
        <v>0.57723379629629623</v>
      </c>
      <c r="V70" t="s">
        <v>13</v>
      </c>
      <c r="W70">
        <v>1.163</v>
      </c>
      <c r="X70">
        <v>2930.4281000000001</v>
      </c>
      <c r="Y70">
        <v>109514.38800000001</v>
      </c>
      <c r="Z70" t="s">
        <v>1689</v>
      </c>
      <c r="AA70">
        <v>2.2599999999999998</v>
      </c>
      <c r="AB70">
        <v>270.1277</v>
      </c>
      <c r="AC70">
        <v>0.90839999999999999</v>
      </c>
      <c r="AD70" t="s">
        <v>10</v>
      </c>
    </row>
    <row r="71" spans="1:30">
      <c r="A71" s="2">
        <v>70</v>
      </c>
      <c r="B71" s="2" t="s">
        <v>196</v>
      </c>
      <c r="C71" s="2" t="s">
        <v>196</v>
      </c>
      <c r="D71" s="2">
        <v>70</v>
      </c>
      <c r="E71" s="2" t="s">
        <v>196</v>
      </c>
      <c r="F71" t="s">
        <v>231</v>
      </c>
      <c r="G71" s="4">
        <v>44834</v>
      </c>
      <c r="H71" s="5">
        <v>0.58098379629629626</v>
      </c>
      <c r="I71" t="s">
        <v>9</v>
      </c>
      <c r="J71">
        <v>1.3959999999999999</v>
      </c>
      <c r="K71">
        <v>0.27939999999999998</v>
      </c>
      <c r="L71">
        <v>1.5264</v>
      </c>
      <c r="M71" t="s">
        <v>10</v>
      </c>
      <c r="N71" t="s">
        <v>11</v>
      </c>
      <c r="O71">
        <v>1.94</v>
      </c>
      <c r="P71">
        <v>186.2842</v>
      </c>
      <c r="Q71">
        <v>478.89859999999999</v>
      </c>
      <c r="R71" t="s">
        <v>10</v>
      </c>
      <c r="S71" t="s">
        <v>232</v>
      </c>
      <c r="T71" s="4">
        <v>44834</v>
      </c>
      <c r="U71" s="5">
        <v>0.58098379629629626</v>
      </c>
      <c r="V71" t="s">
        <v>13</v>
      </c>
      <c r="W71">
        <v>1.1559999999999999</v>
      </c>
      <c r="X71">
        <v>3165.5129999999999</v>
      </c>
      <c r="Y71">
        <v>130288.7928</v>
      </c>
      <c r="Z71" t="s">
        <v>1689</v>
      </c>
      <c r="AA71">
        <v>2.25</v>
      </c>
      <c r="AB71">
        <v>72.908799999999999</v>
      </c>
      <c r="AC71">
        <v>0.10009999999999999</v>
      </c>
      <c r="AD71" t="s">
        <v>10</v>
      </c>
    </row>
    <row r="72" spans="1:30">
      <c r="A72" s="2">
        <v>71</v>
      </c>
      <c r="B72" s="2" t="s">
        <v>192</v>
      </c>
      <c r="C72" s="2" t="s">
        <v>233</v>
      </c>
      <c r="D72" s="2">
        <v>71</v>
      </c>
      <c r="E72" s="3" t="str">
        <f>D72&amp;"g"</f>
        <v>71g</v>
      </c>
      <c r="F72" t="s">
        <v>234</v>
      </c>
      <c r="G72" s="4">
        <v>44834</v>
      </c>
      <c r="H72" s="5">
        <v>0.58472222222222225</v>
      </c>
      <c r="I72" t="s">
        <v>9</v>
      </c>
      <c r="J72">
        <v>1.41</v>
      </c>
      <c r="K72">
        <v>98.9529</v>
      </c>
      <c r="L72">
        <v>428.31110000000001</v>
      </c>
      <c r="M72" t="s">
        <v>10</v>
      </c>
      <c r="N72" t="s">
        <v>11</v>
      </c>
      <c r="O72">
        <v>1.9530000000000001</v>
      </c>
      <c r="P72">
        <v>1924.3268</v>
      </c>
      <c r="Q72">
        <v>6902.2633999999998</v>
      </c>
      <c r="R72" t="s">
        <v>10</v>
      </c>
      <c r="S72" t="s">
        <v>235</v>
      </c>
      <c r="T72" s="4">
        <v>44834</v>
      </c>
      <c r="U72" s="5">
        <v>0.58472222222222225</v>
      </c>
      <c r="V72" t="s">
        <v>13</v>
      </c>
      <c r="W72">
        <v>1.163</v>
      </c>
      <c r="X72">
        <v>3514.0920000000001</v>
      </c>
      <c r="Y72">
        <v>173288.3443</v>
      </c>
      <c r="Z72" t="s">
        <v>1689</v>
      </c>
      <c r="AA72">
        <v>2.2530000000000001</v>
      </c>
      <c r="AB72">
        <v>143.6808</v>
      </c>
      <c r="AC72">
        <v>0.39019999999999999</v>
      </c>
      <c r="AD72" t="s">
        <v>10</v>
      </c>
    </row>
    <row r="73" spans="1:30">
      <c r="A73" s="2">
        <v>72</v>
      </c>
      <c r="B73" s="2" t="s">
        <v>196</v>
      </c>
      <c r="C73" s="2" t="s">
        <v>196</v>
      </c>
      <c r="D73" s="2">
        <v>72</v>
      </c>
      <c r="E73" s="2" t="s">
        <v>196</v>
      </c>
      <c r="F73" t="s">
        <v>236</v>
      </c>
      <c r="G73" s="4">
        <v>44834</v>
      </c>
      <c r="H73" s="5">
        <v>0.58847222222222217</v>
      </c>
      <c r="I73" t="s">
        <v>9</v>
      </c>
      <c r="J73">
        <v>1.4159999999999999</v>
      </c>
      <c r="K73">
        <v>0.5121</v>
      </c>
      <c r="L73">
        <v>2.5329000000000002</v>
      </c>
      <c r="M73" t="s">
        <v>10</v>
      </c>
      <c r="N73" t="s">
        <v>11</v>
      </c>
      <c r="O73">
        <v>1.9530000000000001</v>
      </c>
      <c r="P73">
        <v>113.84350000000001</v>
      </c>
      <c r="Q73">
        <v>211.17619999999999</v>
      </c>
      <c r="R73" t="s">
        <v>10</v>
      </c>
      <c r="S73" t="s">
        <v>237</v>
      </c>
      <c r="T73" s="4">
        <v>44834</v>
      </c>
      <c r="U73" s="5">
        <v>0.58847222222222217</v>
      </c>
      <c r="V73" t="s">
        <v>13</v>
      </c>
      <c r="W73">
        <v>1.1659999999999999</v>
      </c>
      <c r="X73">
        <v>3152.3069999999998</v>
      </c>
      <c r="Y73">
        <v>129001.8878</v>
      </c>
      <c r="Z73" t="s">
        <v>1689</v>
      </c>
      <c r="AA73">
        <v>2.2629999999999999</v>
      </c>
      <c r="AB73">
        <v>65.512500000000003</v>
      </c>
      <c r="AC73">
        <v>6.9800000000000001E-2</v>
      </c>
      <c r="AD73" t="s">
        <v>10</v>
      </c>
    </row>
    <row r="74" spans="1:30">
      <c r="A74" s="2">
        <v>73</v>
      </c>
      <c r="B74" s="2" t="s">
        <v>238</v>
      </c>
      <c r="C74" s="2" t="s">
        <v>239</v>
      </c>
      <c r="D74" s="2">
        <v>73</v>
      </c>
      <c r="E74" s="3" t="s">
        <v>240</v>
      </c>
      <c r="F74" t="s">
        <v>241</v>
      </c>
      <c r="G74" s="4">
        <v>44834</v>
      </c>
      <c r="H74" s="5">
        <v>0.59222222222222221</v>
      </c>
      <c r="I74" t="s">
        <v>9</v>
      </c>
      <c r="J74">
        <v>1.403</v>
      </c>
      <c r="K74">
        <v>0.67130000000000001</v>
      </c>
      <c r="L74">
        <v>3.2214</v>
      </c>
      <c r="M74" t="s">
        <v>10</v>
      </c>
      <c r="N74" t="s">
        <v>11</v>
      </c>
      <c r="O74">
        <v>1.9430000000000001</v>
      </c>
      <c r="P74">
        <v>168.00210000000001</v>
      </c>
      <c r="Q74">
        <v>411.33260000000001</v>
      </c>
      <c r="R74" t="s">
        <v>10</v>
      </c>
      <c r="S74" t="s">
        <v>242</v>
      </c>
      <c r="T74" s="4">
        <v>44834</v>
      </c>
      <c r="U74" s="5">
        <v>0.59222222222222221</v>
      </c>
      <c r="V74" t="s">
        <v>13</v>
      </c>
      <c r="W74">
        <v>1.1599999999999999</v>
      </c>
      <c r="X74">
        <v>3826.2581</v>
      </c>
      <c r="Y74">
        <v>219326.2115</v>
      </c>
      <c r="Z74" t="s">
        <v>1689</v>
      </c>
      <c r="AA74">
        <v>2.2530000000000001</v>
      </c>
      <c r="AB74">
        <v>113.94110000000001</v>
      </c>
      <c r="AC74">
        <v>0.26829999999999998</v>
      </c>
      <c r="AD74" t="s">
        <v>10</v>
      </c>
    </row>
    <row r="75" spans="1:30">
      <c r="A75" s="2">
        <v>74</v>
      </c>
      <c r="B75" s="2" t="s">
        <v>196</v>
      </c>
      <c r="C75" s="2" t="s">
        <v>196</v>
      </c>
      <c r="D75" s="2">
        <v>74</v>
      </c>
      <c r="E75" s="2" t="s">
        <v>196</v>
      </c>
      <c r="F75" t="s">
        <v>243</v>
      </c>
      <c r="G75" s="4">
        <v>44834</v>
      </c>
      <c r="H75" s="5">
        <v>0.5959606481481482</v>
      </c>
      <c r="I75" t="s">
        <v>9</v>
      </c>
      <c r="J75">
        <v>1.41</v>
      </c>
      <c r="K75">
        <v>0.371</v>
      </c>
      <c r="L75">
        <v>1.9226000000000001</v>
      </c>
      <c r="M75" t="s">
        <v>10</v>
      </c>
      <c r="N75" t="s">
        <v>11</v>
      </c>
      <c r="O75">
        <v>1.9430000000000001</v>
      </c>
      <c r="P75">
        <v>111.22029999999999</v>
      </c>
      <c r="Q75">
        <v>201.48150000000001</v>
      </c>
      <c r="R75" t="s">
        <v>10</v>
      </c>
      <c r="S75" t="s">
        <v>244</v>
      </c>
      <c r="T75" s="4">
        <v>44834</v>
      </c>
      <c r="U75" s="5">
        <v>0.5959606481481482</v>
      </c>
      <c r="V75" t="s">
        <v>13</v>
      </c>
      <c r="W75">
        <v>1.1599999999999999</v>
      </c>
      <c r="X75">
        <v>3188.0443</v>
      </c>
      <c r="Y75">
        <v>132484.4345</v>
      </c>
      <c r="Z75" t="s">
        <v>1689</v>
      </c>
      <c r="AA75">
        <v>2.2530000000000001</v>
      </c>
      <c r="AB75">
        <v>69.864000000000004</v>
      </c>
      <c r="AC75">
        <v>8.7599999999999997E-2</v>
      </c>
      <c r="AD75" t="s">
        <v>10</v>
      </c>
    </row>
    <row r="76" spans="1:30">
      <c r="A76" s="2">
        <v>75</v>
      </c>
      <c r="B76" s="2" t="s">
        <v>192</v>
      </c>
      <c r="C76" s="2" t="s">
        <v>245</v>
      </c>
      <c r="D76" s="2">
        <v>75</v>
      </c>
      <c r="E76" s="3" t="str">
        <f>D76&amp;"g"</f>
        <v>75g</v>
      </c>
      <c r="F76" t="s">
        <v>246</v>
      </c>
      <c r="G76" s="4">
        <v>44834</v>
      </c>
      <c r="H76" s="5">
        <v>0.59971064814814812</v>
      </c>
      <c r="I76" t="s">
        <v>9</v>
      </c>
      <c r="J76">
        <v>1.4159999999999999</v>
      </c>
      <c r="K76">
        <v>1.7447999999999999</v>
      </c>
      <c r="L76">
        <v>7.8646000000000003</v>
      </c>
      <c r="M76" t="s">
        <v>10</v>
      </c>
      <c r="N76" t="s">
        <v>11</v>
      </c>
      <c r="O76">
        <v>1.9530000000000001</v>
      </c>
      <c r="P76">
        <v>13961.1222</v>
      </c>
      <c r="Q76">
        <v>51387.207300000002</v>
      </c>
      <c r="R76" t="s">
        <v>10</v>
      </c>
      <c r="S76" t="s">
        <v>247</v>
      </c>
      <c r="T76" s="4">
        <v>44834</v>
      </c>
      <c r="U76" s="5">
        <v>0.59971064814814812</v>
      </c>
      <c r="V76" t="s">
        <v>13</v>
      </c>
      <c r="W76">
        <v>1.1659999999999999</v>
      </c>
      <c r="X76">
        <v>2925.6808000000001</v>
      </c>
      <c r="Y76">
        <v>109130.0082</v>
      </c>
      <c r="Z76" t="s">
        <v>1689</v>
      </c>
      <c r="AA76">
        <v>2.2559999999999998</v>
      </c>
      <c r="AB76">
        <v>737.19479999999999</v>
      </c>
      <c r="AC76">
        <v>2.8229000000000002</v>
      </c>
      <c r="AD76" t="s">
        <v>10</v>
      </c>
    </row>
    <row r="77" spans="1:30">
      <c r="A77" s="2">
        <v>76</v>
      </c>
      <c r="B77" s="2" t="s">
        <v>196</v>
      </c>
      <c r="C77" s="2" t="s">
        <v>196</v>
      </c>
      <c r="D77" s="2">
        <v>76</v>
      </c>
      <c r="E77" s="2" t="s">
        <v>196</v>
      </c>
      <c r="F77" t="s">
        <v>248</v>
      </c>
      <c r="G77" s="4">
        <v>44834</v>
      </c>
      <c r="H77" s="5">
        <v>0.603449074074074</v>
      </c>
      <c r="I77" t="s">
        <v>9</v>
      </c>
      <c r="J77">
        <v>0</v>
      </c>
      <c r="K77">
        <v>0</v>
      </c>
      <c r="L77">
        <v>0</v>
      </c>
      <c r="M77" t="s">
        <v>10</v>
      </c>
      <c r="N77" t="s">
        <v>11</v>
      </c>
      <c r="O77">
        <v>1.946</v>
      </c>
      <c r="P77">
        <v>111.8026</v>
      </c>
      <c r="Q77">
        <v>203.6335</v>
      </c>
      <c r="R77" t="s">
        <v>10</v>
      </c>
      <c r="S77" t="s">
        <v>249</v>
      </c>
      <c r="T77" s="4">
        <v>44834</v>
      </c>
      <c r="U77" s="5">
        <v>0.603449074074074</v>
      </c>
      <c r="V77" t="s">
        <v>13</v>
      </c>
      <c r="W77">
        <v>1.1599999999999999</v>
      </c>
      <c r="X77">
        <v>3120.1516000000001</v>
      </c>
      <c r="Y77">
        <v>125919.1131</v>
      </c>
      <c r="Z77" t="s">
        <v>1689</v>
      </c>
      <c r="AA77">
        <v>2.2559999999999998</v>
      </c>
      <c r="AB77">
        <v>65.561800000000005</v>
      </c>
      <c r="AC77">
        <v>7.0000000000000007E-2</v>
      </c>
      <c r="AD77" t="s">
        <v>10</v>
      </c>
    </row>
    <row r="78" spans="1:30">
      <c r="A78" s="2">
        <v>77</v>
      </c>
      <c r="B78" s="2" t="s">
        <v>192</v>
      </c>
      <c r="C78" s="2" t="s">
        <v>250</v>
      </c>
      <c r="D78" s="2">
        <v>77</v>
      </c>
      <c r="E78" s="3" t="str">
        <f>D78&amp;"g"</f>
        <v>77g</v>
      </c>
      <c r="F78" t="s">
        <v>251</v>
      </c>
      <c r="G78" s="4">
        <v>44834</v>
      </c>
      <c r="H78" s="5">
        <v>0.60719907407407414</v>
      </c>
      <c r="I78" t="s">
        <v>9</v>
      </c>
      <c r="J78">
        <v>1.42</v>
      </c>
      <c r="K78">
        <v>1.5576000000000001</v>
      </c>
      <c r="L78">
        <v>7.0548999999999999</v>
      </c>
      <c r="M78" t="s">
        <v>10</v>
      </c>
      <c r="N78" t="s">
        <v>11</v>
      </c>
      <c r="O78">
        <v>1.966</v>
      </c>
      <c r="P78">
        <v>2083.3946999999998</v>
      </c>
      <c r="Q78">
        <v>7490.1379999999999</v>
      </c>
      <c r="R78" t="s">
        <v>10</v>
      </c>
      <c r="S78" t="s">
        <v>252</v>
      </c>
      <c r="T78" s="4">
        <v>44834</v>
      </c>
      <c r="U78" s="5">
        <v>0.60719907407407414</v>
      </c>
      <c r="V78" t="s">
        <v>13</v>
      </c>
      <c r="W78">
        <v>1.17</v>
      </c>
      <c r="X78">
        <v>3592.9317999999998</v>
      </c>
      <c r="Y78">
        <v>184915.53969999999</v>
      </c>
      <c r="Z78" t="s">
        <v>1689</v>
      </c>
      <c r="AA78">
        <v>2.266</v>
      </c>
      <c r="AB78">
        <v>145.6618</v>
      </c>
      <c r="AC78">
        <v>0.39829999999999999</v>
      </c>
      <c r="AD78" t="s">
        <v>10</v>
      </c>
    </row>
    <row r="79" spans="1:30">
      <c r="A79" s="2">
        <v>78</v>
      </c>
      <c r="B79" s="2" t="s">
        <v>196</v>
      </c>
      <c r="C79" s="2" t="s">
        <v>196</v>
      </c>
      <c r="D79" s="2">
        <v>78</v>
      </c>
      <c r="E79" s="2" t="s">
        <v>196</v>
      </c>
      <c r="F79" t="s">
        <v>253</v>
      </c>
      <c r="G79" s="4">
        <v>44834</v>
      </c>
      <c r="H79" s="5">
        <v>0.61094907407407406</v>
      </c>
      <c r="I79" t="s">
        <v>9</v>
      </c>
      <c r="J79">
        <v>0</v>
      </c>
      <c r="K79">
        <v>0</v>
      </c>
      <c r="L79">
        <v>0</v>
      </c>
      <c r="M79" t="s">
        <v>10</v>
      </c>
      <c r="N79" t="s">
        <v>11</v>
      </c>
      <c r="O79">
        <v>1.9430000000000001</v>
      </c>
      <c r="P79">
        <v>41.440600000000003</v>
      </c>
      <c r="Q79">
        <v>0</v>
      </c>
      <c r="R79" t="s">
        <v>10</v>
      </c>
      <c r="S79" t="s">
        <v>254</v>
      </c>
      <c r="T79" s="4">
        <v>44834</v>
      </c>
      <c r="U79" s="5">
        <v>0.61094907407407406</v>
      </c>
      <c r="V79" t="s">
        <v>13</v>
      </c>
      <c r="W79">
        <v>1.1559999999999999</v>
      </c>
      <c r="X79">
        <v>1063.3604</v>
      </c>
      <c r="Y79">
        <v>4970.1576999999997</v>
      </c>
      <c r="Z79" t="s">
        <v>1689</v>
      </c>
      <c r="AA79">
        <v>2.25</v>
      </c>
      <c r="AB79">
        <v>17.569199999999999</v>
      </c>
      <c r="AC79">
        <v>0</v>
      </c>
      <c r="AD79" t="s">
        <v>10</v>
      </c>
    </row>
    <row r="80" spans="1:30">
      <c r="A80" s="2">
        <v>79</v>
      </c>
      <c r="B80" s="2" t="s">
        <v>192</v>
      </c>
      <c r="C80" s="2" t="s">
        <v>255</v>
      </c>
      <c r="D80" s="2">
        <v>79</v>
      </c>
      <c r="E80" s="3" t="str">
        <f>D80&amp;"g"</f>
        <v>79g</v>
      </c>
      <c r="F80" t="s">
        <v>256</v>
      </c>
      <c r="G80" s="4">
        <v>44834</v>
      </c>
      <c r="H80" s="5">
        <v>0.61468749999999994</v>
      </c>
      <c r="I80" t="s">
        <v>9</v>
      </c>
      <c r="J80">
        <v>1.403</v>
      </c>
      <c r="K80">
        <v>0.4662</v>
      </c>
      <c r="L80">
        <v>2.3342999999999998</v>
      </c>
      <c r="M80" t="s">
        <v>10</v>
      </c>
      <c r="N80" t="s">
        <v>11</v>
      </c>
      <c r="O80">
        <v>1.9430000000000001</v>
      </c>
      <c r="P80">
        <v>250.20509999999999</v>
      </c>
      <c r="Q80">
        <v>715.13409999999999</v>
      </c>
      <c r="R80" t="s">
        <v>10</v>
      </c>
      <c r="S80" t="s">
        <v>257</v>
      </c>
      <c r="T80" s="4">
        <v>44834</v>
      </c>
      <c r="U80" s="5">
        <v>0.61468749999999994</v>
      </c>
      <c r="V80" t="s">
        <v>13</v>
      </c>
      <c r="W80">
        <v>1.1599999999999999</v>
      </c>
      <c r="X80">
        <v>3556.9169999999999</v>
      </c>
      <c r="Y80">
        <v>179604.1219</v>
      </c>
      <c r="Z80" t="s">
        <v>1689</v>
      </c>
      <c r="AA80">
        <v>2.2530000000000001</v>
      </c>
      <c r="AB80">
        <v>93.929199999999994</v>
      </c>
      <c r="AC80">
        <v>0.1862</v>
      </c>
      <c r="AD80" t="s">
        <v>10</v>
      </c>
    </row>
    <row r="81" spans="1:30">
      <c r="A81" s="2">
        <v>80</v>
      </c>
      <c r="B81" s="2" t="s">
        <v>196</v>
      </c>
      <c r="C81" s="2" t="s">
        <v>196</v>
      </c>
      <c r="D81" s="2">
        <v>80</v>
      </c>
      <c r="E81" s="2" t="s">
        <v>196</v>
      </c>
      <c r="F81" t="s">
        <v>258</v>
      </c>
      <c r="G81" s="4">
        <v>44834</v>
      </c>
      <c r="H81" s="5">
        <v>0.61843749999999997</v>
      </c>
      <c r="I81" t="s">
        <v>9</v>
      </c>
      <c r="J81">
        <v>0</v>
      </c>
      <c r="K81">
        <v>0</v>
      </c>
      <c r="L81">
        <v>0</v>
      </c>
      <c r="M81" t="s">
        <v>10</v>
      </c>
      <c r="N81" t="s">
        <v>11</v>
      </c>
      <c r="O81">
        <v>1.946</v>
      </c>
      <c r="P81">
        <v>43.066600000000001</v>
      </c>
      <c r="Q81">
        <v>0</v>
      </c>
      <c r="R81" t="s">
        <v>10</v>
      </c>
      <c r="S81" t="s">
        <v>259</v>
      </c>
      <c r="T81" s="4">
        <v>44834</v>
      </c>
      <c r="U81" s="5">
        <v>0.61843749999999997</v>
      </c>
      <c r="V81" t="s">
        <v>13</v>
      </c>
      <c r="W81">
        <v>1.163</v>
      </c>
      <c r="X81">
        <v>1215.7954999999999</v>
      </c>
      <c r="Y81">
        <v>11605.813399999999</v>
      </c>
      <c r="Z81" t="s">
        <v>1689</v>
      </c>
      <c r="AA81">
        <v>2.2629999999999999</v>
      </c>
      <c r="AB81">
        <v>18.694400000000002</v>
      </c>
      <c r="AC81">
        <v>0</v>
      </c>
      <c r="AD81" t="s">
        <v>10</v>
      </c>
    </row>
    <row r="82" spans="1:30">
      <c r="A82" s="2">
        <v>81</v>
      </c>
      <c r="B82" s="2" t="s">
        <v>192</v>
      </c>
      <c r="C82" s="2" t="s">
        <v>260</v>
      </c>
      <c r="D82" s="2">
        <v>81</v>
      </c>
      <c r="E82" s="3" t="str">
        <f>D82&amp;"g"</f>
        <v>81g</v>
      </c>
      <c r="F82" t="s">
        <v>261</v>
      </c>
      <c r="G82" s="4">
        <v>44834</v>
      </c>
      <c r="H82" s="5">
        <v>0.6221875</v>
      </c>
      <c r="I82" t="s">
        <v>9</v>
      </c>
      <c r="J82">
        <v>1.41</v>
      </c>
      <c r="K82">
        <v>40.232199999999999</v>
      </c>
      <c r="L82">
        <v>174.33109999999999</v>
      </c>
      <c r="M82" t="s">
        <v>10</v>
      </c>
      <c r="N82" t="s">
        <v>11</v>
      </c>
      <c r="O82">
        <v>1.956</v>
      </c>
      <c r="P82">
        <v>9202.2397999999994</v>
      </c>
      <c r="Q82">
        <v>33799.584499999997</v>
      </c>
      <c r="R82" t="s">
        <v>10</v>
      </c>
      <c r="S82" t="s">
        <v>262</v>
      </c>
      <c r="T82" s="4">
        <v>44834</v>
      </c>
      <c r="U82" s="5">
        <v>0.6221875</v>
      </c>
      <c r="V82" t="s">
        <v>13</v>
      </c>
      <c r="W82">
        <v>1.1599999999999999</v>
      </c>
      <c r="X82">
        <v>3260.5012000000002</v>
      </c>
      <c r="Y82">
        <v>139997.38860000001</v>
      </c>
      <c r="Z82" t="s">
        <v>1689</v>
      </c>
      <c r="AA82">
        <v>2.2530000000000001</v>
      </c>
      <c r="AB82">
        <v>243.58080000000001</v>
      </c>
      <c r="AC82">
        <v>0.79959999999999998</v>
      </c>
      <c r="AD82" t="s">
        <v>10</v>
      </c>
    </row>
    <row r="83" spans="1:30">
      <c r="A83" s="2">
        <v>82</v>
      </c>
      <c r="B83" s="2" t="s">
        <v>196</v>
      </c>
      <c r="C83" s="2" t="s">
        <v>196</v>
      </c>
      <c r="D83" s="2">
        <v>82</v>
      </c>
      <c r="E83" s="2" t="s">
        <v>196</v>
      </c>
      <c r="F83" t="s">
        <v>263</v>
      </c>
      <c r="G83" s="4">
        <v>44834</v>
      </c>
      <c r="H83" s="5">
        <v>0.62593750000000004</v>
      </c>
      <c r="I83" t="s">
        <v>9</v>
      </c>
      <c r="J83">
        <v>1.413</v>
      </c>
      <c r="K83">
        <v>0.15290000000000001</v>
      </c>
      <c r="L83">
        <v>0.97919999999999996</v>
      </c>
      <c r="M83" t="s">
        <v>10</v>
      </c>
      <c r="N83" t="s">
        <v>11</v>
      </c>
      <c r="O83">
        <v>1.956</v>
      </c>
      <c r="P83">
        <v>92.132000000000005</v>
      </c>
      <c r="Q83">
        <v>130.93600000000001</v>
      </c>
      <c r="R83" t="s">
        <v>10</v>
      </c>
      <c r="S83" t="s">
        <v>264</v>
      </c>
      <c r="T83" s="4">
        <v>44834</v>
      </c>
      <c r="U83" s="5">
        <v>0.62593750000000004</v>
      </c>
      <c r="V83" t="s">
        <v>13</v>
      </c>
      <c r="W83">
        <v>1.1659999999999999</v>
      </c>
      <c r="X83">
        <v>3003.3780000000002</v>
      </c>
      <c r="Y83">
        <v>115545.72</v>
      </c>
      <c r="Z83" t="s">
        <v>1689</v>
      </c>
      <c r="AA83">
        <v>2.27</v>
      </c>
      <c r="AB83">
        <v>56.244799999999998</v>
      </c>
      <c r="AC83">
        <v>3.1800000000000002E-2</v>
      </c>
      <c r="AD83" t="s">
        <v>10</v>
      </c>
    </row>
    <row r="84" spans="1:30">
      <c r="A84" s="2">
        <v>83</v>
      </c>
      <c r="B84" s="2" t="s">
        <v>192</v>
      </c>
      <c r="C84" s="2" t="s">
        <v>265</v>
      </c>
      <c r="D84" s="2">
        <v>83</v>
      </c>
      <c r="E84" s="3" t="str">
        <f>D84&amp;"g"</f>
        <v>83g</v>
      </c>
      <c r="F84" t="s">
        <v>266</v>
      </c>
      <c r="G84" s="4">
        <v>44834</v>
      </c>
      <c r="H84" s="5">
        <v>0.62967592592592592</v>
      </c>
      <c r="I84" t="s">
        <v>9</v>
      </c>
      <c r="J84">
        <v>1.42</v>
      </c>
      <c r="K84">
        <v>0.79500000000000004</v>
      </c>
      <c r="L84">
        <v>3.7565</v>
      </c>
      <c r="M84" t="s">
        <v>10</v>
      </c>
      <c r="N84" t="s">
        <v>11</v>
      </c>
      <c r="O84">
        <v>1.966</v>
      </c>
      <c r="P84">
        <v>1723.4322</v>
      </c>
      <c r="Q84">
        <v>6159.8078999999998</v>
      </c>
      <c r="R84" t="s">
        <v>10</v>
      </c>
      <c r="S84" t="s">
        <v>267</v>
      </c>
      <c r="T84" s="4">
        <v>44834</v>
      </c>
      <c r="U84" s="5">
        <v>0.62967592592592592</v>
      </c>
      <c r="V84" t="s">
        <v>13</v>
      </c>
      <c r="W84">
        <v>1.17</v>
      </c>
      <c r="X84">
        <v>3616.4385000000002</v>
      </c>
      <c r="Y84">
        <v>188382.27849999999</v>
      </c>
      <c r="Z84" t="s">
        <v>1689</v>
      </c>
      <c r="AA84">
        <v>2.266</v>
      </c>
      <c r="AB84">
        <v>138.68799999999999</v>
      </c>
      <c r="AC84">
        <v>0.36969999999999997</v>
      </c>
      <c r="AD84" t="s">
        <v>10</v>
      </c>
    </row>
    <row r="85" spans="1:30">
      <c r="A85" s="2">
        <v>84</v>
      </c>
      <c r="B85" s="2" t="s">
        <v>196</v>
      </c>
      <c r="C85" s="2" t="s">
        <v>196</v>
      </c>
      <c r="D85" s="2">
        <v>84</v>
      </c>
      <c r="E85" s="2" t="s">
        <v>196</v>
      </c>
      <c r="F85" t="s">
        <v>268</v>
      </c>
      <c r="G85" s="4">
        <v>44834</v>
      </c>
      <c r="H85" s="5">
        <v>0.63342592592592595</v>
      </c>
      <c r="I85" t="s">
        <v>9</v>
      </c>
      <c r="J85">
        <v>1.403</v>
      </c>
      <c r="K85">
        <v>0.26500000000000001</v>
      </c>
      <c r="L85">
        <v>1.4641</v>
      </c>
      <c r="M85" t="s">
        <v>10</v>
      </c>
      <c r="N85" t="s">
        <v>11</v>
      </c>
      <c r="O85">
        <v>1.9430000000000001</v>
      </c>
      <c r="P85">
        <v>85.306700000000006</v>
      </c>
      <c r="Q85">
        <v>105.7114</v>
      </c>
      <c r="R85" t="s">
        <v>10</v>
      </c>
      <c r="S85" t="s">
        <v>269</v>
      </c>
      <c r="T85" s="4">
        <v>44834</v>
      </c>
      <c r="U85" s="5">
        <v>0.63342592592592595</v>
      </c>
      <c r="V85" t="s">
        <v>13</v>
      </c>
      <c r="W85">
        <v>1.1559999999999999</v>
      </c>
      <c r="X85">
        <v>2892.5030000000002</v>
      </c>
      <c r="Y85">
        <v>106455.56660000001</v>
      </c>
      <c r="Z85" t="s">
        <v>1689</v>
      </c>
      <c r="AA85">
        <v>2.2559999999999998</v>
      </c>
      <c r="AB85">
        <v>55.328600000000002</v>
      </c>
      <c r="AC85">
        <v>2.8000000000000001E-2</v>
      </c>
      <c r="AD85" t="s">
        <v>10</v>
      </c>
    </row>
    <row r="86" spans="1:30">
      <c r="A86" s="2">
        <v>85</v>
      </c>
      <c r="B86" s="2" t="s">
        <v>192</v>
      </c>
      <c r="C86" s="2" t="s">
        <v>270</v>
      </c>
      <c r="D86" s="2">
        <v>85</v>
      </c>
      <c r="E86" s="3" t="str">
        <f>D86&amp;"g"</f>
        <v>85g</v>
      </c>
      <c r="F86" t="s">
        <v>271</v>
      </c>
      <c r="G86" s="4">
        <v>44834</v>
      </c>
      <c r="H86" s="5">
        <v>0.63716435185185183</v>
      </c>
      <c r="I86" t="s">
        <v>9</v>
      </c>
      <c r="J86">
        <v>1.4059999999999999</v>
      </c>
      <c r="K86">
        <v>23.041399999999999</v>
      </c>
      <c r="L86">
        <v>99.977099999999993</v>
      </c>
      <c r="M86" t="s">
        <v>10</v>
      </c>
      <c r="N86" t="s">
        <v>11</v>
      </c>
      <c r="O86">
        <v>1.9530000000000001</v>
      </c>
      <c r="P86">
        <v>1692.3568</v>
      </c>
      <c r="Q86">
        <v>6044.9611000000004</v>
      </c>
      <c r="R86" t="s">
        <v>10</v>
      </c>
      <c r="S86" t="s">
        <v>272</v>
      </c>
      <c r="T86" s="4">
        <v>44834</v>
      </c>
      <c r="U86" s="5">
        <v>0.63716435185185183</v>
      </c>
      <c r="V86" t="s">
        <v>13</v>
      </c>
      <c r="W86">
        <v>1.1599999999999999</v>
      </c>
      <c r="X86">
        <v>3473.5884000000001</v>
      </c>
      <c r="Y86">
        <v>167314.92389999999</v>
      </c>
      <c r="Z86" t="s">
        <v>1689</v>
      </c>
      <c r="AA86">
        <v>2.2530000000000001</v>
      </c>
      <c r="AB86">
        <v>136.46539999999999</v>
      </c>
      <c r="AC86">
        <v>0.36059999999999998</v>
      </c>
      <c r="AD86" t="s">
        <v>10</v>
      </c>
    </row>
    <row r="87" spans="1:30">
      <c r="A87" s="2">
        <v>86</v>
      </c>
      <c r="B87" s="2" t="s">
        <v>196</v>
      </c>
      <c r="C87" s="2" t="s">
        <v>196</v>
      </c>
      <c r="D87" s="2">
        <v>86</v>
      </c>
      <c r="E87" s="2" t="s">
        <v>196</v>
      </c>
      <c r="F87" t="s">
        <v>273</v>
      </c>
      <c r="G87" s="4">
        <v>44834</v>
      </c>
      <c r="H87" s="5">
        <v>0.64091435185185186</v>
      </c>
      <c r="I87" t="s">
        <v>9</v>
      </c>
      <c r="J87">
        <v>1.4059999999999999</v>
      </c>
      <c r="K87">
        <v>0.28260000000000002</v>
      </c>
      <c r="L87">
        <v>1.5402</v>
      </c>
      <c r="M87" t="s">
        <v>10</v>
      </c>
      <c r="N87" t="s">
        <v>11</v>
      </c>
      <c r="O87">
        <v>1.9430000000000001</v>
      </c>
      <c r="P87">
        <v>100.7158</v>
      </c>
      <c r="Q87">
        <v>162.65950000000001</v>
      </c>
      <c r="R87" t="s">
        <v>10</v>
      </c>
      <c r="S87" t="s">
        <v>274</v>
      </c>
      <c r="T87" s="4">
        <v>44834</v>
      </c>
      <c r="U87" s="5">
        <v>0.64091435185185186</v>
      </c>
      <c r="V87" t="s">
        <v>13</v>
      </c>
      <c r="W87">
        <v>1.1559999999999999</v>
      </c>
      <c r="X87">
        <v>3051.6925999999999</v>
      </c>
      <c r="Y87">
        <v>119691.3637</v>
      </c>
      <c r="Z87" t="s">
        <v>1689</v>
      </c>
      <c r="AA87">
        <v>2.2530000000000001</v>
      </c>
      <c r="AB87">
        <v>62.863199999999999</v>
      </c>
      <c r="AC87">
        <v>5.8900000000000001E-2</v>
      </c>
      <c r="AD87" t="s">
        <v>10</v>
      </c>
    </row>
    <row r="88" spans="1:30">
      <c r="A88" s="2">
        <v>87</v>
      </c>
      <c r="B88" s="2" t="s">
        <v>275</v>
      </c>
      <c r="C88" s="2" t="s">
        <v>276</v>
      </c>
      <c r="D88" s="2">
        <v>87</v>
      </c>
      <c r="E88" s="3" t="str">
        <f>D88&amp;"g"</f>
        <v>87g</v>
      </c>
      <c r="F88" t="s">
        <v>277</v>
      </c>
      <c r="G88" s="4">
        <v>44834</v>
      </c>
      <c r="H88" s="5">
        <v>0.64465277777777785</v>
      </c>
      <c r="I88" t="s">
        <v>9</v>
      </c>
      <c r="J88">
        <v>1.4059999999999999</v>
      </c>
      <c r="K88">
        <v>2.9691999999999998</v>
      </c>
      <c r="L88">
        <v>13.160399999999999</v>
      </c>
      <c r="M88" t="s">
        <v>10</v>
      </c>
      <c r="N88" t="s">
        <v>11</v>
      </c>
      <c r="O88">
        <v>1.946</v>
      </c>
      <c r="P88">
        <v>267.42110000000002</v>
      </c>
      <c r="Q88">
        <v>778.76009999999997</v>
      </c>
      <c r="R88" t="s">
        <v>10</v>
      </c>
      <c r="S88" t="s">
        <v>278</v>
      </c>
      <c r="T88" s="4">
        <v>44834</v>
      </c>
      <c r="U88" s="5">
        <v>0.64465277777777785</v>
      </c>
      <c r="V88" t="s">
        <v>13</v>
      </c>
      <c r="W88">
        <v>1.1599999999999999</v>
      </c>
      <c r="X88">
        <v>3539.0014000000001</v>
      </c>
      <c r="Y88">
        <v>176961.9516</v>
      </c>
      <c r="Z88" t="s">
        <v>1689</v>
      </c>
      <c r="AA88">
        <v>2.2559999999999998</v>
      </c>
      <c r="AB88">
        <v>94.492400000000004</v>
      </c>
      <c r="AC88">
        <v>0.1885</v>
      </c>
      <c r="AD88" t="s">
        <v>10</v>
      </c>
    </row>
    <row r="89" spans="1:30">
      <c r="A89" s="2">
        <v>88</v>
      </c>
      <c r="B89" s="2" t="s">
        <v>196</v>
      </c>
      <c r="C89" s="2" t="s">
        <v>196</v>
      </c>
      <c r="D89" s="2">
        <v>88</v>
      </c>
      <c r="E89" s="2" t="s">
        <v>196</v>
      </c>
      <c r="F89" t="s">
        <v>279</v>
      </c>
      <c r="G89" s="4">
        <v>44834</v>
      </c>
      <c r="H89" s="5">
        <v>0.64839120370370373</v>
      </c>
      <c r="I89" t="s">
        <v>9</v>
      </c>
      <c r="J89">
        <v>1.4059999999999999</v>
      </c>
      <c r="K89">
        <v>0.27660000000000001</v>
      </c>
      <c r="L89">
        <v>1.5143</v>
      </c>
      <c r="M89" t="s">
        <v>10</v>
      </c>
      <c r="N89" t="s">
        <v>11</v>
      </c>
      <c r="O89">
        <v>1.946</v>
      </c>
      <c r="P89">
        <v>91.411500000000004</v>
      </c>
      <c r="Q89">
        <v>128.2732</v>
      </c>
      <c r="R89" t="s">
        <v>10</v>
      </c>
      <c r="S89" t="s">
        <v>280</v>
      </c>
      <c r="T89" s="4">
        <v>44834</v>
      </c>
      <c r="U89" s="5">
        <v>0.64839120370370373</v>
      </c>
      <c r="V89" t="s">
        <v>13</v>
      </c>
      <c r="W89">
        <v>1.1559999999999999</v>
      </c>
      <c r="X89">
        <v>2970.9956000000002</v>
      </c>
      <c r="Y89">
        <v>112799.06110000001</v>
      </c>
      <c r="Z89" t="s">
        <v>1689</v>
      </c>
      <c r="AA89">
        <v>2.2530000000000001</v>
      </c>
      <c r="AB89">
        <v>58.999200000000002</v>
      </c>
      <c r="AC89">
        <v>4.3099999999999999E-2</v>
      </c>
      <c r="AD89" t="s">
        <v>10</v>
      </c>
    </row>
    <row r="90" spans="1:30">
      <c r="A90" s="2">
        <v>89</v>
      </c>
      <c r="B90" s="2" t="s">
        <v>275</v>
      </c>
      <c r="C90" s="2" t="s">
        <v>281</v>
      </c>
      <c r="D90" s="2">
        <v>89</v>
      </c>
      <c r="E90" s="3" t="str">
        <f>D90&amp;"g"</f>
        <v>89g</v>
      </c>
      <c r="F90" t="s">
        <v>282</v>
      </c>
      <c r="G90" s="4">
        <v>44834</v>
      </c>
      <c r="H90" s="5">
        <v>0.65212962962962961</v>
      </c>
      <c r="I90" t="s">
        <v>9</v>
      </c>
      <c r="J90">
        <v>1.4059999999999999</v>
      </c>
      <c r="K90">
        <v>1.8218000000000001</v>
      </c>
      <c r="L90">
        <v>8.1975999999999996</v>
      </c>
      <c r="M90" t="s">
        <v>10</v>
      </c>
      <c r="N90" t="s">
        <v>11</v>
      </c>
      <c r="O90">
        <v>1.956</v>
      </c>
      <c r="P90">
        <v>3268.7646</v>
      </c>
      <c r="Q90">
        <v>11870.964599999999</v>
      </c>
      <c r="R90" t="s">
        <v>10</v>
      </c>
      <c r="S90" t="s">
        <v>283</v>
      </c>
      <c r="T90" s="4">
        <v>44834</v>
      </c>
      <c r="U90" s="5">
        <v>0.65212962962962961</v>
      </c>
      <c r="V90" t="s">
        <v>13</v>
      </c>
      <c r="W90">
        <v>1.1559999999999999</v>
      </c>
      <c r="X90">
        <v>3386.8092000000001</v>
      </c>
      <c r="Y90">
        <v>155027.42480000001</v>
      </c>
      <c r="Z90" t="s">
        <v>1689</v>
      </c>
      <c r="AA90">
        <v>2.2530000000000001</v>
      </c>
      <c r="AB90">
        <v>209.5668</v>
      </c>
      <c r="AC90">
        <v>0.66020000000000001</v>
      </c>
      <c r="AD90" t="s">
        <v>10</v>
      </c>
    </row>
    <row r="91" spans="1:30">
      <c r="A91" s="2">
        <v>90</v>
      </c>
      <c r="B91" s="2" t="s">
        <v>196</v>
      </c>
      <c r="C91" s="2" t="s">
        <v>196</v>
      </c>
      <c r="D91" s="2">
        <v>90</v>
      </c>
      <c r="E91" s="2" t="s">
        <v>196</v>
      </c>
      <c r="F91" t="s">
        <v>284</v>
      </c>
      <c r="G91" s="4">
        <v>44834</v>
      </c>
      <c r="H91" s="5">
        <v>0.65587962962962965</v>
      </c>
      <c r="I91" t="s">
        <v>9</v>
      </c>
      <c r="J91">
        <v>1.42</v>
      </c>
      <c r="K91">
        <v>0.25140000000000001</v>
      </c>
      <c r="L91">
        <v>1.4053</v>
      </c>
      <c r="M91" t="s">
        <v>10</v>
      </c>
      <c r="N91" t="s">
        <v>11</v>
      </c>
      <c r="O91">
        <v>1.9630000000000001</v>
      </c>
      <c r="P91">
        <v>98.581599999999995</v>
      </c>
      <c r="Q91">
        <v>154.77209999999999</v>
      </c>
      <c r="R91" t="s">
        <v>10</v>
      </c>
      <c r="S91" t="s">
        <v>285</v>
      </c>
      <c r="T91" s="4">
        <v>44834</v>
      </c>
      <c r="U91" s="5">
        <v>0.65587962962962965</v>
      </c>
      <c r="V91" t="s">
        <v>13</v>
      </c>
      <c r="W91">
        <v>1.1659999999999999</v>
      </c>
      <c r="X91">
        <v>3042.6671999999999</v>
      </c>
      <c r="Y91">
        <v>118916.9375</v>
      </c>
      <c r="Z91" t="s">
        <v>1689</v>
      </c>
      <c r="AA91">
        <v>2.2759999999999998</v>
      </c>
      <c r="AB91">
        <v>59.768700000000003</v>
      </c>
      <c r="AC91">
        <v>4.6199999999999998E-2</v>
      </c>
      <c r="AD91" t="s">
        <v>10</v>
      </c>
    </row>
    <row r="92" spans="1:30">
      <c r="A92" s="2">
        <v>91</v>
      </c>
      <c r="B92" s="2" t="s">
        <v>275</v>
      </c>
      <c r="C92" s="2" t="s">
        <v>286</v>
      </c>
      <c r="D92" s="2">
        <v>91</v>
      </c>
      <c r="E92" s="3" t="str">
        <f>D92&amp;"g"</f>
        <v>91g</v>
      </c>
      <c r="F92" t="s">
        <v>287</v>
      </c>
      <c r="G92" s="4">
        <v>44834</v>
      </c>
      <c r="H92" s="5">
        <v>0.65962962962962968</v>
      </c>
      <c r="I92" t="s">
        <v>9</v>
      </c>
      <c r="J92">
        <v>1.4159999999999999</v>
      </c>
      <c r="K92">
        <v>0.59</v>
      </c>
      <c r="L92">
        <v>2.8698000000000001</v>
      </c>
      <c r="M92" t="s">
        <v>10</v>
      </c>
      <c r="N92" t="s">
        <v>11</v>
      </c>
      <c r="O92">
        <v>1.9630000000000001</v>
      </c>
      <c r="P92">
        <v>397.90140000000002</v>
      </c>
      <c r="Q92">
        <v>1260.9821999999999</v>
      </c>
      <c r="R92" t="s">
        <v>10</v>
      </c>
      <c r="S92" t="s">
        <v>288</v>
      </c>
      <c r="T92" s="4">
        <v>44834</v>
      </c>
      <c r="U92" s="5">
        <v>0.65962962962962968</v>
      </c>
      <c r="V92" t="s">
        <v>13</v>
      </c>
      <c r="W92">
        <v>1.1659999999999999</v>
      </c>
      <c r="X92">
        <v>3622.4739</v>
      </c>
      <c r="Y92">
        <v>189272.37179999999</v>
      </c>
      <c r="Z92" t="s">
        <v>1689</v>
      </c>
      <c r="AA92">
        <v>2.2730000000000001</v>
      </c>
      <c r="AB92">
        <v>100.57559999999999</v>
      </c>
      <c r="AC92">
        <v>0.2135</v>
      </c>
      <c r="AD92" t="s">
        <v>10</v>
      </c>
    </row>
    <row r="93" spans="1:30">
      <c r="A93" s="2">
        <v>92</v>
      </c>
      <c r="B93" s="2" t="s">
        <v>196</v>
      </c>
      <c r="C93" s="2" t="s">
        <v>196</v>
      </c>
      <c r="D93" s="2">
        <v>92</v>
      </c>
      <c r="E93" s="2" t="s">
        <v>196</v>
      </c>
      <c r="F93" t="s">
        <v>289</v>
      </c>
      <c r="G93" s="4">
        <v>44834</v>
      </c>
      <c r="H93" s="5">
        <v>0.6633796296296296</v>
      </c>
      <c r="I93" t="s">
        <v>9</v>
      </c>
      <c r="J93">
        <v>1.4159999999999999</v>
      </c>
      <c r="K93">
        <v>0.3538</v>
      </c>
      <c r="L93">
        <v>1.8482000000000001</v>
      </c>
      <c r="M93" t="s">
        <v>10</v>
      </c>
      <c r="N93" t="s">
        <v>11</v>
      </c>
      <c r="O93">
        <v>1.9630000000000001</v>
      </c>
      <c r="P93">
        <v>123.84</v>
      </c>
      <c r="Q93">
        <v>248.1207</v>
      </c>
      <c r="R93" t="s">
        <v>10</v>
      </c>
      <c r="S93" t="s">
        <v>290</v>
      </c>
      <c r="T93" s="4">
        <v>44834</v>
      </c>
      <c r="U93" s="5">
        <v>0.6633796296296296</v>
      </c>
      <c r="V93" t="s">
        <v>13</v>
      </c>
      <c r="W93">
        <v>1.1659999999999999</v>
      </c>
      <c r="X93">
        <v>3205.6014</v>
      </c>
      <c r="Y93">
        <v>134258.0882</v>
      </c>
      <c r="Z93" t="s">
        <v>1689</v>
      </c>
      <c r="AA93">
        <v>2.2759999999999998</v>
      </c>
      <c r="AB93">
        <v>68.322199999999995</v>
      </c>
      <c r="AC93">
        <v>8.1299999999999997E-2</v>
      </c>
      <c r="AD93" t="s">
        <v>10</v>
      </c>
    </row>
    <row r="94" spans="1:30">
      <c r="A94" s="2">
        <v>93</v>
      </c>
      <c r="B94" s="2" t="s">
        <v>238</v>
      </c>
      <c r="C94" s="2" t="s">
        <v>239</v>
      </c>
      <c r="D94" s="2">
        <v>93</v>
      </c>
      <c r="E94" s="3" t="s">
        <v>291</v>
      </c>
      <c r="F94" t="s">
        <v>292</v>
      </c>
      <c r="G94" s="4">
        <v>44834</v>
      </c>
      <c r="H94" s="5">
        <v>0.66711805555555559</v>
      </c>
      <c r="I94" t="s">
        <v>9</v>
      </c>
      <c r="J94">
        <v>1.4059999999999999</v>
      </c>
      <c r="K94">
        <v>0.64839999999999998</v>
      </c>
      <c r="L94">
        <v>3.1223999999999998</v>
      </c>
      <c r="M94" t="s">
        <v>10</v>
      </c>
      <c r="N94" t="s">
        <v>11</v>
      </c>
      <c r="O94">
        <v>1.95</v>
      </c>
      <c r="P94">
        <v>165.88380000000001</v>
      </c>
      <c r="Q94">
        <v>403.50389999999999</v>
      </c>
      <c r="R94" t="s">
        <v>10</v>
      </c>
      <c r="S94" t="s">
        <v>293</v>
      </c>
      <c r="T94" s="4">
        <v>44834</v>
      </c>
      <c r="U94" s="5">
        <v>0.66711805555555559</v>
      </c>
      <c r="V94" t="s">
        <v>13</v>
      </c>
      <c r="W94">
        <v>1.1599999999999999</v>
      </c>
      <c r="X94">
        <v>3809.1478000000002</v>
      </c>
      <c r="Y94">
        <v>216802.8058</v>
      </c>
      <c r="Z94" t="s">
        <v>1689</v>
      </c>
      <c r="AA94">
        <v>2.2599999999999998</v>
      </c>
      <c r="AB94">
        <v>110.3854</v>
      </c>
      <c r="AC94">
        <v>0.25369999999999998</v>
      </c>
      <c r="AD94" t="s">
        <v>10</v>
      </c>
    </row>
    <row r="95" spans="1:30">
      <c r="A95" s="2">
        <v>94</v>
      </c>
      <c r="B95" s="2" t="s">
        <v>196</v>
      </c>
      <c r="C95" s="2" t="s">
        <v>196</v>
      </c>
      <c r="D95" s="2">
        <v>94</v>
      </c>
      <c r="E95" s="2" t="s">
        <v>196</v>
      </c>
      <c r="F95" t="s">
        <v>294</v>
      </c>
      <c r="G95" s="4">
        <v>44834</v>
      </c>
      <c r="H95" s="5">
        <v>0.67086805555555562</v>
      </c>
      <c r="I95" t="s">
        <v>9</v>
      </c>
      <c r="J95">
        <v>1.4159999999999999</v>
      </c>
      <c r="K95">
        <v>0.3342</v>
      </c>
      <c r="L95">
        <v>1.7634000000000001</v>
      </c>
      <c r="M95" t="s">
        <v>10</v>
      </c>
      <c r="N95" t="s">
        <v>11</v>
      </c>
      <c r="O95">
        <v>1.96</v>
      </c>
      <c r="P95">
        <v>98.119100000000003</v>
      </c>
      <c r="Q95">
        <v>153.06280000000001</v>
      </c>
      <c r="R95" t="s">
        <v>10</v>
      </c>
      <c r="S95" t="s">
        <v>295</v>
      </c>
      <c r="T95" s="4">
        <v>44834</v>
      </c>
      <c r="U95" s="5">
        <v>0.67086805555555562</v>
      </c>
      <c r="V95" t="s">
        <v>13</v>
      </c>
      <c r="W95">
        <v>1.1659999999999999</v>
      </c>
      <c r="X95">
        <v>3116.7988999999998</v>
      </c>
      <c r="Y95">
        <v>125613.1559</v>
      </c>
      <c r="Z95" t="s">
        <v>1689</v>
      </c>
      <c r="AA95">
        <v>2.2730000000000001</v>
      </c>
      <c r="AB95">
        <v>63.8842</v>
      </c>
      <c r="AC95">
        <v>6.3100000000000003E-2</v>
      </c>
      <c r="AD95" t="s">
        <v>10</v>
      </c>
    </row>
    <row r="96" spans="1:30">
      <c r="A96" s="2">
        <v>95</v>
      </c>
      <c r="B96" s="2" t="s">
        <v>275</v>
      </c>
      <c r="C96" s="2" t="s">
        <v>296</v>
      </c>
      <c r="D96" s="2">
        <v>95</v>
      </c>
      <c r="E96" s="3" t="str">
        <f>D96&amp;"g"</f>
        <v>95g</v>
      </c>
      <c r="F96" t="s">
        <v>297</v>
      </c>
      <c r="G96" s="4">
        <v>44834</v>
      </c>
      <c r="H96" s="5">
        <v>0.6746064814814815</v>
      </c>
      <c r="I96" t="s">
        <v>9</v>
      </c>
      <c r="J96">
        <v>1.4159999999999999</v>
      </c>
      <c r="K96">
        <v>0.69040000000000001</v>
      </c>
      <c r="L96">
        <v>3.3041</v>
      </c>
      <c r="M96" t="s">
        <v>10</v>
      </c>
      <c r="N96" t="s">
        <v>11</v>
      </c>
      <c r="O96">
        <v>1.9630000000000001</v>
      </c>
      <c r="P96">
        <v>2352.6851999999999</v>
      </c>
      <c r="Q96">
        <v>8485.3673999999992</v>
      </c>
      <c r="R96" t="s">
        <v>10</v>
      </c>
      <c r="S96" t="s">
        <v>298</v>
      </c>
      <c r="T96" s="4">
        <v>44834</v>
      </c>
      <c r="U96" s="5">
        <v>0.6746064814814815</v>
      </c>
      <c r="V96" t="s">
        <v>13</v>
      </c>
      <c r="W96">
        <v>1.1659999999999999</v>
      </c>
      <c r="X96">
        <v>3475.4697999999999</v>
      </c>
      <c r="Y96">
        <v>167592.3904</v>
      </c>
      <c r="Z96" t="s">
        <v>1689</v>
      </c>
      <c r="AA96">
        <v>2.2629999999999999</v>
      </c>
      <c r="AB96">
        <v>184.5866</v>
      </c>
      <c r="AC96">
        <v>0.55779999999999996</v>
      </c>
      <c r="AD96" t="s">
        <v>10</v>
      </c>
    </row>
    <row r="97" spans="1:30">
      <c r="A97" s="2">
        <v>96</v>
      </c>
      <c r="B97" s="2" t="s">
        <v>196</v>
      </c>
      <c r="C97" s="2" t="s">
        <v>196</v>
      </c>
      <c r="D97" s="2">
        <v>96</v>
      </c>
      <c r="E97" s="2" t="s">
        <v>196</v>
      </c>
      <c r="F97" t="s">
        <v>299</v>
      </c>
      <c r="G97" s="4">
        <v>44834</v>
      </c>
      <c r="H97" s="5">
        <v>0.67835648148148142</v>
      </c>
      <c r="I97" t="s">
        <v>9</v>
      </c>
      <c r="J97">
        <v>1.413</v>
      </c>
      <c r="K97">
        <v>0.2888</v>
      </c>
      <c r="L97">
        <v>1.5669999999999999</v>
      </c>
      <c r="M97" t="s">
        <v>10</v>
      </c>
      <c r="N97" t="s">
        <v>11</v>
      </c>
      <c r="O97">
        <v>1.9530000000000001</v>
      </c>
      <c r="P97">
        <v>93.789000000000001</v>
      </c>
      <c r="Q97">
        <v>137.0598</v>
      </c>
      <c r="R97" t="s">
        <v>10</v>
      </c>
      <c r="S97" t="s">
        <v>300</v>
      </c>
      <c r="T97" s="4">
        <v>44834</v>
      </c>
      <c r="U97" s="5">
        <v>0.67835648148148142</v>
      </c>
      <c r="V97" t="s">
        <v>13</v>
      </c>
      <c r="W97">
        <v>1.1659999999999999</v>
      </c>
      <c r="X97">
        <v>2928.4483</v>
      </c>
      <c r="Y97">
        <v>109354.0874</v>
      </c>
      <c r="Z97" t="s">
        <v>1689</v>
      </c>
      <c r="AA97">
        <v>2.266</v>
      </c>
      <c r="AB97">
        <v>58.836399999999998</v>
      </c>
      <c r="AC97">
        <v>4.24E-2</v>
      </c>
      <c r="AD97" t="s">
        <v>10</v>
      </c>
    </row>
    <row r="98" spans="1:30">
      <c r="A98" s="2">
        <v>97</v>
      </c>
      <c r="B98" s="2" t="s">
        <v>275</v>
      </c>
      <c r="C98" s="2" t="s">
        <v>301</v>
      </c>
      <c r="D98" s="2">
        <v>97</v>
      </c>
      <c r="E98" s="3" t="str">
        <f>D98&amp;"g"</f>
        <v>97g</v>
      </c>
      <c r="F98" t="s">
        <v>302</v>
      </c>
      <c r="G98" s="4">
        <v>44834</v>
      </c>
      <c r="H98" s="5">
        <v>0.68210648148148145</v>
      </c>
      <c r="I98" t="s">
        <v>9</v>
      </c>
      <c r="J98">
        <v>1.413</v>
      </c>
      <c r="K98">
        <v>0.42199999999999999</v>
      </c>
      <c r="L98">
        <v>2.1432000000000002</v>
      </c>
      <c r="M98" t="s">
        <v>10</v>
      </c>
      <c r="N98" t="s">
        <v>11</v>
      </c>
      <c r="O98">
        <v>1.956</v>
      </c>
      <c r="P98">
        <v>169.6514</v>
      </c>
      <c r="Q98">
        <v>417.428</v>
      </c>
      <c r="R98" t="s">
        <v>10</v>
      </c>
      <c r="S98" t="s">
        <v>303</v>
      </c>
      <c r="T98" s="4">
        <v>44834</v>
      </c>
      <c r="U98" s="5">
        <v>0.68210648148148145</v>
      </c>
      <c r="V98" t="s">
        <v>13</v>
      </c>
      <c r="W98">
        <v>1.1659999999999999</v>
      </c>
      <c r="X98">
        <v>3634.1095999999998</v>
      </c>
      <c r="Y98">
        <v>190988.3903</v>
      </c>
      <c r="Z98" t="s">
        <v>1689</v>
      </c>
      <c r="AA98">
        <v>2.266</v>
      </c>
      <c r="AB98">
        <v>92.371099999999998</v>
      </c>
      <c r="AC98">
        <v>0.17979999999999999</v>
      </c>
      <c r="AD98" t="s">
        <v>10</v>
      </c>
    </row>
    <row r="99" spans="1:30">
      <c r="A99" s="2">
        <v>98</v>
      </c>
      <c r="B99" s="2" t="s">
        <v>196</v>
      </c>
      <c r="C99" s="2" t="s">
        <v>196</v>
      </c>
      <c r="D99" s="2">
        <v>98</v>
      </c>
      <c r="E99" s="2" t="s">
        <v>196</v>
      </c>
      <c r="F99" t="s">
        <v>304</v>
      </c>
      <c r="G99" s="4">
        <v>44834</v>
      </c>
      <c r="H99" s="5">
        <v>0.68585648148148148</v>
      </c>
      <c r="I99" t="s">
        <v>9</v>
      </c>
      <c r="J99">
        <v>1.4059999999999999</v>
      </c>
      <c r="K99">
        <v>0.3196</v>
      </c>
      <c r="L99">
        <v>1.7002999999999999</v>
      </c>
      <c r="M99" t="s">
        <v>10</v>
      </c>
      <c r="N99" t="s">
        <v>11</v>
      </c>
      <c r="O99">
        <v>1.94</v>
      </c>
      <c r="P99">
        <v>85.541600000000003</v>
      </c>
      <c r="Q99">
        <v>106.5795</v>
      </c>
      <c r="R99" t="s">
        <v>10</v>
      </c>
      <c r="S99" t="s">
        <v>305</v>
      </c>
      <c r="T99" s="4">
        <v>44834</v>
      </c>
      <c r="U99" s="5">
        <v>0.68585648148148148</v>
      </c>
      <c r="V99" t="s">
        <v>13</v>
      </c>
      <c r="W99">
        <v>1.1559999999999999</v>
      </c>
      <c r="X99">
        <v>2942.9598000000001</v>
      </c>
      <c r="Y99">
        <v>110529.0558</v>
      </c>
      <c r="Z99" t="s">
        <v>1689</v>
      </c>
      <c r="AA99">
        <v>2.2530000000000001</v>
      </c>
      <c r="AB99">
        <v>57.600999999999999</v>
      </c>
      <c r="AC99">
        <v>3.73E-2</v>
      </c>
      <c r="AD99" t="s">
        <v>10</v>
      </c>
    </row>
    <row r="100" spans="1:30">
      <c r="A100" s="2">
        <v>99</v>
      </c>
      <c r="B100" s="2" t="s">
        <v>275</v>
      </c>
      <c r="C100" s="2" t="s">
        <v>306</v>
      </c>
      <c r="D100" s="2">
        <v>99</v>
      </c>
      <c r="E100" s="3" t="str">
        <f>D100&amp;"g"</f>
        <v>99g</v>
      </c>
      <c r="F100" t="s">
        <v>307</v>
      </c>
      <c r="G100" s="4">
        <v>44834</v>
      </c>
      <c r="H100" s="5">
        <v>0.6896064814814814</v>
      </c>
      <c r="I100" t="s">
        <v>9</v>
      </c>
      <c r="J100">
        <v>1.4059999999999999</v>
      </c>
      <c r="K100">
        <v>0.89500000000000002</v>
      </c>
      <c r="L100">
        <v>4.1890000000000001</v>
      </c>
      <c r="M100" t="s">
        <v>10</v>
      </c>
      <c r="N100" t="s">
        <v>11</v>
      </c>
      <c r="O100">
        <v>1.946</v>
      </c>
      <c r="P100">
        <v>1616.143</v>
      </c>
      <c r="Q100">
        <v>5763.2942000000003</v>
      </c>
      <c r="R100" t="s">
        <v>10</v>
      </c>
      <c r="S100" t="s">
        <v>308</v>
      </c>
      <c r="T100" s="4">
        <v>44834</v>
      </c>
      <c r="U100" s="5">
        <v>0.6896064814814814</v>
      </c>
      <c r="V100" t="s">
        <v>13</v>
      </c>
      <c r="W100">
        <v>1.1599999999999999</v>
      </c>
      <c r="X100">
        <v>3487.5772000000002</v>
      </c>
      <c r="Y100">
        <v>169377.97469999999</v>
      </c>
      <c r="Z100" t="s">
        <v>1689</v>
      </c>
      <c r="AA100">
        <v>2.246</v>
      </c>
      <c r="AB100">
        <v>139.8733</v>
      </c>
      <c r="AC100">
        <v>0.37459999999999999</v>
      </c>
      <c r="AD100" t="s">
        <v>10</v>
      </c>
    </row>
    <row r="101" spans="1:30">
      <c r="A101" s="2">
        <v>100</v>
      </c>
      <c r="B101" s="2" t="s">
        <v>196</v>
      </c>
      <c r="C101" s="2" t="s">
        <v>196</v>
      </c>
      <c r="D101" s="2">
        <v>100</v>
      </c>
      <c r="E101" s="2" t="s">
        <v>196</v>
      </c>
      <c r="F101" t="s">
        <v>309</v>
      </c>
      <c r="G101" s="4">
        <v>44834</v>
      </c>
      <c r="H101" s="5">
        <v>0.69334490740740751</v>
      </c>
      <c r="I101" t="s">
        <v>9</v>
      </c>
      <c r="J101">
        <v>1.4</v>
      </c>
      <c r="K101">
        <v>0.30409999999999998</v>
      </c>
      <c r="L101">
        <v>1.6332</v>
      </c>
      <c r="M101" t="s">
        <v>10</v>
      </c>
      <c r="N101" t="s">
        <v>11</v>
      </c>
      <c r="O101">
        <v>1.9359999999999999</v>
      </c>
      <c r="P101">
        <v>94.534199999999998</v>
      </c>
      <c r="Q101">
        <v>139.81389999999999</v>
      </c>
      <c r="R101" t="s">
        <v>10</v>
      </c>
      <c r="S101" t="s">
        <v>310</v>
      </c>
      <c r="T101" s="4">
        <v>44834</v>
      </c>
      <c r="U101" s="5">
        <v>0.69334490740740751</v>
      </c>
      <c r="V101" t="s">
        <v>13</v>
      </c>
      <c r="W101">
        <v>1.1599999999999999</v>
      </c>
      <c r="X101">
        <v>3087.2948000000001</v>
      </c>
      <c r="Y101">
        <v>122920.7013</v>
      </c>
      <c r="Z101" t="s">
        <v>1689</v>
      </c>
      <c r="AA101">
        <v>2.2429999999999999</v>
      </c>
      <c r="AB101">
        <v>63.846699999999998</v>
      </c>
      <c r="AC101">
        <v>6.2899999999999998E-2</v>
      </c>
      <c r="AD101" t="s">
        <v>10</v>
      </c>
    </row>
    <row r="102" spans="1:30">
      <c r="A102" s="2">
        <v>101</v>
      </c>
      <c r="B102" s="2" t="s">
        <v>275</v>
      </c>
      <c r="C102" s="2" t="s">
        <v>311</v>
      </c>
      <c r="D102" s="2">
        <v>101</v>
      </c>
      <c r="E102" s="3" t="str">
        <f>D102&amp;"g"</f>
        <v>101g</v>
      </c>
      <c r="F102" t="s">
        <v>312</v>
      </c>
      <c r="G102" s="4">
        <v>44834</v>
      </c>
      <c r="H102" s="5">
        <v>0.69709490740740743</v>
      </c>
      <c r="I102" t="s">
        <v>9</v>
      </c>
      <c r="J102">
        <v>1.413</v>
      </c>
      <c r="K102">
        <v>548.49390000000005</v>
      </c>
      <c r="L102">
        <v>2372.6750999999999</v>
      </c>
      <c r="M102" t="s">
        <v>10</v>
      </c>
      <c r="N102" t="s">
        <v>11</v>
      </c>
      <c r="O102">
        <v>1.946</v>
      </c>
      <c r="P102">
        <v>649.66539999999998</v>
      </c>
      <c r="Q102">
        <v>2191.4380999999998</v>
      </c>
      <c r="R102" t="s">
        <v>10</v>
      </c>
      <c r="S102" t="s">
        <v>313</v>
      </c>
      <c r="T102" s="4">
        <v>44834</v>
      </c>
      <c r="U102" s="5">
        <v>0.69709490740740743</v>
      </c>
      <c r="V102" t="s">
        <v>13</v>
      </c>
      <c r="W102">
        <v>1.1659999999999999</v>
      </c>
      <c r="X102">
        <v>3508.9117000000001</v>
      </c>
      <c r="Y102">
        <v>172524.36009999999</v>
      </c>
      <c r="Z102" t="s">
        <v>1689</v>
      </c>
      <c r="AA102">
        <v>2.246</v>
      </c>
      <c r="AB102">
        <v>104.9021</v>
      </c>
      <c r="AC102">
        <v>0.23119999999999999</v>
      </c>
      <c r="AD102" t="s">
        <v>10</v>
      </c>
    </row>
    <row r="103" spans="1:30">
      <c r="A103" s="2">
        <v>102</v>
      </c>
      <c r="B103" s="2" t="s">
        <v>196</v>
      </c>
      <c r="C103" s="2" t="s">
        <v>196</v>
      </c>
      <c r="D103" s="2">
        <v>102</v>
      </c>
      <c r="E103" s="2" t="s">
        <v>196</v>
      </c>
      <c r="F103" t="s">
        <v>314</v>
      </c>
      <c r="G103" s="4">
        <v>44834</v>
      </c>
      <c r="H103" s="5">
        <v>0.70084490740740746</v>
      </c>
      <c r="I103" t="s">
        <v>9</v>
      </c>
      <c r="J103">
        <v>1.403</v>
      </c>
      <c r="K103">
        <v>2.6720000000000002</v>
      </c>
      <c r="L103">
        <v>11.8749</v>
      </c>
      <c r="M103" t="s">
        <v>10</v>
      </c>
      <c r="N103" t="s">
        <v>11</v>
      </c>
      <c r="O103">
        <v>1.93</v>
      </c>
      <c r="P103">
        <v>100.218</v>
      </c>
      <c r="Q103">
        <v>160.81979999999999</v>
      </c>
      <c r="R103" t="s">
        <v>10</v>
      </c>
      <c r="S103" t="s">
        <v>315</v>
      </c>
      <c r="T103" s="4">
        <v>44834</v>
      </c>
      <c r="U103" s="5">
        <v>0.70084490740740746</v>
      </c>
      <c r="V103" t="s">
        <v>13</v>
      </c>
      <c r="W103">
        <v>1.1599999999999999</v>
      </c>
      <c r="X103">
        <v>3017.8625999999999</v>
      </c>
      <c r="Y103">
        <v>116788.57399999999</v>
      </c>
      <c r="Z103" t="s">
        <v>1689</v>
      </c>
      <c r="AA103">
        <v>2.2400000000000002</v>
      </c>
      <c r="AB103">
        <v>65.551000000000002</v>
      </c>
      <c r="AC103">
        <v>6.9900000000000004E-2</v>
      </c>
      <c r="AD103" t="s">
        <v>10</v>
      </c>
    </row>
    <row r="104" spans="1:30">
      <c r="A104" s="2">
        <v>103</v>
      </c>
      <c r="B104" s="2" t="s">
        <v>275</v>
      </c>
      <c r="C104" s="2" t="s">
        <v>316</v>
      </c>
      <c r="D104" s="2">
        <v>103</v>
      </c>
      <c r="E104" s="3" t="str">
        <f>D104&amp;"g"</f>
        <v>103g</v>
      </c>
      <c r="F104" t="s">
        <v>317</v>
      </c>
      <c r="G104" s="4">
        <v>44834</v>
      </c>
      <c r="H104" s="5">
        <v>0.70459490740740749</v>
      </c>
      <c r="I104" t="s">
        <v>9</v>
      </c>
      <c r="J104">
        <v>1.413</v>
      </c>
      <c r="K104">
        <v>4087.2195999999999</v>
      </c>
      <c r="L104">
        <v>17678.444800000001</v>
      </c>
      <c r="M104" t="s">
        <v>10</v>
      </c>
      <c r="N104" t="s">
        <v>11</v>
      </c>
      <c r="O104">
        <v>1.956</v>
      </c>
      <c r="P104">
        <v>1687.3643999999999</v>
      </c>
      <c r="Q104">
        <v>6026.5105000000003</v>
      </c>
      <c r="R104" t="s">
        <v>10</v>
      </c>
      <c r="S104" t="s">
        <v>318</v>
      </c>
      <c r="T104" s="4">
        <v>44834</v>
      </c>
      <c r="U104" s="5">
        <v>0.70459490740740749</v>
      </c>
      <c r="V104" t="s">
        <v>13</v>
      </c>
      <c r="W104">
        <v>1.17</v>
      </c>
      <c r="X104">
        <v>3605.6822000000002</v>
      </c>
      <c r="Y104">
        <v>186795.9528</v>
      </c>
      <c r="Z104" t="s">
        <v>1689</v>
      </c>
      <c r="AA104">
        <v>2.2530000000000001</v>
      </c>
      <c r="AB104">
        <v>131.7132</v>
      </c>
      <c r="AC104">
        <v>0.34110000000000001</v>
      </c>
      <c r="AD104" t="s">
        <v>10</v>
      </c>
    </row>
    <row r="105" spans="1:30">
      <c r="A105" s="2">
        <v>104</v>
      </c>
      <c r="B105" s="2" t="s">
        <v>196</v>
      </c>
      <c r="C105" s="2" t="s">
        <v>196</v>
      </c>
      <c r="D105" s="2">
        <v>104</v>
      </c>
      <c r="E105" s="2" t="s">
        <v>196</v>
      </c>
      <c r="F105" t="s">
        <v>319</v>
      </c>
      <c r="G105" s="4">
        <v>44834</v>
      </c>
      <c r="H105" s="5">
        <v>0.70834490740740741</v>
      </c>
      <c r="I105" t="s">
        <v>9</v>
      </c>
      <c r="J105">
        <v>1.413</v>
      </c>
      <c r="K105">
        <v>0.44900000000000001</v>
      </c>
      <c r="L105">
        <v>2.2599</v>
      </c>
      <c r="M105" t="s">
        <v>10</v>
      </c>
      <c r="N105" t="s">
        <v>11</v>
      </c>
      <c r="O105">
        <v>1.946</v>
      </c>
      <c r="P105">
        <v>84.824600000000004</v>
      </c>
      <c r="Q105">
        <v>103.9297</v>
      </c>
      <c r="R105" t="s">
        <v>10</v>
      </c>
      <c r="S105" t="s">
        <v>320</v>
      </c>
      <c r="T105" s="4">
        <v>44834</v>
      </c>
      <c r="U105" s="5">
        <v>0.70834490740740741</v>
      </c>
      <c r="V105" t="s">
        <v>13</v>
      </c>
      <c r="W105">
        <v>1.1659999999999999</v>
      </c>
      <c r="X105">
        <v>3065.9184</v>
      </c>
      <c r="Y105">
        <v>120969.9559</v>
      </c>
      <c r="Z105" t="s">
        <v>1689</v>
      </c>
      <c r="AA105">
        <v>2.2559999999999998</v>
      </c>
      <c r="AB105">
        <v>56.999099999999999</v>
      </c>
      <c r="AC105">
        <v>3.49E-2</v>
      </c>
      <c r="AD105" t="s">
        <v>10</v>
      </c>
    </row>
    <row r="106" spans="1:30">
      <c r="A106" s="2">
        <v>105</v>
      </c>
      <c r="B106" s="2" t="s">
        <v>275</v>
      </c>
      <c r="C106" s="2" t="s">
        <v>321</v>
      </c>
      <c r="D106" s="2">
        <v>105</v>
      </c>
      <c r="E106" s="3" t="str">
        <f>D106&amp;"g"</f>
        <v>105g</v>
      </c>
      <c r="F106" t="s">
        <v>322</v>
      </c>
      <c r="G106" s="4">
        <v>44834</v>
      </c>
      <c r="H106" s="5">
        <v>0.71209490740740744</v>
      </c>
      <c r="I106" t="s">
        <v>9</v>
      </c>
      <c r="J106">
        <v>1.4059999999999999</v>
      </c>
      <c r="K106">
        <v>4.5717999999999996</v>
      </c>
      <c r="L106">
        <v>20.091999999999999</v>
      </c>
      <c r="M106" t="s">
        <v>10</v>
      </c>
      <c r="N106" t="s">
        <v>11</v>
      </c>
      <c r="O106">
        <v>1.946</v>
      </c>
      <c r="P106">
        <v>4591.2830999999996</v>
      </c>
      <c r="Q106">
        <v>16758.6577</v>
      </c>
      <c r="R106" t="s">
        <v>10</v>
      </c>
      <c r="S106" t="s">
        <v>323</v>
      </c>
      <c r="T106" s="4">
        <v>44834</v>
      </c>
      <c r="U106" s="5">
        <v>0.71209490740740744</v>
      </c>
      <c r="V106" t="s">
        <v>13</v>
      </c>
      <c r="W106">
        <v>1.1599999999999999</v>
      </c>
      <c r="X106">
        <v>3469.8719000000001</v>
      </c>
      <c r="Y106">
        <v>166766.81909999999</v>
      </c>
      <c r="Z106" t="s">
        <v>1689</v>
      </c>
      <c r="AA106">
        <v>2.2400000000000002</v>
      </c>
      <c r="AB106">
        <v>211.33359999999999</v>
      </c>
      <c r="AC106">
        <v>0.66749999999999998</v>
      </c>
      <c r="AD106" t="s">
        <v>10</v>
      </c>
    </row>
    <row r="107" spans="1:30">
      <c r="A107" s="2">
        <v>106</v>
      </c>
      <c r="B107" s="2" t="s">
        <v>196</v>
      </c>
      <c r="C107" s="2" t="s">
        <v>196</v>
      </c>
      <c r="D107" s="2">
        <v>106</v>
      </c>
      <c r="E107" s="2" t="s">
        <v>196</v>
      </c>
      <c r="F107" t="s">
        <v>324</v>
      </c>
      <c r="G107" s="4">
        <v>44834</v>
      </c>
      <c r="H107" s="5">
        <v>0.71584490740740747</v>
      </c>
      <c r="I107" t="s">
        <v>9</v>
      </c>
      <c r="J107">
        <v>1.413</v>
      </c>
      <c r="K107">
        <v>0.28620000000000001</v>
      </c>
      <c r="L107">
        <v>1.5558000000000001</v>
      </c>
      <c r="M107" t="s">
        <v>10</v>
      </c>
      <c r="N107" t="s">
        <v>11</v>
      </c>
      <c r="O107">
        <v>1.95</v>
      </c>
      <c r="P107">
        <v>140.54409999999999</v>
      </c>
      <c r="Q107">
        <v>309.85480000000001</v>
      </c>
      <c r="R107" t="s">
        <v>10</v>
      </c>
      <c r="S107" t="s">
        <v>325</v>
      </c>
      <c r="T107" s="4">
        <v>44834</v>
      </c>
      <c r="U107" s="5">
        <v>0.71584490740740747</v>
      </c>
      <c r="V107" t="s">
        <v>13</v>
      </c>
      <c r="W107">
        <v>1.1659999999999999</v>
      </c>
      <c r="X107">
        <v>3199.5536999999999</v>
      </c>
      <c r="Y107">
        <v>133625.85329999999</v>
      </c>
      <c r="Z107" t="s">
        <v>1689</v>
      </c>
      <c r="AA107">
        <v>2.2530000000000001</v>
      </c>
      <c r="AB107">
        <v>62.5961</v>
      </c>
      <c r="AC107">
        <v>5.7799999999999997E-2</v>
      </c>
      <c r="AD107" t="s">
        <v>10</v>
      </c>
    </row>
    <row r="108" spans="1:30">
      <c r="A108" s="2">
        <v>107</v>
      </c>
      <c r="B108" s="2" t="s">
        <v>275</v>
      </c>
      <c r="C108" s="2" t="s">
        <v>326</v>
      </c>
      <c r="D108" s="2">
        <v>107</v>
      </c>
      <c r="E108" s="3" t="str">
        <f>D108&amp;"g"</f>
        <v>107g</v>
      </c>
      <c r="F108" t="s">
        <v>327</v>
      </c>
      <c r="G108" s="4">
        <v>44834</v>
      </c>
      <c r="H108" s="5">
        <v>0.71959490740740739</v>
      </c>
      <c r="I108" t="s">
        <v>9</v>
      </c>
      <c r="J108">
        <v>1.403</v>
      </c>
      <c r="K108">
        <v>2.2216</v>
      </c>
      <c r="L108">
        <v>9.9268000000000001</v>
      </c>
      <c r="M108" t="s">
        <v>10</v>
      </c>
      <c r="N108" t="s">
        <v>11</v>
      </c>
      <c r="O108">
        <v>1.94</v>
      </c>
      <c r="P108">
        <v>1268.4119000000001</v>
      </c>
      <c r="Q108">
        <v>4478.1682000000001</v>
      </c>
      <c r="R108" t="s">
        <v>10</v>
      </c>
      <c r="S108" t="s">
        <v>328</v>
      </c>
      <c r="T108" s="4">
        <v>44834</v>
      </c>
      <c r="U108" s="5">
        <v>0.71959490740740739</v>
      </c>
      <c r="V108" t="s">
        <v>13</v>
      </c>
      <c r="W108">
        <v>1.1599999999999999</v>
      </c>
      <c r="X108">
        <v>3530.8933999999999</v>
      </c>
      <c r="Y108">
        <v>175766.19380000001</v>
      </c>
      <c r="Z108" t="s">
        <v>1689</v>
      </c>
      <c r="AA108">
        <v>2.2360000000000002</v>
      </c>
      <c r="AB108">
        <v>122.63849999999999</v>
      </c>
      <c r="AC108">
        <v>0.3039</v>
      </c>
      <c r="AD108" t="s">
        <v>10</v>
      </c>
    </row>
    <row r="109" spans="1:30">
      <c r="A109" s="2">
        <v>108</v>
      </c>
      <c r="B109" s="2" t="s">
        <v>196</v>
      </c>
      <c r="C109" s="2" t="s">
        <v>196</v>
      </c>
      <c r="D109" s="2">
        <v>108</v>
      </c>
      <c r="E109" s="2" t="s">
        <v>196</v>
      </c>
      <c r="F109" t="s">
        <v>329</v>
      </c>
      <c r="G109" s="4">
        <v>44834</v>
      </c>
      <c r="H109" s="5">
        <v>0.72334490740740742</v>
      </c>
      <c r="I109" t="s">
        <v>9</v>
      </c>
      <c r="J109">
        <v>1.413</v>
      </c>
      <c r="K109">
        <v>0.30280000000000001</v>
      </c>
      <c r="L109">
        <v>1.6275999999999999</v>
      </c>
      <c r="M109" t="s">
        <v>10</v>
      </c>
      <c r="N109" t="s">
        <v>11</v>
      </c>
      <c r="O109">
        <v>1.9430000000000001</v>
      </c>
      <c r="P109">
        <v>87.810599999999994</v>
      </c>
      <c r="Q109">
        <v>114.9652</v>
      </c>
      <c r="R109" t="s">
        <v>10</v>
      </c>
      <c r="S109" t="s">
        <v>330</v>
      </c>
      <c r="T109" s="4">
        <v>44834</v>
      </c>
      <c r="U109" s="5">
        <v>0.72334490740740742</v>
      </c>
      <c r="V109" t="s">
        <v>13</v>
      </c>
      <c r="W109">
        <v>1.1659999999999999</v>
      </c>
      <c r="X109">
        <v>3089.6084000000001</v>
      </c>
      <c r="Y109">
        <v>123131.8334</v>
      </c>
      <c r="Z109" t="s">
        <v>1689</v>
      </c>
      <c r="AA109">
        <v>2.25</v>
      </c>
      <c r="AB109">
        <v>59.8733</v>
      </c>
      <c r="AC109">
        <v>4.6600000000000003E-2</v>
      </c>
      <c r="AD109" t="s">
        <v>10</v>
      </c>
    </row>
    <row r="110" spans="1:30">
      <c r="A110" s="2">
        <v>109</v>
      </c>
      <c r="B110" s="2" t="s">
        <v>275</v>
      </c>
      <c r="C110" s="2" t="s">
        <v>331</v>
      </c>
      <c r="D110" s="2">
        <v>109</v>
      </c>
      <c r="E110" s="3" t="str">
        <f>D110&amp;"g"</f>
        <v>109g</v>
      </c>
      <c r="F110" t="s">
        <v>332</v>
      </c>
      <c r="G110" s="4">
        <v>44834</v>
      </c>
      <c r="H110" s="5">
        <v>0.72710648148148149</v>
      </c>
      <c r="I110" t="s">
        <v>9</v>
      </c>
      <c r="J110">
        <v>1.4059999999999999</v>
      </c>
      <c r="K110">
        <v>18.5288</v>
      </c>
      <c r="L110">
        <v>80.459100000000007</v>
      </c>
      <c r="M110" t="s">
        <v>10</v>
      </c>
      <c r="N110" t="s">
        <v>11</v>
      </c>
      <c r="O110">
        <v>1.9430000000000001</v>
      </c>
      <c r="P110">
        <v>8334.8574000000008</v>
      </c>
      <c r="Q110">
        <v>30593.9591</v>
      </c>
      <c r="R110" t="s">
        <v>10</v>
      </c>
      <c r="S110" t="s">
        <v>333</v>
      </c>
      <c r="T110" s="4">
        <v>44834</v>
      </c>
      <c r="U110" s="5">
        <v>0.72710648148148149</v>
      </c>
      <c r="V110" t="s">
        <v>13</v>
      </c>
      <c r="W110">
        <v>1.163</v>
      </c>
      <c r="X110">
        <v>3289.1756</v>
      </c>
      <c r="Y110">
        <v>143230.1569</v>
      </c>
      <c r="Z110" t="s">
        <v>1689</v>
      </c>
      <c r="AA110">
        <v>2.2360000000000002</v>
      </c>
      <c r="AB110">
        <v>316.03379999999999</v>
      </c>
      <c r="AC110">
        <v>1.0966</v>
      </c>
      <c r="AD110" t="s">
        <v>10</v>
      </c>
    </row>
    <row r="111" spans="1:30">
      <c r="A111" s="2">
        <v>110</v>
      </c>
      <c r="B111" s="2" t="s">
        <v>196</v>
      </c>
      <c r="C111" s="2" t="s">
        <v>196</v>
      </c>
      <c r="D111" s="2">
        <v>110</v>
      </c>
      <c r="E111" s="2" t="s">
        <v>196</v>
      </c>
      <c r="F111" t="s">
        <v>334</v>
      </c>
      <c r="G111" s="4">
        <v>44834</v>
      </c>
      <c r="H111" s="5">
        <v>0.73085648148148152</v>
      </c>
      <c r="I111" t="s">
        <v>9</v>
      </c>
      <c r="J111">
        <v>1.403</v>
      </c>
      <c r="K111">
        <v>0.1822</v>
      </c>
      <c r="L111">
        <v>1.1060000000000001</v>
      </c>
      <c r="M111" t="s">
        <v>10</v>
      </c>
      <c r="N111" t="s">
        <v>11</v>
      </c>
      <c r="O111">
        <v>1.9330000000000001</v>
      </c>
      <c r="P111">
        <v>99.157600000000002</v>
      </c>
      <c r="Q111">
        <v>156.9008</v>
      </c>
      <c r="R111" t="s">
        <v>10</v>
      </c>
      <c r="S111" t="s">
        <v>335</v>
      </c>
      <c r="T111" s="4">
        <v>44834</v>
      </c>
      <c r="U111" s="5">
        <v>0.73085648148148152</v>
      </c>
      <c r="V111" t="s">
        <v>13</v>
      </c>
      <c r="W111">
        <v>1.1599999999999999</v>
      </c>
      <c r="X111">
        <v>3163.9519</v>
      </c>
      <c r="Y111">
        <v>130136.666</v>
      </c>
      <c r="Z111" t="s">
        <v>1689</v>
      </c>
      <c r="AA111">
        <v>2.2360000000000002</v>
      </c>
      <c r="AB111">
        <v>63.949599999999997</v>
      </c>
      <c r="AC111">
        <v>6.3299999999999995E-2</v>
      </c>
      <c r="AD111" t="s">
        <v>10</v>
      </c>
    </row>
    <row r="112" spans="1:30">
      <c r="A112" s="2">
        <v>111</v>
      </c>
      <c r="B112" s="2" t="s">
        <v>275</v>
      </c>
      <c r="C112" s="2" t="s">
        <v>336</v>
      </c>
      <c r="D112" s="2">
        <v>111</v>
      </c>
      <c r="E112" s="3" t="str">
        <f>D112&amp;"g"</f>
        <v>111g</v>
      </c>
      <c r="F112" t="s">
        <v>337</v>
      </c>
      <c r="G112" s="4">
        <v>44834</v>
      </c>
      <c r="H112" s="5">
        <v>0.73460648148148155</v>
      </c>
      <c r="I112" t="s">
        <v>9</v>
      </c>
      <c r="J112">
        <v>1.4059999999999999</v>
      </c>
      <c r="K112">
        <v>1.1865000000000001</v>
      </c>
      <c r="L112">
        <v>5.4497999999999998</v>
      </c>
      <c r="M112" t="s">
        <v>10</v>
      </c>
      <c r="N112" t="s">
        <v>11</v>
      </c>
      <c r="O112">
        <v>1.9330000000000001</v>
      </c>
      <c r="P112">
        <v>567.46879999999999</v>
      </c>
      <c r="Q112">
        <v>1887.6603</v>
      </c>
      <c r="R112" t="s">
        <v>10</v>
      </c>
      <c r="S112" t="s">
        <v>338</v>
      </c>
      <c r="T112" s="4">
        <v>44834</v>
      </c>
      <c r="U112" s="5">
        <v>0.73460648148148155</v>
      </c>
      <c r="V112" t="s">
        <v>13</v>
      </c>
      <c r="W112">
        <v>1.163</v>
      </c>
      <c r="X112">
        <v>3564.6066999999998</v>
      </c>
      <c r="Y112">
        <v>180738.1893</v>
      </c>
      <c r="Z112" t="s">
        <v>1689</v>
      </c>
      <c r="AA112">
        <v>2.2360000000000002</v>
      </c>
      <c r="AB112">
        <v>105.4024</v>
      </c>
      <c r="AC112">
        <v>0.23330000000000001</v>
      </c>
      <c r="AD112" t="s">
        <v>10</v>
      </c>
    </row>
    <row r="113" spans="1:30">
      <c r="A113" s="2">
        <v>112</v>
      </c>
      <c r="B113" s="2" t="s">
        <v>196</v>
      </c>
      <c r="C113" s="2" t="s">
        <v>196</v>
      </c>
      <c r="D113" s="2">
        <v>112</v>
      </c>
      <c r="E113" s="2" t="s">
        <v>196</v>
      </c>
      <c r="F113" t="s">
        <v>339</v>
      </c>
      <c r="G113" s="4">
        <v>44834</v>
      </c>
      <c r="H113" s="5">
        <v>0.73836805555555562</v>
      </c>
      <c r="I113" t="s">
        <v>9</v>
      </c>
      <c r="J113">
        <v>1.403</v>
      </c>
      <c r="K113">
        <v>0.34320000000000001</v>
      </c>
      <c r="L113">
        <v>1.8023</v>
      </c>
      <c r="M113" t="s">
        <v>10</v>
      </c>
      <c r="N113" t="s">
        <v>11</v>
      </c>
      <c r="O113">
        <v>1.9259999999999999</v>
      </c>
      <c r="P113">
        <v>104.08159999999999</v>
      </c>
      <c r="Q113">
        <v>175.09870000000001</v>
      </c>
      <c r="R113" t="s">
        <v>10</v>
      </c>
      <c r="S113" t="s">
        <v>340</v>
      </c>
      <c r="T113" s="4">
        <v>44834</v>
      </c>
      <c r="U113" s="5">
        <v>0.73836805555555562</v>
      </c>
      <c r="V113" t="s">
        <v>13</v>
      </c>
      <c r="W113">
        <v>1.1599999999999999</v>
      </c>
      <c r="X113">
        <v>3243.4155999999998</v>
      </c>
      <c r="Y113">
        <v>138211.2365</v>
      </c>
      <c r="Z113" t="s">
        <v>1689</v>
      </c>
      <c r="AA113">
        <v>2.23</v>
      </c>
      <c r="AB113">
        <v>68.717100000000002</v>
      </c>
      <c r="AC113">
        <v>8.2900000000000001E-2</v>
      </c>
      <c r="AD113" t="s">
        <v>10</v>
      </c>
    </row>
    <row r="114" spans="1:30">
      <c r="A114" s="2">
        <v>113</v>
      </c>
      <c r="B114" s="2" t="s">
        <v>238</v>
      </c>
      <c r="C114" s="2" t="s">
        <v>239</v>
      </c>
      <c r="D114" s="2">
        <v>113</v>
      </c>
      <c r="E114" s="3" t="s">
        <v>341</v>
      </c>
      <c r="F114" t="s">
        <v>342</v>
      </c>
      <c r="G114" s="4">
        <v>44834</v>
      </c>
      <c r="H114" s="5">
        <v>0.74211805555555566</v>
      </c>
      <c r="I114" t="s">
        <v>9</v>
      </c>
      <c r="J114">
        <v>1.4159999999999999</v>
      </c>
      <c r="K114">
        <v>0.67410000000000003</v>
      </c>
      <c r="L114">
        <v>3.2334999999999998</v>
      </c>
      <c r="M114" t="s">
        <v>10</v>
      </c>
      <c r="N114" t="s">
        <v>11</v>
      </c>
      <c r="O114">
        <v>1.9430000000000001</v>
      </c>
      <c r="P114">
        <v>167.69110000000001</v>
      </c>
      <c r="Q114">
        <v>410.18329999999997</v>
      </c>
      <c r="R114" t="s">
        <v>10</v>
      </c>
      <c r="S114" t="s">
        <v>343</v>
      </c>
      <c r="T114" s="4">
        <v>44834</v>
      </c>
      <c r="U114" s="5">
        <v>0.74211805555555566</v>
      </c>
      <c r="V114" t="s">
        <v>13</v>
      </c>
      <c r="W114">
        <v>1.173</v>
      </c>
      <c r="X114">
        <v>3962.3872999999999</v>
      </c>
      <c r="Y114">
        <v>239402.37609999999</v>
      </c>
      <c r="Z114" t="s">
        <v>1689</v>
      </c>
      <c r="AA114">
        <v>2.246</v>
      </c>
      <c r="AB114">
        <v>101.3646</v>
      </c>
      <c r="AC114">
        <v>0.2167</v>
      </c>
      <c r="AD114" t="s">
        <v>10</v>
      </c>
    </row>
    <row r="115" spans="1:30">
      <c r="A115" s="2">
        <v>114</v>
      </c>
      <c r="B115" s="2" t="s">
        <v>196</v>
      </c>
      <c r="C115" s="2" t="s">
        <v>196</v>
      </c>
      <c r="D115" s="2">
        <v>114</v>
      </c>
      <c r="E115" s="2" t="s">
        <v>196</v>
      </c>
      <c r="F115" t="s">
        <v>344</v>
      </c>
      <c r="G115" s="4">
        <v>44834</v>
      </c>
      <c r="H115" s="5">
        <v>0.74587962962962961</v>
      </c>
      <c r="I115" t="s">
        <v>9</v>
      </c>
      <c r="J115">
        <v>1.4</v>
      </c>
      <c r="K115">
        <v>0.33460000000000001</v>
      </c>
      <c r="L115">
        <v>1.7650999999999999</v>
      </c>
      <c r="M115" t="s">
        <v>10</v>
      </c>
      <c r="N115" t="s">
        <v>11</v>
      </c>
      <c r="O115">
        <v>1.9259999999999999</v>
      </c>
      <c r="P115">
        <v>95.493899999999996</v>
      </c>
      <c r="Q115">
        <v>143.36070000000001</v>
      </c>
      <c r="R115" t="s">
        <v>10</v>
      </c>
      <c r="S115" t="s">
        <v>345</v>
      </c>
      <c r="T115" s="4">
        <v>44834</v>
      </c>
      <c r="U115" s="5">
        <v>0.74587962962962961</v>
      </c>
      <c r="V115" t="s">
        <v>13</v>
      </c>
      <c r="W115">
        <v>1.1599999999999999</v>
      </c>
      <c r="X115">
        <v>3134.5362</v>
      </c>
      <c r="Y115">
        <v>127270.14969999999</v>
      </c>
      <c r="Z115" t="s">
        <v>1689</v>
      </c>
      <c r="AA115">
        <v>2.23</v>
      </c>
      <c r="AB115">
        <v>64.812600000000003</v>
      </c>
      <c r="AC115">
        <v>6.6900000000000001E-2</v>
      </c>
      <c r="AD115" t="s">
        <v>10</v>
      </c>
    </row>
    <row r="116" spans="1:30">
      <c r="A116" s="2">
        <v>115</v>
      </c>
      <c r="B116" s="2" t="s">
        <v>275</v>
      </c>
      <c r="C116" s="2" t="s">
        <v>346</v>
      </c>
      <c r="D116" s="2">
        <v>115</v>
      </c>
      <c r="E116" s="3" t="str">
        <f>D116&amp;"g"</f>
        <v>115g</v>
      </c>
      <c r="F116" t="s">
        <v>347</v>
      </c>
      <c r="G116" s="4">
        <v>44834</v>
      </c>
      <c r="H116" s="5">
        <v>0.74962962962962953</v>
      </c>
      <c r="I116" t="s">
        <v>9</v>
      </c>
      <c r="J116">
        <v>1.41</v>
      </c>
      <c r="K116">
        <v>2677.7959999999998</v>
      </c>
      <c r="L116">
        <v>11582.3766</v>
      </c>
      <c r="M116" t="s">
        <v>10</v>
      </c>
      <c r="N116" t="s">
        <v>11</v>
      </c>
      <c r="O116">
        <v>1.94</v>
      </c>
      <c r="P116">
        <v>1174.7518</v>
      </c>
      <c r="Q116">
        <v>4132.0243</v>
      </c>
      <c r="R116" t="s">
        <v>10</v>
      </c>
      <c r="S116" t="s">
        <v>348</v>
      </c>
      <c r="T116" s="4">
        <v>44834</v>
      </c>
      <c r="U116" s="5">
        <v>0.74962962962962953</v>
      </c>
      <c r="V116" t="s">
        <v>13</v>
      </c>
      <c r="W116">
        <v>1.17</v>
      </c>
      <c r="X116">
        <v>3581.9983000000002</v>
      </c>
      <c r="Y116">
        <v>183303.0808</v>
      </c>
      <c r="Z116" t="s">
        <v>1689</v>
      </c>
      <c r="AA116">
        <v>2.2330000000000001</v>
      </c>
      <c r="AB116">
        <v>117.958</v>
      </c>
      <c r="AC116">
        <v>0.28470000000000001</v>
      </c>
      <c r="AD116" t="s">
        <v>10</v>
      </c>
    </row>
    <row r="117" spans="1:30">
      <c r="A117" s="2">
        <v>116</v>
      </c>
      <c r="B117" s="2" t="s">
        <v>196</v>
      </c>
      <c r="C117" s="2" t="s">
        <v>196</v>
      </c>
      <c r="D117" s="2">
        <v>116</v>
      </c>
      <c r="E117" s="2" t="s">
        <v>196</v>
      </c>
      <c r="F117" t="s">
        <v>349</v>
      </c>
      <c r="G117" s="4">
        <v>44834</v>
      </c>
      <c r="H117" s="5">
        <v>0.75337962962962957</v>
      </c>
      <c r="I117" t="s">
        <v>9</v>
      </c>
      <c r="J117">
        <v>1.413</v>
      </c>
      <c r="K117">
        <v>3.2326999999999999</v>
      </c>
      <c r="L117">
        <v>14.3001</v>
      </c>
      <c r="M117" t="s">
        <v>10</v>
      </c>
      <c r="N117" t="s">
        <v>11</v>
      </c>
      <c r="O117">
        <v>1.9330000000000001</v>
      </c>
      <c r="P117">
        <v>96.129000000000005</v>
      </c>
      <c r="Q117">
        <v>145.7079</v>
      </c>
      <c r="R117" t="s">
        <v>10</v>
      </c>
      <c r="S117" t="s">
        <v>350</v>
      </c>
      <c r="T117" s="4">
        <v>44834</v>
      </c>
      <c r="U117" s="5">
        <v>0.75337962962962957</v>
      </c>
      <c r="V117" t="s">
        <v>13</v>
      </c>
      <c r="W117">
        <v>1.1659999999999999</v>
      </c>
      <c r="X117">
        <v>3135.7644</v>
      </c>
      <c r="Y117">
        <v>127389.836</v>
      </c>
      <c r="Z117" t="s">
        <v>1689</v>
      </c>
      <c r="AA117">
        <v>2.2360000000000002</v>
      </c>
      <c r="AB117">
        <v>61.144799999999996</v>
      </c>
      <c r="AC117">
        <v>5.1900000000000002E-2</v>
      </c>
      <c r="AD117" t="s">
        <v>10</v>
      </c>
    </row>
    <row r="118" spans="1:30">
      <c r="A118" s="2">
        <v>117</v>
      </c>
      <c r="B118" s="2" t="s">
        <v>351</v>
      </c>
      <c r="C118" s="2" t="s">
        <v>352</v>
      </c>
      <c r="D118" s="2">
        <v>117</v>
      </c>
      <c r="E118" s="3" t="str">
        <f>D118&amp;"g"</f>
        <v>117g</v>
      </c>
      <c r="F118" t="s">
        <v>353</v>
      </c>
      <c r="G118" s="4">
        <v>44834</v>
      </c>
      <c r="H118" s="5">
        <v>0.7571296296296296</v>
      </c>
      <c r="I118" t="s">
        <v>9</v>
      </c>
      <c r="J118">
        <v>1.413</v>
      </c>
      <c r="K118">
        <v>0.6794</v>
      </c>
      <c r="L118">
        <v>3.2565</v>
      </c>
      <c r="M118" t="s">
        <v>10</v>
      </c>
      <c r="N118" t="s">
        <v>11</v>
      </c>
      <c r="O118">
        <v>1.94</v>
      </c>
      <c r="P118">
        <v>710.04020000000003</v>
      </c>
      <c r="Q118">
        <v>2414.5680000000002</v>
      </c>
      <c r="R118" t="s">
        <v>10</v>
      </c>
      <c r="S118" t="s">
        <v>354</v>
      </c>
      <c r="T118" s="4">
        <v>44834</v>
      </c>
      <c r="U118" s="5">
        <v>0.7571296296296296</v>
      </c>
      <c r="V118" t="s">
        <v>13</v>
      </c>
      <c r="W118">
        <v>1.17</v>
      </c>
      <c r="X118">
        <v>3672.9647</v>
      </c>
      <c r="Y118">
        <v>196718.69200000001</v>
      </c>
      <c r="Z118" t="s">
        <v>1689</v>
      </c>
      <c r="AA118">
        <v>2.2360000000000002</v>
      </c>
      <c r="AB118">
        <v>106.7004</v>
      </c>
      <c r="AC118">
        <v>0.23860000000000001</v>
      </c>
      <c r="AD118" t="s">
        <v>10</v>
      </c>
    </row>
    <row r="119" spans="1:30">
      <c r="A119" s="2">
        <v>118</v>
      </c>
      <c r="B119" s="2" t="s">
        <v>196</v>
      </c>
      <c r="C119" s="2" t="s">
        <v>196</v>
      </c>
      <c r="D119" s="2">
        <v>118</v>
      </c>
      <c r="E119" s="2" t="s">
        <v>196</v>
      </c>
      <c r="F119" t="s">
        <v>355</v>
      </c>
      <c r="G119" s="4">
        <v>44834</v>
      </c>
      <c r="H119" s="5">
        <v>0.76087962962962974</v>
      </c>
      <c r="I119" t="s">
        <v>9</v>
      </c>
      <c r="J119">
        <v>1.403</v>
      </c>
      <c r="K119">
        <v>0.36320000000000002</v>
      </c>
      <c r="L119">
        <v>1.8888</v>
      </c>
      <c r="M119" t="s">
        <v>10</v>
      </c>
      <c r="N119" t="s">
        <v>11</v>
      </c>
      <c r="O119">
        <v>1.9259999999999999</v>
      </c>
      <c r="P119">
        <v>109.6718</v>
      </c>
      <c r="Q119">
        <v>195.7586</v>
      </c>
      <c r="R119" t="s">
        <v>10</v>
      </c>
      <c r="S119" t="s">
        <v>356</v>
      </c>
      <c r="T119" s="4">
        <v>44834</v>
      </c>
      <c r="U119" s="5">
        <v>0.76087962962962974</v>
      </c>
      <c r="V119" t="s">
        <v>13</v>
      </c>
      <c r="W119">
        <v>1.1599999999999999</v>
      </c>
      <c r="X119">
        <v>3388.6268</v>
      </c>
      <c r="Y119">
        <v>155270.52100000001</v>
      </c>
      <c r="Z119" t="s">
        <v>1689</v>
      </c>
      <c r="AA119">
        <v>2.226</v>
      </c>
      <c r="AB119">
        <v>73.786799999999999</v>
      </c>
      <c r="AC119">
        <v>0.1037</v>
      </c>
      <c r="AD119" t="s">
        <v>10</v>
      </c>
    </row>
    <row r="120" spans="1:30">
      <c r="A120" s="2">
        <v>119</v>
      </c>
      <c r="B120" s="2" t="s">
        <v>351</v>
      </c>
      <c r="C120" s="2" t="s">
        <v>357</v>
      </c>
      <c r="D120" s="2">
        <v>119</v>
      </c>
      <c r="E120" s="3" t="str">
        <f>D120&amp;"g"</f>
        <v>119g</v>
      </c>
      <c r="F120" t="s">
        <v>358</v>
      </c>
      <c r="G120" s="4">
        <v>44834</v>
      </c>
      <c r="H120" s="5">
        <v>0.76462962962962966</v>
      </c>
      <c r="I120" t="s">
        <v>9</v>
      </c>
      <c r="J120">
        <v>1.413</v>
      </c>
      <c r="K120">
        <v>1.8442000000000001</v>
      </c>
      <c r="L120">
        <v>8.2944999999999993</v>
      </c>
      <c r="M120" t="s">
        <v>10</v>
      </c>
      <c r="N120" t="s">
        <v>11</v>
      </c>
      <c r="O120">
        <v>1.94</v>
      </c>
      <c r="P120">
        <v>273.59969999999998</v>
      </c>
      <c r="Q120">
        <v>801.59460000000001</v>
      </c>
      <c r="R120" t="s">
        <v>10</v>
      </c>
      <c r="S120" t="s">
        <v>359</v>
      </c>
      <c r="T120" s="4">
        <v>44834</v>
      </c>
      <c r="U120" s="5">
        <v>0.76462962962962966</v>
      </c>
      <c r="V120" t="s">
        <v>13</v>
      </c>
      <c r="W120">
        <v>1.17</v>
      </c>
      <c r="X120">
        <v>3711.2926000000002</v>
      </c>
      <c r="Y120">
        <v>202371.24290000001</v>
      </c>
      <c r="Z120" t="s">
        <v>1689</v>
      </c>
      <c r="AA120">
        <v>2.2360000000000002</v>
      </c>
      <c r="AB120">
        <v>93.364999999999995</v>
      </c>
      <c r="AC120">
        <v>0.18390000000000001</v>
      </c>
      <c r="AD120" t="s">
        <v>10</v>
      </c>
    </row>
    <row r="121" spans="1:30">
      <c r="A121" s="2">
        <v>120</v>
      </c>
      <c r="B121" s="2" t="s">
        <v>196</v>
      </c>
      <c r="C121" s="2" t="s">
        <v>196</v>
      </c>
      <c r="D121" s="2">
        <v>120</v>
      </c>
      <c r="E121" s="2" t="s">
        <v>196</v>
      </c>
      <c r="F121" t="s">
        <v>360</v>
      </c>
      <c r="G121" s="4">
        <v>44834</v>
      </c>
      <c r="H121" s="5">
        <v>0.76837962962962969</v>
      </c>
      <c r="I121" t="s">
        <v>9</v>
      </c>
      <c r="J121">
        <v>1.403</v>
      </c>
      <c r="K121">
        <v>0.31209999999999999</v>
      </c>
      <c r="L121">
        <v>1.6677999999999999</v>
      </c>
      <c r="M121" t="s">
        <v>10</v>
      </c>
      <c r="N121" t="s">
        <v>11</v>
      </c>
      <c r="O121">
        <v>1.9259999999999999</v>
      </c>
      <c r="P121">
        <v>88.677099999999996</v>
      </c>
      <c r="Q121">
        <v>118.1675</v>
      </c>
      <c r="R121" t="s">
        <v>10</v>
      </c>
      <c r="S121" t="s">
        <v>361</v>
      </c>
      <c r="T121" s="4">
        <v>44834</v>
      </c>
      <c r="U121" s="5">
        <v>0.76837962962962969</v>
      </c>
      <c r="V121" t="s">
        <v>13</v>
      </c>
      <c r="W121">
        <v>1.1599999999999999</v>
      </c>
      <c r="X121">
        <v>3067.4756000000002</v>
      </c>
      <c r="Y121">
        <v>121112.0612</v>
      </c>
      <c r="Z121" t="s">
        <v>1689</v>
      </c>
      <c r="AA121">
        <v>2.226</v>
      </c>
      <c r="AB121">
        <v>58.494399999999999</v>
      </c>
      <c r="AC121">
        <v>4.1000000000000002E-2</v>
      </c>
      <c r="AD121" t="s">
        <v>10</v>
      </c>
    </row>
    <row r="122" spans="1:30">
      <c r="A122" s="2">
        <v>121</v>
      </c>
      <c r="B122" s="2" t="s">
        <v>351</v>
      </c>
      <c r="C122" s="2" t="s">
        <v>362</v>
      </c>
      <c r="D122" s="2">
        <v>121</v>
      </c>
      <c r="E122" s="3" t="str">
        <f>D122&amp;"g"</f>
        <v>121g</v>
      </c>
      <c r="F122" t="s">
        <v>363</v>
      </c>
      <c r="G122" s="4">
        <v>44834</v>
      </c>
      <c r="H122" s="5">
        <v>0.7721527777777778</v>
      </c>
      <c r="I122" t="s">
        <v>9</v>
      </c>
      <c r="J122">
        <v>1.41</v>
      </c>
      <c r="K122">
        <v>1205.9154000000001</v>
      </c>
      <c r="L122">
        <v>5216.1682000000001</v>
      </c>
      <c r="M122" t="s">
        <v>10</v>
      </c>
      <c r="N122" t="s">
        <v>11</v>
      </c>
      <c r="O122">
        <v>1.9359999999999999</v>
      </c>
      <c r="P122">
        <v>1325.6215999999999</v>
      </c>
      <c r="Q122">
        <v>4689.6008000000002</v>
      </c>
      <c r="R122" t="s">
        <v>10</v>
      </c>
      <c r="S122" t="s">
        <v>364</v>
      </c>
      <c r="T122" s="4">
        <v>44834</v>
      </c>
      <c r="U122" s="5">
        <v>0.7721527777777778</v>
      </c>
      <c r="V122" t="s">
        <v>13</v>
      </c>
      <c r="W122">
        <v>1.1659999999999999</v>
      </c>
      <c r="X122">
        <v>3542.5673999999999</v>
      </c>
      <c r="Y122">
        <v>177487.86079999999</v>
      </c>
      <c r="Z122" t="s">
        <v>1689</v>
      </c>
      <c r="AA122">
        <v>2.23</v>
      </c>
      <c r="AB122">
        <v>125.46639999999999</v>
      </c>
      <c r="AC122">
        <v>0.3155</v>
      </c>
      <c r="AD122" t="s">
        <v>10</v>
      </c>
    </row>
    <row r="123" spans="1:30">
      <c r="A123" s="2">
        <v>122</v>
      </c>
      <c r="B123" s="2" t="s">
        <v>196</v>
      </c>
      <c r="C123" s="2" t="s">
        <v>196</v>
      </c>
      <c r="D123" s="2">
        <v>122</v>
      </c>
      <c r="E123" s="2" t="s">
        <v>196</v>
      </c>
      <c r="F123" t="s">
        <v>365</v>
      </c>
      <c r="G123" s="4">
        <v>44834</v>
      </c>
      <c r="H123" s="5">
        <v>0.77590277777777772</v>
      </c>
      <c r="I123" t="s">
        <v>9</v>
      </c>
      <c r="J123">
        <v>1.413</v>
      </c>
      <c r="K123">
        <v>4.1955999999999998</v>
      </c>
      <c r="L123">
        <v>18.4648</v>
      </c>
      <c r="M123" t="s">
        <v>10</v>
      </c>
      <c r="N123" t="s">
        <v>11</v>
      </c>
      <c r="O123">
        <v>1.9330000000000001</v>
      </c>
      <c r="P123">
        <v>99.674899999999994</v>
      </c>
      <c r="Q123">
        <v>158.8126</v>
      </c>
      <c r="R123" t="s">
        <v>10</v>
      </c>
      <c r="S123" t="s">
        <v>366</v>
      </c>
      <c r="T123" s="4">
        <v>44834</v>
      </c>
      <c r="U123" s="5">
        <v>0.77590277777777772</v>
      </c>
      <c r="V123" t="s">
        <v>13</v>
      </c>
      <c r="W123">
        <v>1.1659999999999999</v>
      </c>
      <c r="X123">
        <v>3223.2325999999998</v>
      </c>
      <c r="Y123">
        <v>136101.27799999999</v>
      </c>
      <c r="Z123" t="s">
        <v>1689</v>
      </c>
      <c r="AA123">
        <v>2.2330000000000001</v>
      </c>
      <c r="AB123">
        <v>63.108400000000003</v>
      </c>
      <c r="AC123">
        <v>5.9900000000000002E-2</v>
      </c>
      <c r="AD123" t="s">
        <v>10</v>
      </c>
    </row>
    <row r="124" spans="1:30">
      <c r="A124" s="2">
        <v>123</v>
      </c>
      <c r="B124" s="2" t="s">
        <v>351</v>
      </c>
      <c r="C124" s="2" t="s">
        <v>367</v>
      </c>
      <c r="D124" s="2">
        <v>123</v>
      </c>
      <c r="E124" s="3" t="str">
        <f>D124&amp;"g"</f>
        <v>123g</v>
      </c>
      <c r="F124" t="s">
        <v>368</v>
      </c>
      <c r="G124" s="4">
        <v>44834</v>
      </c>
      <c r="H124" s="5">
        <v>0.77965277777777775</v>
      </c>
      <c r="I124" t="s">
        <v>9</v>
      </c>
      <c r="J124">
        <v>1.41</v>
      </c>
      <c r="K124">
        <v>1.0426</v>
      </c>
      <c r="L124">
        <v>4.8273999999999999</v>
      </c>
      <c r="M124" t="s">
        <v>10</v>
      </c>
      <c r="N124" t="s">
        <v>11</v>
      </c>
      <c r="O124">
        <v>1.94</v>
      </c>
      <c r="P124">
        <v>1103.796</v>
      </c>
      <c r="Q124">
        <v>3869.7896000000001</v>
      </c>
      <c r="R124" t="s">
        <v>10</v>
      </c>
      <c r="S124" t="s">
        <v>369</v>
      </c>
      <c r="T124" s="4">
        <v>44834</v>
      </c>
      <c r="U124" s="5">
        <v>0.77965277777777775</v>
      </c>
      <c r="V124" t="s">
        <v>13</v>
      </c>
      <c r="W124">
        <v>1.1659999999999999</v>
      </c>
      <c r="X124">
        <v>3681.9848000000002</v>
      </c>
      <c r="Y124">
        <v>198048.9651</v>
      </c>
      <c r="Z124" t="s">
        <v>1689</v>
      </c>
      <c r="AA124">
        <v>2.2330000000000001</v>
      </c>
      <c r="AB124">
        <v>121.34990000000001</v>
      </c>
      <c r="AC124">
        <v>0.29859999999999998</v>
      </c>
      <c r="AD124" t="s">
        <v>10</v>
      </c>
    </row>
    <row r="125" spans="1:30">
      <c r="A125" s="2">
        <v>124</v>
      </c>
      <c r="B125" s="2" t="s">
        <v>196</v>
      </c>
      <c r="C125" s="2" t="s">
        <v>196</v>
      </c>
      <c r="D125" s="2">
        <v>124</v>
      </c>
      <c r="E125" s="2" t="s">
        <v>196</v>
      </c>
      <c r="F125" t="s">
        <v>370</v>
      </c>
      <c r="G125" s="4">
        <v>44834</v>
      </c>
      <c r="H125" s="5">
        <v>0.78341435185185182</v>
      </c>
      <c r="I125" t="s">
        <v>9</v>
      </c>
      <c r="J125">
        <v>1.41</v>
      </c>
      <c r="K125">
        <v>0.30099999999999999</v>
      </c>
      <c r="L125">
        <v>1.6197999999999999</v>
      </c>
      <c r="M125" t="s">
        <v>10</v>
      </c>
      <c r="N125" t="s">
        <v>11</v>
      </c>
      <c r="O125">
        <v>1.9330000000000001</v>
      </c>
      <c r="P125">
        <v>92.791799999999995</v>
      </c>
      <c r="Q125">
        <v>133.37440000000001</v>
      </c>
      <c r="R125" t="s">
        <v>10</v>
      </c>
      <c r="S125" t="s">
        <v>371</v>
      </c>
      <c r="T125" s="4">
        <v>44834</v>
      </c>
      <c r="U125" s="5">
        <v>0.78341435185185182</v>
      </c>
      <c r="V125" t="s">
        <v>13</v>
      </c>
      <c r="W125">
        <v>1.1659999999999999</v>
      </c>
      <c r="X125">
        <v>3135.4263999999998</v>
      </c>
      <c r="Y125">
        <v>127356.89840000001</v>
      </c>
      <c r="Z125" t="s">
        <v>1689</v>
      </c>
      <c r="AA125">
        <v>2.2330000000000001</v>
      </c>
      <c r="AB125">
        <v>59.715800000000002</v>
      </c>
      <c r="AC125">
        <v>4.5999999999999999E-2</v>
      </c>
      <c r="AD125" t="s">
        <v>10</v>
      </c>
    </row>
    <row r="126" spans="1:30">
      <c r="A126" s="2">
        <v>125</v>
      </c>
      <c r="B126" s="2" t="s">
        <v>351</v>
      </c>
      <c r="C126" s="2" t="s">
        <v>372</v>
      </c>
      <c r="D126" s="2">
        <v>125</v>
      </c>
      <c r="E126" s="3" t="str">
        <f>D126&amp;"g"</f>
        <v>125g</v>
      </c>
      <c r="F126" t="s">
        <v>373</v>
      </c>
      <c r="G126" s="4">
        <v>44834</v>
      </c>
      <c r="H126" s="5">
        <v>0.78716435185185185</v>
      </c>
      <c r="I126" t="s">
        <v>9</v>
      </c>
      <c r="J126">
        <v>1.413</v>
      </c>
      <c r="K126">
        <v>0.96099999999999997</v>
      </c>
      <c r="L126">
        <v>4.4744999999999999</v>
      </c>
      <c r="M126" t="s">
        <v>10</v>
      </c>
      <c r="N126" t="s">
        <v>11</v>
      </c>
      <c r="O126">
        <v>1.9359999999999999</v>
      </c>
      <c r="P126">
        <v>589.43119999999999</v>
      </c>
      <c r="Q126">
        <v>1968.8277</v>
      </c>
      <c r="R126" t="s">
        <v>10</v>
      </c>
      <c r="S126" t="s">
        <v>374</v>
      </c>
      <c r="T126" s="4">
        <v>44834</v>
      </c>
      <c r="U126" s="5">
        <v>0.78716435185185185</v>
      </c>
      <c r="V126" t="s">
        <v>13</v>
      </c>
      <c r="W126">
        <v>1.17</v>
      </c>
      <c r="X126">
        <v>3656.0241999999998</v>
      </c>
      <c r="Y126">
        <v>194220.32819999999</v>
      </c>
      <c r="Z126" t="s">
        <v>1689</v>
      </c>
      <c r="AA126">
        <v>2.2330000000000001</v>
      </c>
      <c r="AB126">
        <v>101.4971</v>
      </c>
      <c r="AC126">
        <v>0.21729999999999999</v>
      </c>
      <c r="AD126" t="s">
        <v>10</v>
      </c>
    </row>
    <row r="127" spans="1:30">
      <c r="A127" s="2">
        <v>126</v>
      </c>
      <c r="B127" s="2" t="s">
        <v>196</v>
      </c>
      <c r="C127" s="2" t="s">
        <v>196</v>
      </c>
      <c r="D127" s="2">
        <v>126</v>
      </c>
      <c r="E127" s="2" t="s">
        <v>196</v>
      </c>
      <c r="F127" t="s">
        <v>375</v>
      </c>
      <c r="G127" s="4">
        <v>44834</v>
      </c>
      <c r="H127" s="5">
        <v>0.79091435185185188</v>
      </c>
      <c r="I127" t="s">
        <v>9</v>
      </c>
      <c r="J127">
        <v>1.41</v>
      </c>
      <c r="K127">
        <v>0.3332</v>
      </c>
      <c r="L127">
        <v>1.7591000000000001</v>
      </c>
      <c r="M127" t="s">
        <v>10</v>
      </c>
      <c r="N127" t="s">
        <v>11</v>
      </c>
      <c r="O127">
        <v>1.9330000000000001</v>
      </c>
      <c r="P127">
        <v>93.672899999999998</v>
      </c>
      <c r="Q127">
        <v>136.63079999999999</v>
      </c>
      <c r="R127" t="s">
        <v>10</v>
      </c>
      <c r="S127" t="s">
        <v>376</v>
      </c>
      <c r="T127" s="4">
        <v>44834</v>
      </c>
      <c r="U127" s="5">
        <v>0.79091435185185188</v>
      </c>
      <c r="V127" t="s">
        <v>13</v>
      </c>
      <c r="W127">
        <v>1.1659999999999999</v>
      </c>
      <c r="X127">
        <v>3217.0382</v>
      </c>
      <c r="Y127">
        <v>135453.70689999999</v>
      </c>
      <c r="Z127" t="s">
        <v>1689</v>
      </c>
      <c r="AA127">
        <v>2.2360000000000002</v>
      </c>
      <c r="AB127">
        <v>60.805999999999997</v>
      </c>
      <c r="AC127">
        <v>5.0500000000000003E-2</v>
      </c>
      <c r="AD127" t="s">
        <v>10</v>
      </c>
    </row>
    <row r="128" spans="1:30">
      <c r="A128" s="2">
        <v>127</v>
      </c>
      <c r="B128" s="2" t="s">
        <v>351</v>
      </c>
      <c r="C128" s="2" t="s">
        <v>377</v>
      </c>
      <c r="D128" s="2">
        <v>127</v>
      </c>
      <c r="E128" s="3" t="str">
        <f>D128&amp;"g"</f>
        <v>127g</v>
      </c>
      <c r="F128" t="s">
        <v>378</v>
      </c>
      <c r="G128" s="4">
        <v>44834</v>
      </c>
      <c r="H128" s="5">
        <v>0.79467592592592595</v>
      </c>
      <c r="I128" t="s">
        <v>9</v>
      </c>
      <c r="J128">
        <v>1.413</v>
      </c>
      <c r="K128">
        <v>1.8360000000000001</v>
      </c>
      <c r="L128">
        <v>8.2590000000000003</v>
      </c>
      <c r="M128" t="s">
        <v>10</v>
      </c>
      <c r="N128" t="s">
        <v>11</v>
      </c>
      <c r="O128">
        <v>1.9430000000000001</v>
      </c>
      <c r="P128">
        <v>2231.4546</v>
      </c>
      <c r="Q128">
        <v>8037.3298999999997</v>
      </c>
      <c r="R128" t="s">
        <v>10</v>
      </c>
      <c r="S128" t="s">
        <v>379</v>
      </c>
      <c r="T128" s="4">
        <v>44834</v>
      </c>
      <c r="U128" s="5">
        <v>0.79467592592592595</v>
      </c>
      <c r="V128" t="s">
        <v>13</v>
      </c>
      <c r="W128">
        <v>1.1659999999999999</v>
      </c>
      <c r="X128">
        <v>3606.0726</v>
      </c>
      <c r="Y128">
        <v>186853.52849999999</v>
      </c>
      <c r="Z128" t="s">
        <v>1689</v>
      </c>
      <c r="AA128">
        <v>2.23</v>
      </c>
      <c r="AB128">
        <v>147.3049</v>
      </c>
      <c r="AC128">
        <v>0.40500000000000003</v>
      </c>
      <c r="AD128" t="s">
        <v>10</v>
      </c>
    </row>
    <row r="129" spans="1:30">
      <c r="A129" s="2">
        <v>128</v>
      </c>
      <c r="B129" s="2" t="s">
        <v>196</v>
      </c>
      <c r="C129" s="2" t="s">
        <v>196</v>
      </c>
      <c r="D129" s="2">
        <v>128</v>
      </c>
      <c r="E129" s="2" t="s">
        <v>196</v>
      </c>
      <c r="F129" t="s">
        <v>380</v>
      </c>
      <c r="G129" s="4">
        <v>44834</v>
      </c>
      <c r="H129" s="5">
        <v>0.79843750000000002</v>
      </c>
      <c r="I129" t="s">
        <v>9</v>
      </c>
      <c r="J129">
        <v>1.3959999999999999</v>
      </c>
      <c r="K129">
        <v>0.30659999999999998</v>
      </c>
      <c r="L129">
        <v>1.6439999999999999</v>
      </c>
      <c r="M129" t="s">
        <v>10</v>
      </c>
      <c r="N129" t="s">
        <v>11</v>
      </c>
      <c r="O129">
        <v>1.92</v>
      </c>
      <c r="P129">
        <v>110.5505</v>
      </c>
      <c r="Q129">
        <v>199.0061</v>
      </c>
      <c r="R129" t="s">
        <v>10</v>
      </c>
      <c r="S129" t="s">
        <v>381</v>
      </c>
      <c r="T129" s="4">
        <v>44834</v>
      </c>
      <c r="U129" s="5">
        <v>0.79843750000000002</v>
      </c>
      <c r="V129" t="s">
        <v>13</v>
      </c>
      <c r="W129">
        <v>1.1599999999999999</v>
      </c>
      <c r="X129">
        <v>3183.6487999999999</v>
      </c>
      <c r="Y129">
        <v>132056.09959999999</v>
      </c>
      <c r="Z129" t="s">
        <v>1689</v>
      </c>
      <c r="AA129">
        <v>2.2200000000000002</v>
      </c>
      <c r="AB129">
        <v>66.239500000000007</v>
      </c>
      <c r="AC129">
        <v>7.2700000000000001E-2</v>
      </c>
      <c r="AD129" t="s">
        <v>10</v>
      </c>
    </row>
    <row r="130" spans="1:30">
      <c r="A130" s="2">
        <v>129</v>
      </c>
      <c r="B130" s="2" t="s">
        <v>351</v>
      </c>
      <c r="C130" s="2" t="s">
        <v>382</v>
      </c>
      <c r="D130" s="2">
        <v>129</v>
      </c>
      <c r="E130" s="3" t="str">
        <f>D130&amp;"g"</f>
        <v>129g</v>
      </c>
      <c r="F130" t="s">
        <v>383</v>
      </c>
      <c r="G130" s="4">
        <v>44834</v>
      </c>
      <c r="H130" s="5">
        <v>0.80219907407407398</v>
      </c>
      <c r="I130" t="s">
        <v>9</v>
      </c>
      <c r="J130">
        <v>1.4</v>
      </c>
      <c r="K130">
        <v>0.79379999999999995</v>
      </c>
      <c r="L130">
        <v>3.7513000000000001</v>
      </c>
      <c r="M130" t="s">
        <v>10</v>
      </c>
      <c r="N130" t="s">
        <v>11</v>
      </c>
      <c r="O130">
        <v>1.9330000000000001</v>
      </c>
      <c r="P130">
        <v>2626.7595999999999</v>
      </c>
      <c r="Q130">
        <v>9498.2769000000008</v>
      </c>
      <c r="R130" t="s">
        <v>10</v>
      </c>
      <c r="S130" t="s">
        <v>384</v>
      </c>
      <c r="T130" s="4">
        <v>44834</v>
      </c>
      <c r="U130" s="5">
        <v>0.80219907407407398</v>
      </c>
      <c r="V130" t="s">
        <v>13</v>
      </c>
      <c r="W130">
        <v>1.1599999999999999</v>
      </c>
      <c r="X130">
        <v>3512.9405999999999</v>
      </c>
      <c r="Y130">
        <v>173118.5373</v>
      </c>
      <c r="Z130" t="s">
        <v>1689</v>
      </c>
      <c r="AA130">
        <v>2.2200000000000002</v>
      </c>
      <c r="AB130">
        <v>179.09800000000001</v>
      </c>
      <c r="AC130">
        <v>0.5353</v>
      </c>
      <c r="AD130" t="s">
        <v>10</v>
      </c>
    </row>
    <row r="131" spans="1:30">
      <c r="A131" s="2">
        <v>130</v>
      </c>
      <c r="B131" s="2" t="s">
        <v>196</v>
      </c>
      <c r="C131" s="2" t="s">
        <v>196</v>
      </c>
      <c r="D131" s="2">
        <v>130</v>
      </c>
      <c r="E131" s="2" t="s">
        <v>196</v>
      </c>
      <c r="F131" t="s">
        <v>385</v>
      </c>
      <c r="G131" s="4">
        <v>44834</v>
      </c>
      <c r="H131" s="5">
        <v>0.80596064814814816</v>
      </c>
      <c r="I131" t="s">
        <v>9</v>
      </c>
      <c r="J131">
        <v>1.4059999999999999</v>
      </c>
      <c r="K131">
        <v>0.26989999999999997</v>
      </c>
      <c r="L131">
        <v>1.4853000000000001</v>
      </c>
      <c r="M131" t="s">
        <v>10</v>
      </c>
      <c r="N131" t="s">
        <v>11</v>
      </c>
      <c r="O131">
        <v>1.9259999999999999</v>
      </c>
      <c r="P131">
        <v>90.578400000000002</v>
      </c>
      <c r="Q131">
        <v>125.1943</v>
      </c>
      <c r="R131" t="s">
        <v>10</v>
      </c>
      <c r="S131" t="s">
        <v>386</v>
      </c>
      <c r="T131" s="4">
        <v>44834</v>
      </c>
      <c r="U131" s="5">
        <v>0.80596064814814816</v>
      </c>
      <c r="V131" t="s">
        <v>13</v>
      </c>
      <c r="W131">
        <v>1.1659999999999999</v>
      </c>
      <c r="X131">
        <v>2982.3503999999998</v>
      </c>
      <c r="Y131">
        <v>113741.4427</v>
      </c>
      <c r="Z131" t="s">
        <v>1689</v>
      </c>
      <c r="AA131">
        <v>2.226</v>
      </c>
      <c r="AB131">
        <v>58.827500000000001</v>
      </c>
      <c r="AC131">
        <v>4.24E-2</v>
      </c>
      <c r="AD131" t="s">
        <v>10</v>
      </c>
    </row>
    <row r="132" spans="1:30">
      <c r="A132" s="2">
        <v>131</v>
      </c>
      <c r="B132" s="2" t="s">
        <v>351</v>
      </c>
      <c r="C132" s="2" t="s">
        <v>387</v>
      </c>
      <c r="D132" s="2">
        <v>131</v>
      </c>
      <c r="E132" s="3" t="str">
        <f>D132&amp;"g"</f>
        <v>131g</v>
      </c>
      <c r="F132" t="s">
        <v>388</v>
      </c>
      <c r="G132" s="4">
        <v>44834</v>
      </c>
      <c r="H132" s="5">
        <v>0.80972222222222223</v>
      </c>
      <c r="I132" t="s">
        <v>9</v>
      </c>
      <c r="J132">
        <v>1.4159999999999999</v>
      </c>
      <c r="K132">
        <v>47.128999999999998</v>
      </c>
      <c r="L132">
        <v>204.16120000000001</v>
      </c>
      <c r="M132" t="s">
        <v>10</v>
      </c>
      <c r="N132" t="s">
        <v>11</v>
      </c>
      <c r="O132">
        <v>1.94</v>
      </c>
      <c r="P132">
        <v>813.298</v>
      </c>
      <c r="Q132">
        <v>2796.1826999999998</v>
      </c>
      <c r="R132" t="s">
        <v>10</v>
      </c>
      <c r="S132" t="s">
        <v>389</v>
      </c>
      <c r="T132" s="4">
        <v>44834</v>
      </c>
      <c r="U132" s="5">
        <v>0.80972222222222223</v>
      </c>
      <c r="V132" t="s">
        <v>13</v>
      </c>
      <c r="W132">
        <v>1.17</v>
      </c>
      <c r="X132">
        <v>3690.8892000000001</v>
      </c>
      <c r="Y132">
        <v>199362.17490000001</v>
      </c>
      <c r="Z132" t="s">
        <v>1689</v>
      </c>
      <c r="AA132">
        <v>2.2360000000000002</v>
      </c>
      <c r="AB132">
        <v>107.1527</v>
      </c>
      <c r="AC132">
        <v>0.2404</v>
      </c>
      <c r="AD132" t="s">
        <v>10</v>
      </c>
    </row>
    <row r="133" spans="1:30">
      <c r="A133" s="2">
        <v>132</v>
      </c>
      <c r="B133" s="2" t="s">
        <v>196</v>
      </c>
      <c r="C133" s="2" t="s">
        <v>196</v>
      </c>
      <c r="D133" s="2">
        <v>132</v>
      </c>
      <c r="E133" s="2" t="s">
        <v>196</v>
      </c>
      <c r="F133" t="s">
        <v>390</v>
      </c>
      <c r="G133" s="4">
        <v>44834</v>
      </c>
      <c r="H133" s="5">
        <v>0.81347222222222226</v>
      </c>
      <c r="I133" t="s">
        <v>9</v>
      </c>
      <c r="J133">
        <v>1.4</v>
      </c>
      <c r="K133">
        <v>0.40100000000000002</v>
      </c>
      <c r="L133">
        <v>2.0522999999999998</v>
      </c>
      <c r="M133" t="s">
        <v>10</v>
      </c>
      <c r="N133" t="s">
        <v>11</v>
      </c>
      <c r="O133">
        <v>1.923</v>
      </c>
      <c r="P133">
        <v>90.281099999999995</v>
      </c>
      <c r="Q133">
        <v>124.0955</v>
      </c>
      <c r="R133" t="s">
        <v>10</v>
      </c>
      <c r="S133" t="s">
        <v>391</v>
      </c>
      <c r="T133" s="4">
        <v>44834</v>
      </c>
      <c r="U133" s="5">
        <v>0.81347222222222226</v>
      </c>
      <c r="V133" t="s">
        <v>13</v>
      </c>
      <c r="W133">
        <v>1.1599999999999999</v>
      </c>
      <c r="X133">
        <v>3042.5218</v>
      </c>
      <c r="Y133">
        <v>118904.4614</v>
      </c>
      <c r="Z133" t="s">
        <v>1689</v>
      </c>
      <c r="AA133">
        <v>2.2229999999999999</v>
      </c>
      <c r="AB133">
        <v>56.662199999999999</v>
      </c>
      <c r="AC133">
        <v>3.3500000000000002E-2</v>
      </c>
      <c r="AD133" t="s">
        <v>10</v>
      </c>
    </row>
    <row r="134" spans="1:30">
      <c r="A134" s="2">
        <v>133</v>
      </c>
      <c r="B134" s="2" t="s">
        <v>238</v>
      </c>
      <c r="C134" s="2" t="s">
        <v>239</v>
      </c>
      <c r="D134" s="2">
        <v>133</v>
      </c>
      <c r="E134" s="3" t="s">
        <v>392</v>
      </c>
      <c r="F134" t="s">
        <v>393</v>
      </c>
      <c r="G134" s="4">
        <v>44834</v>
      </c>
      <c r="H134" s="5">
        <v>0.81723379629629633</v>
      </c>
      <c r="I134" t="s">
        <v>9</v>
      </c>
      <c r="J134">
        <v>1.413</v>
      </c>
      <c r="K134">
        <v>0.67200000000000004</v>
      </c>
      <c r="L134">
        <v>3.2244999999999999</v>
      </c>
      <c r="M134" t="s">
        <v>10</v>
      </c>
      <c r="N134" t="s">
        <v>11</v>
      </c>
      <c r="O134">
        <v>1.9359999999999999</v>
      </c>
      <c r="P134">
        <v>171.39240000000001</v>
      </c>
      <c r="Q134">
        <v>423.8623</v>
      </c>
      <c r="R134" t="s">
        <v>10</v>
      </c>
      <c r="S134" t="s">
        <v>394</v>
      </c>
      <c r="T134" s="4">
        <v>44834</v>
      </c>
      <c r="U134" s="5">
        <v>0.81723379629629633</v>
      </c>
      <c r="V134" t="s">
        <v>13</v>
      </c>
      <c r="W134">
        <v>1.17</v>
      </c>
      <c r="X134">
        <v>3987.2734</v>
      </c>
      <c r="Y134">
        <v>243072.5471</v>
      </c>
      <c r="Z134" t="s">
        <v>1689</v>
      </c>
      <c r="AA134">
        <v>2.2400000000000002</v>
      </c>
      <c r="AB134">
        <v>104.8708</v>
      </c>
      <c r="AC134">
        <v>0.2311</v>
      </c>
      <c r="AD134" t="s">
        <v>10</v>
      </c>
    </row>
    <row r="135" spans="1:30">
      <c r="A135" s="2">
        <v>134</v>
      </c>
      <c r="B135" s="2" t="s">
        <v>196</v>
      </c>
      <c r="C135" s="2" t="s">
        <v>196</v>
      </c>
      <c r="D135" s="2">
        <v>134</v>
      </c>
      <c r="E135" s="2" t="s">
        <v>196</v>
      </c>
      <c r="F135" t="s">
        <v>395</v>
      </c>
      <c r="G135" s="4">
        <v>44834</v>
      </c>
      <c r="H135" s="5">
        <v>0.8209953703703704</v>
      </c>
      <c r="I135" t="s">
        <v>9</v>
      </c>
      <c r="J135">
        <v>1.4</v>
      </c>
      <c r="K135">
        <v>0.37219999999999998</v>
      </c>
      <c r="L135">
        <v>1.9278</v>
      </c>
      <c r="M135" t="s">
        <v>10</v>
      </c>
      <c r="N135" t="s">
        <v>11</v>
      </c>
      <c r="O135">
        <v>1.923</v>
      </c>
      <c r="P135">
        <v>105.7916</v>
      </c>
      <c r="Q135">
        <v>181.41839999999999</v>
      </c>
      <c r="R135" t="s">
        <v>10</v>
      </c>
      <c r="S135" t="s">
        <v>396</v>
      </c>
      <c r="T135" s="4">
        <v>44834</v>
      </c>
      <c r="U135" s="5">
        <v>0.8209953703703704</v>
      </c>
      <c r="V135" t="s">
        <v>13</v>
      </c>
      <c r="W135">
        <v>1.1599999999999999</v>
      </c>
      <c r="X135">
        <v>3278.9423999999999</v>
      </c>
      <c r="Y135">
        <v>142076.3861</v>
      </c>
      <c r="Z135" t="s">
        <v>1689</v>
      </c>
      <c r="AA135">
        <v>2.2229999999999999</v>
      </c>
      <c r="AB135">
        <v>65.483000000000004</v>
      </c>
      <c r="AC135">
        <v>6.9599999999999995E-2</v>
      </c>
      <c r="AD135" t="s">
        <v>10</v>
      </c>
    </row>
    <row r="136" spans="1:30">
      <c r="A136" s="2">
        <v>135</v>
      </c>
      <c r="B136" s="2" t="s">
        <v>351</v>
      </c>
      <c r="C136" s="2" t="s">
        <v>397</v>
      </c>
      <c r="D136" s="2">
        <v>135</v>
      </c>
      <c r="E136" s="3" t="str">
        <f>D136&amp;"g"</f>
        <v>135g</v>
      </c>
      <c r="F136" t="s">
        <v>398</v>
      </c>
      <c r="G136" s="4">
        <v>44834</v>
      </c>
      <c r="H136" s="5">
        <v>0.82474537037037043</v>
      </c>
      <c r="I136" t="s">
        <v>9</v>
      </c>
      <c r="J136">
        <v>1.4</v>
      </c>
      <c r="K136">
        <v>0.4471</v>
      </c>
      <c r="L136">
        <v>2.2517</v>
      </c>
      <c r="M136" t="s">
        <v>10</v>
      </c>
      <c r="N136" t="s">
        <v>11</v>
      </c>
      <c r="O136">
        <v>1.923</v>
      </c>
      <c r="P136">
        <v>267.108</v>
      </c>
      <c r="Q136">
        <v>777.60289999999998</v>
      </c>
      <c r="R136" t="s">
        <v>10</v>
      </c>
      <c r="S136" t="s">
        <v>399</v>
      </c>
      <c r="T136" s="4">
        <v>44834</v>
      </c>
      <c r="U136" s="5">
        <v>0.82474537037037043</v>
      </c>
      <c r="V136" t="s">
        <v>13</v>
      </c>
      <c r="W136">
        <v>1.1599999999999999</v>
      </c>
      <c r="X136">
        <v>3534.9996999999998</v>
      </c>
      <c r="Y136">
        <v>176371.78580000001</v>
      </c>
      <c r="Z136" t="s">
        <v>1689</v>
      </c>
      <c r="AA136">
        <v>2.2229999999999999</v>
      </c>
      <c r="AB136">
        <v>90.054400000000001</v>
      </c>
      <c r="AC136">
        <v>0.1704</v>
      </c>
      <c r="AD136" t="s">
        <v>10</v>
      </c>
    </row>
    <row r="137" spans="1:30">
      <c r="A137" s="2">
        <v>136</v>
      </c>
      <c r="B137" s="2" t="s">
        <v>196</v>
      </c>
      <c r="C137" s="2" t="s">
        <v>196</v>
      </c>
      <c r="D137" s="2">
        <v>136</v>
      </c>
      <c r="E137" s="2" t="s">
        <v>196</v>
      </c>
      <c r="F137" t="s">
        <v>400</v>
      </c>
      <c r="G137" s="4">
        <v>44834</v>
      </c>
      <c r="H137" s="5">
        <v>0.82849537037037047</v>
      </c>
      <c r="I137" t="s">
        <v>9</v>
      </c>
      <c r="J137">
        <v>1.403</v>
      </c>
      <c r="K137">
        <v>0.30499999999999999</v>
      </c>
      <c r="L137">
        <v>1.6371</v>
      </c>
      <c r="M137" t="s">
        <v>10</v>
      </c>
      <c r="N137" t="s">
        <v>11</v>
      </c>
      <c r="O137">
        <v>1.9259999999999999</v>
      </c>
      <c r="P137">
        <v>85.256</v>
      </c>
      <c r="Q137">
        <v>105.524</v>
      </c>
      <c r="R137" t="s">
        <v>10</v>
      </c>
      <c r="S137" t="s">
        <v>401</v>
      </c>
      <c r="T137" s="4">
        <v>44834</v>
      </c>
      <c r="U137" s="5">
        <v>0.82849537037037047</v>
      </c>
      <c r="V137" t="s">
        <v>13</v>
      </c>
      <c r="W137">
        <v>1.1599999999999999</v>
      </c>
      <c r="X137">
        <v>2986.0608000000002</v>
      </c>
      <c r="Y137">
        <v>114059.8143</v>
      </c>
      <c r="Z137" t="s">
        <v>1689</v>
      </c>
      <c r="AA137">
        <v>2.2229999999999999</v>
      </c>
      <c r="AB137">
        <v>56.217399999999998</v>
      </c>
      <c r="AC137">
        <v>3.1699999999999999E-2</v>
      </c>
      <c r="AD137" t="s">
        <v>10</v>
      </c>
    </row>
    <row r="138" spans="1:30">
      <c r="A138" s="2">
        <v>137</v>
      </c>
      <c r="B138" s="2" t="s">
        <v>351</v>
      </c>
      <c r="C138" s="2" t="s">
        <v>402</v>
      </c>
      <c r="D138" s="2">
        <v>137</v>
      </c>
      <c r="E138" s="3" t="str">
        <f>D138&amp;"g"</f>
        <v>137g</v>
      </c>
      <c r="F138" t="s">
        <v>403</v>
      </c>
      <c r="G138" s="4">
        <v>44834</v>
      </c>
      <c r="H138" s="5">
        <v>0.83225694444444442</v>
      </c>
      <c r="I138" t="s">
        <v>9</v>
      </c>
      <c r="J138">
        <v>1.3460000000000001</v>
      </c>
      <c r="K138">
        <v>9963.3988000000008</v>
      </c>
      <c r="L138">
        <v>43094.216699999997</v>
      </c>
      <c r="M138" t="s">
        <v>10</v>
      </c>
      <c r="N138" t="s">
        <v>11</v>
      </c>
      <c r="O138">
        <v>1.93</v>
      </c>
      <c r="P138">
        <v>14908.221799999999</v>
      </c>
      <c r="Q138">
        <v>54887.447200000002</v>
      </c>
      <c r="R138" t="s">
        <v>10</v>
      </c>
      <c r="S138" t="s">
        <v>404</v>
      </c>
      <c r="T138" s="4">
        <v>44834</v>
      </c>
      <c r="U138" s="5">
        <v>0.83225694444444442</v>
      </c>
      <c r="V138" t="s">
        <v>13</v>
      </c>
      <c r="W138">
        <v>1.1599999999999999</v>
      </c>
      <c r="X138">
        <v>2430.9096</v>
      </c>
      <c r="Y138">
        <v>74404.669500000004</v>
      </c>
      <c r="Z138" t="s">
        <v>1689</v>
      </c>
      <c r="AA138">
        <v>2.2229999999999999</v>
      </c>
      <c r="AB138">
        <v>191.46019999999999</v>
      </c>
      <c r="AC138">
        <v>0.58599999999999997</v>
      </c>
      <c r="AD138" t="s">
        <v>10</v>
      </c>
    </row>
    <row r="139" spans="1:30">
      <c r="A139" s="2">
        <v>138</v>
      </c>
      <c r="B139" s="2" t="s">
        <v>196</v>
      </c>
      <c r="C139" s="2" t="s">
        <v>196</v>
      </c>
      <c r="D139" s="2">
        <v>138</v>
      </c>
      <c r="E139" s="2" t="s">
        <v>196</v>
      </c>
      <c r="F139" t="s">
        <v>405</v>
      </c>
      <c r="G139" s="4">
        <v>44834</v>
      </c>
      <c r="H139" s="5">
        <v>0.83601851851851849</v>
      </c>
      <c r="I139" t="s">
        <v>9</v>
      </c>
      <c r="J139">
        <v>1.4159999999999999</v>
      </c>
      <c r="K139">
        <v>10.8249</v>
      </c>
      <c r="L139">
        <v>47.137999999999998</v>
      </c>
      <c r="M139" t="s">
        <v>10</v>
      </c>
      <c r="N139" t="s">
        <v>11</v>
      </c>
      <c r="O139">
        <v>1.9359999999999999</v>
      </c>
      <c r="P139">
        <v>103.54989999999999</v>
      </c>
      <c r="Q139">
        <v>173.1336</v>
      </c>
      <c r="R139" t="s">
        <v>10</v>
      </c>
      <c r="S139" t="s">
        <v>406</v>
      </c>
      <c r="T139" s="4">
        <v>44834</v>
      </c>
      <c r="U139" s="5">
        <v>0.83601851851851849</v>
      </c>
      <c r="V139" t="s">
        <v>13</v>
      </c>
      <c r="W139">
        <v>1.17</v>
      </c>
      <c r="X139">
        <v>3244.4418000000001</v>
      </c>
      <c r="Y139">
        <v>138318.51689999999</v>
      </c>
      <c r="Z139" t="s">
        <v>1689</v>
      </c>
      <c r="AA139">
        <v>2.2360000000000002</v>
      </c>
      <c r="AB139">
        <v>63.0852</v>
      </c>
      <c r="AC139">
        <v>5.9799999999999999E-2</v>
      </c>
      <c r="AD139" t="s">
        <v>10</v>
      </c>
    </row>
    <row r="140" spans="1:30">
      <c r="A140" s="2">
        <v>139</v>
      </c>
      <c r="B140" s="2" t="s">
        <v>351</v>
      </c>
      <c r="C140" s="2" t="s">
        <v>407</v>
      </c>
      <c r="D140" s="2">
        <v>139</v>
      </c>
      <c r="E140" s="3" t="str">
        <f>D140&amp;"g"</f>
        <v>139g</v>
      </c>
      <c r="F140" t="s">
        <v>408</v>
      </c>
      <c r="G140" s="4">
        <v>44834</v>
      </c>
      <c r="H140" s="5">
        <v>0.83976851851851853</v>
      </c>
      <c r="I140" t="s">
        <v>9</v>
      </c>
      <c r="J140">
        <v>1.413</v>
      </c>
      <c r="K140">
        <v>526.89499999999998</v>
      </c>
      <c r="L140">
        <v>2279.2550999999999</v>
      </c>
      <c r="M140" t="s">
        <v>10</v>
      </c>
      <c r="N140" t="s">
        <v>11</v>
      </c>
      <c r="O140">
        <v>1.946</v>
      </c>
      <c r="P140">
        <v>2120.5052000000001</v>
      </c>
      <c r="Q140">
        <v>7627.2889999999998</v>
      </c>
      <c r="R140" t="s">
        <v>10</v>
      </c>
      <c r="S140" t="s">
        <v>409</v>
      </c>
      <c r="T140" s="4">
        <v>44834</v>
      </c>
      <c r="U140" s="5">
        <v>0.83976851851851853</v>
      </c>
      <c r="V140" t="s">
        <v>13</v>
      </c>
      <c r="W140">
        <v>1.17</v>
      </c>
      <c r="X140">
        <v>3611.2689</v>
      </c>
      <c r="Y140">
        <v>187619.87239999999</v>
      </c>
      <c r="Z140" t="s">
        <v>1689</v>
      </c>
      <c r="AA140">
        <v>2.2360000000000002</v>
      </c>
      <c r="AB140">
        <v>145.32640000000001</v>
      </c>
      <c r="AC140">
        <v>0.39689999999999998</v>
      </c>
      <c r="AD140" t="s">
        <v>10</v>
      </c>
    </row>
    <row r="141" spans="1:30">
      <c r="A141" s="2">
        <v>140</v>
      </c>
      <c r="B141" s="2" t="s">
        <v>196</v>
      </c>
      <c r="C141" s="2" t="s">
        <v>196</v>
      </c>
      <c r="D141" s="2">
        <v>140</v>
      </c>
      <c r="E141" s="2" t="s">
        <v>196</v>
      </c>
      <c r="F141" t="s">
        <v>410</v>
      </c>
      <c r="G141" s="4">
        <v>44834</v>
      </c>
      <c r="H141" s="5">
        <v>0.8435300925925926</v>
      </c>
      <c r="I141" t="s">
        <v>9</v>
      </c>
      <c r="J141">
        <v>1.413</v>
      </c>
      <c r="K141">
        <v>0.62680000000000002</v>
      </c>
      <c r="L141">
        <v>3.0289999999999999</v>
      </c>
      <c r="M141" t="s">
        <v>10</v>
      </c>
      <c r="N141" t="s">
        <v>11</v>
      </c>
      <c r="O141">
        <v>1.9359999999999999</v>
      </c>
      <c r="P141">
        <v>87.037999999999997</v>
      </c>
      <c r="Q141">
        <v>112.1099</v>
      </c>
      <c r="R141" t="s">
        <v>10</v>
      </c>
      <c r="S141" t="s">
        <v>411</v>
      </c>
      <c r="T141" s="4">
        <v>44834</v>
      </c>
      <c r="U141" s="5">
        <v>0.8435300925925926</v>
      </c>
      <c r="V141" t="s">
        <v>13</v>
      </c>
      <c r="W141">
        <v>1.1659999999999999</v>
      </c>
      <c r="X141">
        <v>3045.2206000000001</v>
      </c>
      <c r="Y141">
        <v>119136.0325</v>
      </c>
      <c r="Z141" t="s">
        <v>1689</v>
      </c>
      <c r="AA141">
        <v>2.2400000000000002</v>
      </c>
      <c r="AB141">
        <v>55.3735</v>
      </c>
      <c r="AC141">
        <v>2.8199999999999999E-2</v>
      </c>
      <c r="AD141" t="s">
        <v>10</v>
      </c>
    </row>
    <row r="142" spans="1:30">
      <c r="A142" s="2">
        <v>141</v>
      </c>
      <c r="B142" s="2" t="s">
        <v>351</v>
      </c>
      <c r="C142" s="2" t="s">
        <v>412</v>
      </c>
      <c r="D142" s="2">
        <v>141</v>
      </c>
      <c r="E142" s="3" t="str">
        <f>D142&amp;"g"</f>
        <v>141g</v>
      </c>
      <c r="F142" t="s">
        <v>413</v>
      </c>
      <c r="G142" s="4">
        <v>44834</v>
      </c>
      <c r="H142" s="5">
        <v>0.84728009259259263</v>
      </c>
      <c r="I142" t="s">
        <v>9</v>
      </c>
      <c r="J142">
        <v>1.4059999999999999</v>
      </c>
      <c r="K142">
        <v>3.5175999999999998</v>
      </c>
      <c r="L142">
        <v>15.532299999999999</v>
      </c>
      <c r="M142" t="s">
        <v>10</v>
      </c>
      <c r="N142" t="s">
        <v>11</v>
      </c>
      <c r="O142">
        <v>1.9330000000000001</v>
      </c>
      <c r="P142">
        <v>1968.2285999999999</v>
      </c>
      <c r="Q142">
        <v>7064.5132999999996</v>
      </c>
      <c r="R142" t="s">
        <v>10</v>
      </c>
      <c r="S142" t="s">
        <v>414</v>
      </c>
      <c r="T142" s="4">
        <v>44834</v>
      </c>
      <c r="U142" s="5">
        <v>0.84728009259259263</v>
      </c>
      <c r="V142" t="s">
        <v>13</v>
      </c>
      <c r="W142">
        <v>1.163</v>
      </c>
      <c r="X142">
        <v>3559.6831000000002</v>
      </c>
      <c r="Y142">
        <v>180012.06289999999</v>
      </c>
      <c r="Z142" t="s">
        <v>1689</v>
      </c>
      <c r="AA142">
        <v>2.2229999999999999</v>
      </c>
      <c r="AB142">
        <v>141.16040000000001</v>
      </c>
      <c r="AC142">
        <v>0.37980000000000003</v>
      </c>
      <c r="AD142" t="s">
        <v>10</v>
      </c>
    </row>
    <row r="143" spans="1:30">
      <c r="A143" s="2">
        <v>142</v>
      </c>
      <c r="B143" s="2" t="s">
        <v>196</v>
      </c>
      <c r="C143" s="2" t="s">
        <v>196</v>
      </c>
      <c r="D143" s="2">
        <v>142</v>
      </c>
      <c r="E143" s="2" t="s">
        <v>196</v>
      </c>
      <c r="F143" t="s">
        <v>415</v>
      </c>
      <c r="G143" s="4">
        <v>44834</v>
      </c>
      <c r="H143" s="5">
        <v>0.8510416666666667</v>
      </c>
      <c r="I143" t="s">
        <v>9</v>
      </c>
      <c r="J143">
        <v>1.41</v>
      </c>
      <c r="K143">
        <v>0.31</v>
      </c>
      <c r="L143">
        <v>1.6587000000000001</v>
      </c>
      <c r="M143" t="s">
        <v>10</v>
      </c>
      <c r="N143" t="s">
        <v>11</v>
      </c>
      <c r="O143">
        <v>1.9359999999999999</v>
      </c>
      <c r="P143">
        <v>93.693600000000004</v>
      </c>
      <c r="Q143">
        <v>136.7073</v>
      </c>
      <c r="R143" t="s">
        <v>10</v>
      </c>
      <c r="S143" t="s">
        <v>416</v>
      </c>
      <c r="T143" s="4">
        <v>44834</v>
      </c>
      <c r="U143" s="5">
        <v>0.8510416666666667</v>
      </c>
      <c r="V143" t="s">
        <v>13</v>
      </c>
      <c r="W143">
        <v>1.1659999999999999</v>
      </c>
      <c r="X143">
        <v>3187.5605999999998</v>
      </c>
      <c r="Y143">
        <v>132437.29870000001</v>
      </c>
      <c r="Z143" t="s">
        <v>1689</v>
      </c>
      <c r="AA143">
        <v>2.2360000000000002</v>
      </c>
      <c r="AB143">
        <v>59.162300000000002</v>
      </c>
      <c r="AC143">
        <v>4.3700000000000003E-2</v>
      </c>
      <c r="AD143" t="s">
        <v>10</v>
      </c>
    </row>
    <row r="144" spans="1:30">
      <c r="A144" s="2">
        <v>143</v>
      </c>
      <c r="B144" s="2" t="s">
        <v>196</v>
      </c>
      <c r="C144" s="2" t="s">
        <v>196</v>
      </c>
      <c r="D144" s="2">
        <v>143</v>
      </c>
      <c r="E144" s="3" t="s">
        <v>196</v>
      </c>
      <c r="F144" t="s">
        <v>417</v>
      </c>
      <c r="G144" s="4">
        <v>44834</v>
      </c>
      <c r="H144" s="5">
        <v>0.85479166666666673</v>
      </c>
      <c r="I144" t="s">
        <v>9</v>
      </c>
      <c r="J144">
        <v>1.4059999999999999</v>
      </c>
      <c r="K144">
        <v>0.33979999999999999</v>
      </c>
      <c r="L144">
        <v>1.7876000000000001</v>
      </c>
      <c r="M144" t="s">
        <v>10</v>
      </c>
      <c r="N144" t="s">
        <v>11</v>
      </c>
      <c r="O144">
        <v>1.9259999999999999</v>
      </c>
      <c r="P144">
        <v>88.807500000000005</v>
      </c>
      <c r="Q144">
        <v>118.6495</v>
      </c>
      <c r="R144" t="s">
        <v>10</v>
      </c>
      <c r="S144" t="s">
        <v>418</v>
      </c>
      <c r="T144" s="4">
        <v>44834</v>
      </c>
      <c r="U144" s="5">
        <v>0.85479166666666673</v>
      </c>
      <c r="V144" t="s">
        <v>13</v>
      </c>
      <c r="W144">
        <v>1.1659999999999999</v>
      </c>
      <c r="X144">
        <v>2989.6300999999999</v>
      </c>
      <c r="Y144">
        <v>114366.0788</v>
      </c>
      <c r="Z144" t="s">
        <v>1689</v>
      </c>
      <c r="AA144">
        <v>2.23</v>
      </c>
      <c r="AB144">
        <v>55.6798</v>
      </c>
      <c r="AC144">
        <v>2.9499999999999998E-2</v>
      </c>
      <c r="AD144" t="s">
        <v>10</v>
      </c>
    </row>
    <row r="145" spans="1:30">
      <c r="A145" s="2">
        <v>144</v>
      </c>
      <c r="B145" s="2" t="s">
        <v>196</v>
      </c>
      <c r="C145" s="2" t="s">
        <v>196</v>
      </c>
      <c r="D145" s="2">
        <v>144</v>
      </c>
      <c r="E145" s="2" t="s">
        <v>196</v>
      </c>
      <c r="F145" t="s">
        <v>419</v>
      </c>
      <c r="G145" s="4">
        <v>44834</v>
      </c>
      <c r="H145" s="5">
        <v>0.8585532407407408</v>
      </c>
      <c r="I145" t="s">
        <v>9</v>
      </c>
      <c r="J145">
        <v>1.403</v>
      </c>
      <c r="K145">
        <v>0.36199999999999999</v>
      </c>
      <c r="L145">
        <v>1.8835999999999999</v>
      </c>
      <c r="M145" t="s">
        <v>10</v>
      </c>
      <c r="N145" t="s">
        <v>11</v>
      </c>
      <c r="O145">
        <v>1.923</v>
      </c>
      <c r="P145">
        <v>96.3172</v>
      </c>
      <c r="Q145">
        <v>146.4034</v>
      </c>
      <c r="R145" t="s">
        <v>10</v>
      </c>
      <c r="S145" t="s">
        <v>420</v>
      </c>
      <c r="T145" s="4">
        <v>44834</v>
      </c>
      <c r="U145" s="5">
        <v>0.8585532407407408</v>
      </c>
      <c r="V145" t="s">
        <v>13</v>
      </c>
      <c r="W145">
        <v>1.1599999999999999</v>
      </c>
      <c r="X145">
        <v>3137.8733999999999</v>
      </c>
      <c r="Y145">
        <v>127595.35490000001</v>
      </c>
      <c r="Z145" t="s">
        <v>1689</v>
      </c>
      <c r="AA145">
        <v>2.2229999999999999</v>
      </c>
      <c r="AB145">
        <v>61.548099999999998</v>
      </c>
      <c r="AC145">
        <v>5.3499999999999999E-2</v>
      </c>
      <c r="AD145" t="s">
        <v>10</v>
      </c>
    </row>
    <row r="146" spans="1:30">
      <c r="A146" s="2">
        <v>145</v>
      </c>
      <c r="B146" s="2" t="s">
        <v>351</v>
      </c>
      <c r="C146" s="2" t="s">
        <v>421</v>
      </c>
      <c r="D146" s="2">
        <v>145</v>
      </c>
      <c r="E146" s="3" t="str">
        <f>D146&amp;"g"</f>
        <v>145g</v>
      </c>
      <c r="F146" t="s">
        <v>422</v>
      </c>
      <c r="G146" s="4">
        <v>44834</v>
      </c>
      <c r="H146" s="5">
        <v>0.86230324074074083</v>
      </c>
      <c r="I146" t="s">
        <v>9</v>
      </c>
      <c r="J146">
        <v>1.403</v>
      </c>
      <c r="K146">
        <v>16.141400000000001</v>
      </c>
      <c r="L146">
        <v>70.132999999999996</v>
      </c>
      <c r="M146" t="s">
        <v>10</v>
      </c>
      <c r="N146" t="s">
        <v>11</v>
      </c>
      <c r="O146">
        <v>1.93</v>
      </c>
      <c r="P146">
        <v>1613.5147999999999</v>
      </c>
      <c r="Q146">
        <v>5753.5811000000003</v>
      </c>
      <c r="R146" t="s">
        <v>10</v>
      </c>
      <c r="S146" t="s">
        <v>423</v>
      </c>
      <c r="T146" s="4">
        <v>44834</v>
      </c>
      <c r="U146" s="5">
        <v>0.86230324074074083</v>
      </c>
      <c r="V146" t="s">
        <v>13</v>
      </c>
      <c r="W146">
        <v>1.1599999999999999</v>
      </c>
      <c r="X146">
        <v>3581.84</v>
      </c>
      <c r="Y146">
        <v>183279.73490000001</v>
      </c>
      <c r="Z146" t="s">
        <v>1689</v>
      </c>
      <c r="AA146">
        <v>2.2229999999999999</v>
      </c>
      <c r="AB146">
        <v>135.345</v>
      </c>
      <c r="AC146">
        <v>0.35599999999999998</v>
      </c>
      <c r="AD146" t="s">
        <v>10</v>
      </c>
    </row>
    <row r="147" spans="1:30">
      <c r="A147" s="2">
        <v>146</v>
      </c>
      <c r="B147" s="2" t="s">
        <v>196</v>
      </c>
      <c r="C147" s="2" t="s">
        <v>196</v>
      </c>
      <c r="D147" s="2">
        <v>146</v>
      </c>
      <c r="E147" s="2" t="s">
        <v>196</v>
      </c>
      <c r="F147" t="s">
        <v>424</v>
      </c>
      <c r="G147" s="4">
        <v>44834</v>
      </c>
      <c r="H147" s="5">
        <v>0.86605324074074075</v>
      </c>
      <c r="I147" t="s">
        <v>9</v>
      </c>
      <c r="J147">
        <v>1.4</v>
      </c>
      <c r="K147">
        <v>0.32019999999999998</v>
      </c>
      <c r="L147">
        <v>1.7029000000000001</v>
      </c>
      <c r="M147" t="s">
        <v>10</v>
      </c>
      <c r="N147" t="s">
        <v>11</v>
      </c>
      <c r="O147">
        <v>1.92</v>
      </c>
      <c r="P147">
        <v>98.841099999999997</v>
      </c>
      <c r="Q147">
        <v>155.7311</v>
      </c>
      <c r="R147" t="s">
        <v>10</v>
      </c>
      <c r="S147" t="s">
        <v>425</v>
      </c>
      <c r="T147" s="4">
        <v>44834</v>
      </c>
      <c r="U147" s="5">
        <v>0.86605324074074075</v>
      </c>
      <c r="V147" t="s">
        <v>13</v>
      </c>
      <c r="W147">
        <v>1.1559999999999999</v>
      </c>
      <c r="X147">
        <v>3130.9207000000001</v>
      </c>
      <c r="Y147">
        <v>126917.82460000001</v>
      </c>
      <c r="Z147" t="s">
        <v>1689</v>
      </c>
      <c r="AA147">
        <v>2.2200000000000002</v>
      </c>
      <c r="AB147">
        <v>62.468200000000003</v>
      </c>
      <c r="AC147">
        <v>5.7299999999999997E-2</v>
      </c>
      <c r="AD147" t="s">
        <v>10</v>
      </c>
    </row>
    <row r="148" spans="1:30">
      <c r="A148" s="2">
        <v>147</v>
      </c>
      <c r="B148" s="2" t="s">
        <v>426</v>
      </c>
      <c r="C148" s="2" t="s">
        <v>427</v>
      </c>
      <c r="D148" s="2">
        <v>147</v>
      </c>
      <c r="E148" s="3" t="str">
        <f>D148&amp;"g"</f>
        <v>147g</v>
      </c>
      <c r="F148" t="s">
        <v>428</v>
      </c>
      <c r="G148" s="4">
        <v>44834</v>
      </c>
      <c r="H148" s="5">
        <v>0.86980324074074078</v>
      </c>
      <c r="I148" t="s">
        <v>9</v>
      </c>
      <c r="J148">
        <v>1.4</v>
      </c>
      <c r="K148">
        <v>0.87260000000000004</v>
      </c>
      <c r="L148">
        <v>4.0921000000000003</v>
      </c>
      <c r="M148" t="s">
        <v>10</v>
      </c>
      <c r="N148" t="s">
        <v>11</v>
      </c>
      <c r="O148">
        <v>1.923</v>
      </c>
      <c r="P148">
        <v>13759.162</v>
      </c>
      <c r="Q148">
        <v>50640.813600000001</v>
      </c>
      <c r="R148" t="s">
        <v>10</v>
      </c>
      <c r="S148" t="s">
        <v>429</v>
      </c>
      <c r="T148" s="4">
        <v>44834</v>
      </c>
      <c r="U148" s="5">
        <v>0.86980324074074078</v>
      </c>
      <c r="V148" t="s">
        <v>13</v>
      </c>
      <c r="W148">
        <v>1.1559999999999999</v>
      </c>
      <c r="X148">
        <v>2963.2647999999999</v>
      </c>
      <c r="Y148">
        <v>112173.113</v>
      </c>
      <c r="Z148" t="s">
        <v>1689</v>
      </c>
      <c r="AA148">
        <v>2.2160000000000002</v>
      </c>
      <c r="AB148">
        <v>310.66300000000001</v>
      </c>
      <c r="AC148">
        <v>1.0746</v>
      </c>
      <c r="AD148" t="s">
        <v>10</v>
      </c>
    </row>
    <row r="149" spans="1:30">
      <c r="A149" s="2">
        <v>148</v>
      </c>
      <c r="B149" s="2" t="s">
        <v>196</v>
      </c>
      <c r="C149" s="2" t="s">
        <v>196</v>
      </c>
      <c r="D149" s="2">
        <v>148</v>
      </c>
      <c r="E149" s="2" t="s">
        <v>196</v>
      </c>
      <c r="F149" t="s">
        <v>430</v>
      </c>
      <c r="G149" s="4">
        <v>44834</v>
      </c>
      <c r="H149" s="5">
        <v>0.87355324074074081</v>
      </c>
      <c r="I149" t="s">
        <v>9</v>
      </c>
      <c r="J149">
        <v>0</v>
      </c>
      <c r="K149">
        <v>0</v>
      </c>
      <c r="L149">
        <v>0</v>
      </c>
      <c r="M149" t="s">
        <v>10</v>
      </c>
      <c r="N149" t="s">
        <v>11</v>
      </c>
      <c r="O149">
        <v>1.923</v>
      </c>
      <c r="P149">
        <v>145.83940000000001</v>
      </c>
      <c r="Q149">
        <v>329.42489999999998</v>
      </c>
      <c r="R149" t="s">
        <v>10</v>
      </c>
      <c r="S149" t="s">
        <v>431</v>
      </c>
      <c r="T149" s="4">
        <v>44834</v>
      </c>
      <c r="U149" s="5">
        <v>0.87355324074074081</v>
      </c>
      <c r="V149" t="s">
        <v>13</v>
      </c>
      <c r="W149">
        <v>1.1599999999999999</v>
      </c>
      <c r="X149">
        <v>3160.8555999999999</v>
      </c>
      <c r="Y149">
        <v>129834.93610000001</v>
      </c>
      <c r="Z149" t="s">
        <v>1689</v>
      </c>
      <c r="AA149">
        <v>2.2229999999999999</v>
      </c>
      <c r="AB149">
        <v>65.1768</v>
      </c>
      <c r="AC149">
        <v>6.8400000000000002E-2</v>
      </c>
      <c r="AD149" t="s">
        <v>10</v>
      </c>
    </row>
    <row r="150" spans="1:30">
      <c r="A150" s="2">
        <v>149</v>
      </c>
      <c r="B150" s="2" t="s">
        <v>426</v>
      </c>
      <c r="C150" s="2" t="s">
        <v>432</v>
      </c>
      <c r="D150" s="2">
        <v>149</v>
      </c>
      <c r="E150" s="3" t="str">
        <f>D150&amp;"g"</f>
        <v>149g</v>
      </c>
      <c r="F150" t="s">
        <v>433</v>
      </c>
      <c r="G150" s="4">
        <v>44834</v>
      </c>
      <c r="H150" s="5">
        <v>0.87731481481481488</v>
      </c>
      <c r="I150" t="s">
        <v>9</v>
      </c>
      <c r="J150">
        <v>1.403</v>
      </c>
      <c r="K150">
        <v>0.96519999999999995</v>
      </c>
      <c r="L150">
        <v>4.4926000000000004</v>
      </c>
      <c r="M150" t="s">
        <v>10</v>
      </c>
      <c r="N150" t="s">
        <v>11</v>
      </c>
      <c r="O150">
        <v>1.9359999999999999</v>
      </c>
      <c r="P150">
        <v>2891.9812000000002</v>
      </c>
      <c r="Q150">
        <v>10478.468699999999</v>
      </c>
      <c r="R150" t="s">
        <v>10</v>
      </c>
      <c r="S150" t="s">
        <v>434</v>
      </c>
      <c r="T150" s="4">
        <v>44834</v>
      </c>
      <c r="U150" s="5">
        <v>0.87731481481481488</v>
      </c>
      <c r="V150" t="s">
        <v>13</v>
      </c>
      <c r="W150">
        <v>1.163</v>
      </c>
      <c r="X150">
        <v>3523.7716</v>
      </c>
      <c r="Y150">
        <v>174715.87969999999</v>
      </c>
      <c r="Z150" t="s">
        <v>1689</v>
      </c>
      <c r="AA150">
        <v>2.2229999999999999</v>
      </c>
      <c r="AB150">
        <v>165.38630000000001</v>
      </c>
      <c r="AC150">
        <v>0.47910000000000003</v>
      </c>
      <c r="AD150" t="s">
        <v>10</v>
      </c>
    </row>
    <row r="151" spans="1:30">
      <c r="A151" s="2">
        <v>150</v>
      </c>
      <c r="B151" s="2" t="s">
        <v>196</v>
      </c>
      <c r="C151" s="2" t="s">
        <v>196</v>
      </c>
      <c r="D151" s="2">
        <v>150</v>
      </c>
      <c r="E151" s="2" t="s">
        <v>196</v>
      </c>
      <c r="F151" t="s">
        <v>435</v>
      </c>
      <c r="G151" s="4">
        <v>44834</v>
      </c>
      <c r="H151" s="5">
        <v>0.88106481481481491</v>
      </c>
      <c r="I151" t="s">
        <v>9</v>
      </c>
      <c r="J151">
        <v>1.4</v>
      </c>
      <c r="K151">
        <v>0.25359999999999999</v>
      </c>
      <c r="L151">
        <v>1.4148000000000001</v>
      </c>
      <c r="M151" t="s">
        <v>10</v>
      </c>
      <c r="N151" t="s">
        <v>11</v>
      </c>
      <c r="O151">
        <v>1.923</v>
      </c>
      <c r="P151">
        <v>95.236999999999995</v>
      </c>
      <c r="Q151">
        <v>142.41130000000001</v>
      </c>
      <c r="R151" t="s">
        <v>10</v>
      </c>
      <c r="S151" t="s">
        <v>436</v>
      </c>
      <c r="T151" s="4">
        <v>44834</v>
      </c>
      <c r="U151" s="5">
        <v>0.88106481481481491</v>
      </c>
      <c r="V151" t="s">
        <v>13</v>
      </c>
      <c r="W151">
        <v>1.1599999999999999</v>
      </c>
      <c r="X151">
        <v>3134.1822999999999</v>
      </c>
      <c r="Y151">
        <v>127235.6627</v>
      </c>
      <c r="Z151" t="s">
        <v>1689</v>
      </c>
      <c r="AA151">
        <v>2.2229999999999999</v>
      </c>
      <c r="AB151">
        <v>60.101799999999997</v>
      </c>
      <c r="AC151">
        <v>4.7600000000000003E-2</v>
      </c>
      <c r="AD151" t="s">
        <v>10</v>
      </c>
    </row>
    <row r="152" spans="1:30">
      <c r="A152" s="2">
        <v>151</v>
      </c>
      <c r="B152" s="2" t="s">
        <v>426</v>
      </c>
      <c r="C152" s="2" t="s">
        <v>437</v>
      </c>
      <c r="D152" s="2">
        <v>151</v>
      </c>
      <c r="E152" s="3" t="str">
        <f>D152&amp;"g"</f>
        <v>151g</v>
      </c>
      <c r="F152" t="s">
        <v>438</v>
      </c>
      <c r="G152" s="4">
        <v>44834</v>
      </c>
      <c r="H152" s="5">
        <v>0.88481481481481483</v>
      </c>
      <c r="I152" t="s">
        <v>9</v>
      </c>
      <c r="J152">
        <v>1.41</v>
      </c>
      <c r="K152">
        <v>0.47760000000000002</v>
      </c>
      <c r="L152">
        <v>2.3835999999999999</v>
      </c>
      <c r="M152" t="s">
        <v>10</v>
      </c>
      <c r="N152" t="s">
        <v>11</v>
      </c>
      <c r="O152">
        <v>1.9359999999999999</v>
      </c>
      <c r="P152">
        <v>167.21850000000001</v>
      </c>
      <c r="Q152">
        <v>408.4366</v>
      </c>
      <c r="R152" t="s">
        <v>10</v>
      </c>
      <c r="S152" t="s">
        <v>439</v>
      </c>
      <c r="T152" s="4">
        <v>44834</v>
      </c>
      <c r="U152" s="5">
        <v>0.88481481481481483</v>
      </c>
      <c r="V152" t="s">
        <v>13</v>
      </c>
      <c r="W152">
        <v>1.17</v>
      </c>
      <c r="X152">
        <v>3699.2514999999999</v>
      </c>
      <c r="Y152">
        <v>200595.43650000001</v>
      </c>
      <c r="Z152" t="s">
        <v>1689</v>
      </c>
      <c r="AA152">
        <v>2.2360000000000002</v>
      </c>
      <c r="AB152">
        <v>87.525400000000005</v>
      </c>
      <c r="AC152">
        <v>0.16</v>
      </c>
      <c r="AD152" t="s">
        <v>10</v>
      </c>
    </row>
    <row r="153" spans="1:30">
      <c r="A153" s="2">
        <v>152</v>
      </c>
      <c r="B153" s="2" t="s">
        <v>196</v>
      </c>
      <c r="C153" s="2" t="s">
        <v>196</v>
      </c>
      <c r="D153" s="2">
        <v>152</v>
      </c>
      <c r="E153" s="2" t="s">
        <v>196</v>
      </c>
      <c r="F153" t="s">
        <v>440</v>
      </c>
      <c r="G153" s="4">
        <v>44834</v>
      </c>
      <c r="H153" s="5">
        <v>0.88857638888888879</v>
      </c>
      <c r="I153" t="s">
        <v>9</v>
      </c>
      <c r="J153">
        <v>1.4</v>
      </c>
      <c r="K153">
        <v>0.31480000000000002</v>
      </c>
      <c r="L153">
        <v>1.6795</v>
      </c>
      <c r="M153" t="s">
        <v>10</v>
      </c>
      <c r="N153" t="s">
        <v>11</v>
      </c>
      <c r="O153">
        <v>1.92</v>
      </c>
      <c r="P153">
        <v>84.498599999999996</v>
      </c>
      <c r="Q153">
        <v>102.72490000000001</v>
      </c>
      <c r="R153" t="s">
        <v>10</v>
      </c>
      <c r="S153" t="s">
        <v>441</v>
      </c>
      <c r="T153" s="4">
        <v>44834</v>
      </c>
      <c r="U153" s="5">
        <v>0.88857638888888879</v>
      </c>
      <c r="V153" t="s">
        <v>13</v>
      </c>
      <c r="W153">
        <v>1.1599999999999999</v>
      </c>
      <c r="X153">
        <v>2983.4794999999999</v>
      </c>
      <c r="Y153">
        <v>113838.3253</v>
      </c>
      <c r="Z153" t="s">
        <v>1689</v>
      </c>
      <c r="AA153">
        <v>2.2200000000000002</v>
      </c>
      <c r="AB153">
        <v>55.719499999999996</v>
      </c>
      <c r="AC153">
        <v>2.9600000000000001E-2</v>
      </c>
      <c r="AD153" t="s">
        <v>10</v>
      </c>
    </row>
    <row r="154" spans="1:30">
      <c r="A154" s="2">
        <v>153</v>
      </c>
      <c r="B154" s="2" t="s">
        <v>238</v>
      </c>
      <c r="C154" s="2" t="s">
        <v>239</v>
      </c>
      <c r="D154" s="2">
        <v>153</v>
      </c>
      <c r="E154" s="3" t="s">
        <v>442</v>
      </c>
      <c r="F154" t="s">
        <v>443</v>
      </c>
      <c r="G154" s="4">
        <v>44834</v>
      </c>
      <c r="H154" s="5">
        <v>0.89232638888888882</v>
      </c>
      <c r="I154" t="s">
        <v>9</v>
      </c>
      <c r="J154">
        <v>1.4059999999999999</v>
      </c>
      <c r="K154">
        <v>0.69750000000000001</v>
      </c>
      <c r="L154">
        <v>3.3348</v>
      </c>
      <c r="M154" t="s">
        <v>10</v>
      </c>
      <c r="N154" t="s">
        <v>11</v>
      </c>
      <c r="O154">
        <v>1.9259999999999999</v>
      </c>
      <c r="P154">
        <v>167.56700000000001</v>
      </c>
      <c r="Q154">
        <v>409.72460000000001</v>
      </c>
      <c r="R154" t="s">
        <v>10</v>
      </c>
      <c r="S154" t="s">
        <v>444</v>
      </c>
      <c r="T154" s="4">
        <v>44834</v>
      </c>
      <c r="U154" s="5">
        <v>0.89232638888888882</v>
      </c>
      <c r="V154" t="s">
        <v>13</v>
      </c>
      <c r="W154">
        <v>1.163</v>
      </c>
      <c r="X154">
        <v>3917.2282</v>
      </c>
      <c r="Y154">
        <v>232742.36840000001</v>
      </c>
      <c r="Z154" t="s">
        <v>1689</v>
      </c>
      <c r="AA154">
        <v>2.226</v>
      </c>
      <c r="AB154">
        <v>106.0934</v>
      </c>
      <c r="AC154">
        <v>0.2361</v>
      </c>
      <c r="AD154" t="s">
        <v>10</v>
      </c>
    </row>
    <row r="155" spans="1:30">
      <c r="A155" s="2">
        <v>154</v>
      </c>
      <c r="B155" s="2" t="s">
        <v>196</v>
      </c>
      <c r="C155" s="2" t="s">
        <v>196</v>
      </c>
      <c r="D155" s="2">
        <v>154</v>
      </c>
      <c r="E155" s="2" t="s">
        <v>196</v>
      </c>
      <c r="F155" t="s">
        <v>445</v>
      </c>
      <c r="G155" s="4">
        <v>44834</v>
      </c>
      <c r="H155" s="5">
        <v>0.89608796296296289</v>
      </c>
      <c r="I155" t="s">
        <v>9</v>
      </c>
      <c r="J155">
        <v>1.4059999999999999</v>
      </c>
      <c r="K155">
        <v>0.3775</v>
      </c>
      <c r="L155">
        <v>1.9507000000000001</v>
      </c>
      <c r="M155" t="s">
        <v>10</v>
      </c>
      <c r="N155" t="s">
        <v>11</v>
      </c>
      <c r="O155">
        <v>1.9259999999999999</v>
      </c>
      <c r="P155">
        <v>106.2534</v>
      </c>
      <c r="Q155">
        <v>183.1251</v>
      </c>
      <c r="R155" t="s">
        <v>10</v>
      </c>
      <c r="S155" t="s">
        <v>446</v>
      </c>
      <c r="T155" s="4">
        <v>44834</v>
      </c>
      <c r="U155" s="5">
        <v>0.89608796296296289</v>
      </c>
      <c r="V155" t="s">
        <v>13</v>
      </c>
      <c r="W155">
        <v>1.1659999999999999</v>
      </c>
      <c r="X155">
        <v>3207.7118</v>
      </c>
      <c r="Y155">
        <v>134478.71230000001</v>
      </c>
      <c r="Z155" t="s">
        <v>1689</v>
      </c>
      <c r="AA155">
        <v>2.2229999999999999</v>
      </c>
      <c r="AB155">
        <v>67.9114</v>
      </c>
      <c r="AC155">
        <v>7.9600000000000004E-2</v>
      </c>
      <c r="AD155" t="s">
        <v>10</v>
      </c>
    </row>
    <row r="156" spans="1:30">
      <c r="A156" s="2">
        <v>155</v>
      </c>
      <c r="B156" s="2" t="s">
        <v>426</v>
      </c>
      <c r="C156" s="2" t="s">
        <v>447</v>
      </c>
      <c r="D156" s="2">
        <v>155</v>
      </c>
      <c r="E156" s="3" t="str">
        <f>D156&amp;"g"</f>
        <v>155g</v>
      </c>
      <c r="F156" t="s">
        <v>448</v>
      </c>
      <c r="G156" s="4">
        <v>44834</v>
      </c>
      <c r="H156" s="5">
        <v>0.89984953703703707</v>
      </c>
      <c r="I156" t="s">
        <v>9</v>
      </c>
      <c r="J156">
        <v>1.413</v>
      </c>
      <c r="K156">
        <v>1.3964000000000001</v>
      </c>
      <c r="L156">
        <v>6.3577000000000004</v>
      </c>
      <c r="M156" t="s">
        <v>10</v>
      </c>
      <c r="N156" t="s">
        <v>11</v>
      </c>
      <c r="O156">
        <v>1.94</v>
      </c>
      <c r="P156">
        <v>892.11199999999997</v>
      </c>
      <c r="Q156">
        <v>3087.4591999999998</v>
      </c>
      <c r="R156" t="s">
        <v>10</v>
      </c>
      <c r="S156" t="s">
        <v>449</v>
      </c>
      <c r="T156" s="4">
        <v>44834</v>
      </c>
      <c r="U156" s="5">
        <v>0.89984953703703707</v>
      </c>
      <c r="V156" t="s">
        <v>13</v>
      </c>
      <c r="W156">
        <v>1.17</v>
      </c>
      <c r="X156">
        <v>3704.5309999999999</v>
      </c>
      <c r="Y156">
        <v>201374.05059999999</v>
      </c>
      <c r="Z156" t="s">
        <v>1689</v>
      </c>
      <c r="AA156">
        <v>2.2360000000000002</v>
      </c>
      <c r="AB156">
        <v>111.2281</v>
      </c>
      <c r="AC156">
        <v>0.2571</v>
      </c>
      <c r="AD156" t="s">
        <v>10</v>
      </c>
    </row>
    <row r="157" spans="1:30">
      <c r="A157" s="2">
        <v>156</v>
      </c>
      <c r="B157" s="2" t="s">
        <v>196</v>
      </c>
      <c r="C157" s="2" t="s">
        <v>196</v>
      </c>
      <c r="D157" s="2">
        <v>156</v>
      </c>
      <c r="E157" s="2" t="s">
        <v>196</v>
      </c>
      <c r="F157" t="s">
        <v>450</v>
      </c>
      <c r="G157" s="4">
        <v>44834</v>
      </c>
      <c r="H157" s="5">
        <v>0.90359953703703699</v>
      </c>
      <c r="I157" t="s">
        <v>9</v>
      </c>
      <c r="J157">
        <v>1.403</v>
      </c>
      <c r="K157">
        <v>0.33710000000000001</v>
      </c>
      <c r="L157">
        <v>1.776</v>
      </c>
      <c r="M157" t="s">
        <v>10</v>
      </c>
      <c r="N157" t="s">
        <v>11</v>
      </c>
      <c r="O157">
        <v>1.9259999999999999</v>
      </c>
      <c r="P157">
        <v>94.999700000000004</v>
      </c>
      <c r="Q157">
        <v>141.5343</v>
      </c>
      <c r="R157" t="s">
        <v>10</v>
      </c>
      <c r="S157" t="s">
        <v>451</v>
      </c>
      <c r="T157" s="4">
        <v>44834</v>
      </c>
      <c r="U157" s="5">
        <v>0.90359953703703699</v>
      </c>
      <c r="V157" t="s">
        <v>13</v>
      </c>
      <c r="W157">
        <v>1.163</v>
      </c>
      <c r="X157">
        <v>3108.0118000000002</v>
      </c>
      <c r="Y157">
        <v>124811.2718</v>
      </c>
      <c r="Z157" t="s">
        <v>1689</v>
      </c>
      <c r="AA157">
        <v>2.23</v>
      </c>
      <c r="AB157">
        <v>61.224499999999999</v>
      </c>
      <c r="AC157">
        <v>5.2200000000000003E-2</v>
      </c>
      <c r="AD157" t="s">
        <v>10</v>
      </c>
    </row>
    <row r="158" spans="1:30">
      <c r="A158" s="2">
        <v>157</v>
      </c>
      <c r="B158" s="2" t="s">
        <v>426</v>
      </c>
      <c r="C158" s="2" t="s">
        <v>452</v>
      </c>
      <c r="D158" s="2">
        <v>157</v>
      </c>
      <c r="E158" s="3" t="str">
        <f>D158&amp;"g"</f>
        <v>157g</v>
      </c>
      <c r="F158" t="s">
        <v>453</v>
      </c>
      <c r="G158" s="4">
        <v>44834</v>
      </c>
      <c r="H158" s="5">
        <v>0.90736111111111117</v>
      </c>
      <c r="I158" t="s">
        <v>9</v>
      </c>
      <c r="J158">
        <v>1.4059999999999999</v>
      </c>
      <c r="K158">
        <v>422.1524</v>
      </c>
      <c r="L158">
        <v>1826.2202</v>
      </c>
      <c r="M158" t="s">
        <v>10</v>
      </c>
      <c r="N158" t="s">
        <v>11</v>
      </c>
      <c r="O158">
        <v>1.9359999999999999</v>
      </c>
      <c r="P158">
        <v>3690.0115000000001</v>
      </c>
      <c r="Q158">
        <v>13427.786400000001</v>
      </c>
      <c r="R158" t="s">
        <v>10</v>
      </c>
      <c r="S158" t="s">
        <v>454</v>
      </c>
      <c r="T158" s="4">
        <v>44834</v>
      </c>
      <c r="U158" s="5">
        <v>0.90736111111111117</v>
      </c>
      <c r="V158" t="s">
        <v>13</v>
      </c>
      <c r="W158">
        <v>1.163</v>
      </c>
      <c r="X158">
        <v>3436.4463999999998</v>
      </c>
      <c r="Y158">
        <v>161837.26809999999</v>
      </c>
      <c r="Z158" t="s">
        <v>1689</v>
      </c>
      <c r="AA158">
        <v>2.2229999999999999</v>
      </c>
      <c r="AB158">
        <v>170.40029999999999</v>
      </c>
      <c r="AC158">
        <v>0.49969999999999998</v>
      </c>
      <c r="AD158" t="s">
        <v>10</v>
      </c>
    </row>
    <row r="159" spans="1:30">
      <c r="A159" s="2">
        <v>158</v>
      </c>
      <c r="B159" s="2" t="s">
        <v>196</v>
      </c>
      <c r="C159" s="2" t="s">
        <v>196</v>
      </c>
      <c r="D159" s="2">
        <v>158</v>
      </c>
      <c r="E159" s="2" t="s">
        <v>196</v>
      </c>
      <c r="F159" t="s">
        <v>455</v>
      </c>
      <c r="G159" s="4">
        <v>44834</v>
      </c>
      <c r="H159" s="5">
        <v>0.91112268518518524</v>
      </c>
      <c r="I159" t="s">
        <v>9</v>
      </c>
      <c r="J159">
        <v>1.4</v>
      </c>
      <c r="K159">
        <v>0.49630000000000002</v>
      </c>
      <c r="L159">
        <v>2.4645000000000001</v>
      </c>
      <c r="M159" t="s">
        <v>10</v>
      </c>
      <c r="N159" t="s">
        <v>11</v>
      </c>
      <c r="O159">
        <v>1.923</v>
      </c>
      <c r="P159">
        <v>116.1146</v>
      </c>
      <c r="Q159">
        <v>219.56960000000001</v>
      </c>
      <c r="R159" t="s">
        <v>10</v>
      </c>
      <c r="S159" t="s">
        <v>456</v>
      </c>
      <c r="T159" s="4">
        <v>44834</v>
      </c>
      <c r="U159" s="5">
        <v>0.91112268518518524</v>
      </c>
      <c r="V159" t="s">
        <v>13</v>
      </c>
      <c r="W159">
        <v>1.1599999999999999</v>
      </c>
      <c r="X159">
        <v>3356.0144</v>
      </c>
      <c r="Y159">
        <v>151115.29670000001</v>
      </c>
      <c r="Z159" t="s">
        <v>1689</v>
      </c>
      <c r="AA159">
        <v>2.2229999999999999</v>
      </c>
      <c r="AB159">
        <v>68.928399999999996</v>
      </c>
      <c r="AC159">
        <v>8.3799999999999999E-2</v>
      </c>
      <c r="AD159" t="s">
        <v>10</v>
      </c>
    </row>
    <row r="160" spans="1:30">
      <c r="A160" s="2">
        <v>159</v>
      </c>
      <c r="B160" s="2" t="s">
        <v>426</v>
      </c>
      <c r="C160" s="2" t="s">
        <v>457</v>
      </c>
      <c r="D160" s="2">
        <v>159</v>
      </c>
      <c r="E160" s="3" t="str">
        <f>D160&amp;"g"</f>
        <v>159g</v>
      </c>
      <c r="F160" t="s">
        <v>458</v>
      </c>
      <c r="G160" s="4">
        <v>44834</v>
      </c>
      <c r="H160" s="5">
        <v>0.9148842592592592</v>
      </c>
      <c r="I160" t="s">
        <v>9</v>
      </c>
      <c r="J160">
        <v>1.413</v>
      </c>
      <c r="K160">
        <v>2.2660999999999998</v>
      </c>
      <c r="L160">
        <v>10.119300000000001</v>
      </c>
      <c r="M160" t="s">
        <v>10</v>
      </c>
      <c r="N160" t="s">
        <v>11</v>
      </c>
      <c r="O160">
        <v>1.9330000000000001</v>
      </c>
      <c r="P160">
        <v>325.68380000000002</v>
      </c>
      <c r="Q160">
        <v>994.08420000000001</v>
      </c>
      <c r="R160" t="s">
        <v>10</v>
      </c>
      <c r="S160" t="s">
        <v>459</v>
      </c>
      <c r="T160" s="4">
        <v>44834</v>
      </c>
      <c r="U160" s="5">
        <v>0.9148842592592592</v>
      </c>
      <c r="V160" t="s">
        <v>13</v>
      </c>
      <c r="W160">
        <v>1.17</v>
      </c>
      <c r="X160">
        <v>3473.9186</v>
      </c>
      <c r="Y160">
        <v>167363.6214</v>
      </c>
      <c r="Z160" t="s">
        <v>1689</v>
      </c>
      <c r="AA160">
        <v>2.2330000000000001</v>
      </c>
      <c r="AB160">
        <v>89.429599999999994</v>
      </c>
      <c r="AC160">
        <v>0.1678</v>
      </c>
      <c r="AD160" t="s">
        <v>10</v>
      </c>
    </row>
    <row r="161" spans="1:30">
      <c r="A161" s="2">
        <v>160</v>
      </c>
      <c r="B161" s="2" t="s">
        <v>196</v>
      </c>
      <c r="C161" s="2" t="s">
        <v>196</v>
      </c>
      <c r="D161" s="2">
        <v>160</v>
      </c>
      <c r="E161" s="2" t="s">
        <v>196</v>
      </c>
      <c r="F161" t="s">
        <v>460</v>
      </c>
      <c r="G161" s="4">
        <v>44834</v>
      </c>
      <c r="H161" s="5">
        <v>0.91863425925925923</v>
      </c>
      <c r="I161" t="s">
        <v>9</v>
      </c>
      <c r="J161">
        <v>1.4</v>
      </c>
      <c r="K161">
        <v>0.31319999999999998</v>
      </c>
      <c r="L161">
        <v>1.6726000000000001</v>
      </c>
      <c r="M161" t="s">
        <v>10</v>
      </c>
      <c r="N161" t="s">
        <v>11</v>
      </c>
      <c r="O161">
        <v>1.923</v>
      </c>
      <c r="P161">
        <v>94.052999999999997</v>
      </c>
      <c r="Q161">
        <v>138.03550000000001</v>
      </c>
      <c r="R161" t="s">
        <v>10</v>
      </c>
      <c r="S161" t="s">
        <v>461</v>
      </c>
      <c r="T161" s="4">
        <v>44834</v>
      </c>
      <c r="U161" s="5">
        <v>0.91863425925925923</v>
      </c>
      <c r="V161" t="s">
        <v>13</v>
      </c>
      <c r="W161">
        <v>1.1599999999999999</v>
      </c>
      <c r="X161">
        <v>2956.5486000000001</v>
      </c>
      <c r="Y161">
        <v>111629.31510000001</v>
      </c>
      <c r="Z161" t="s">
        <v>1689</v>
      </c>
      <c r="AA161">
        <v>2.226</v>
      </c>
      <c r="AB161">
        <v>60.892400000000002</v>
      </c>
      <c r="AC161">
        <v>5.0799999999999998E-2</v>
      </c>
      <c r="AD161" t="s">
        <v>10</v>
      </c>
    </row>
    <row r="162" spans="1:30">
      <c r="A162" s="2">
        <v>161</v>
      </c>
      <c r="B162" s="2" t="s">
        <v>426</v>
      </c>
      <c r="C162" s="2" t="s">
        <v>462</v>
      </c>
      <c r="D162" s="2">
        <v>161</v>
      </c>
      <c r="E162" s="3" t="str">
        <f>D162&amp;"g"</f>
        <v>161g</v>
      </c>
      <c r="F162" t="s">
        <v>463</v>
      </c>
      <c r="G162" s="4">
        <v>44834</v>
      </c>
      <c r="H162" s="5">
        <v>0.92238425925925915</v>
      </c>
      <c r="I162" t="s">
        <v>9</v>
      </c>
      <c r="J162">
        <v>1.403</v>
      </c>
      <c r="K162">
        <v>19.695499999999999</v>
      </c>
      <c r="L162">
        <v>85.505300000000005</v>
      </c>
      <c r="M162" t="s">
        <v>10</v>
      </c>
      <c r="N162" t="s">
        <v>11</v>
      </c>
      <c r="O162">
        <v>1.9330000000000001</v>
      </c>
      <c r="P162">
        <v>1997.5934</v>
      </c>
      <c r="Q162">
        <v>7173.0382</v>
      </c>
      <c r="R162" t="s">
        <v>10</v>
      </c>
      <c r="S162" t="s">
        <v>464</v>
      </c>
      <c r="T162" s="4">
        <v>44834</v>
      </c>
      <c r="U162" s="5">
        <v>0.92238425925925915</v>
      </c>
      <c r="V162" t="s">
        <v>13</v>
      </c>
      <c r="W162">
        <v>1.1599999999999999</v>
      </c>
      <c r="X162">
        <v>3407.1786000000002</v>
      </c>
      <c r="Y162">
        <v>157751.7444</v>
      </c>
      <c r="Z162" t="s">
        <v>1689</v>
      </c>
      <c r="AA162">
        <v>2.2229999999999999</v>
      </c>
      <c r="AB162">
        <v>146.3528</v>
      </c>
      <c r="AC162">
        <v>0.40110000000000001</v>
      </c>
      <c r="AD162" t="s">
        <v>10</v>
      </c>
    </row>
    <row r="163" spans="1:30">
      <c r="A163" s="2">
        <v>162</v>
      </c>
      <c r="B163" s="2" t="s">
        <v>196</v>
      </c>
      <c r="C163" s="2" t="s">
        <v>196</v>
      </c>
      <c r="D163" s="2">
        <v>162</v>
      </c>
      <c r="E163" s="2" t="s">
        <v>196</v>
      </c>
      <c r="F163" t="s">
        <v>465</v>
      </c>
      <c r="G163" s="4">
        <v>44834</v>
      </c>
      <c r="H163" s="5">
        <v>0.9261342592592593</v>
      </c>
      <c r="I163" t="s">
        <v>9</v>
      </c>
      <c r="J163">
        <v>1.4</v>
      </c>
      <c r="K163">
        <v>0.37069999999999997</v>
      </c>
      <c r="L163">
        <v>1.9213</v>
      </c>
      <c r="M163" t="s">
        <v>10</v>
      </c>
      <c r="N163" t="s">
        <v>11</v>
      </c>
      <c r="O163">
        <v>1.9259999999999999</v>
      </c>
      <c r="P163">
        <v>104.6272</v>
      </c>
      <c r="Q163">
        <v>177.11510000000001</v>
      </c>
      <c r="R163" t="s">
        <v>10</v>
      </c>
      <c r="S163" t="s">
        <v>466</v>
      </c>
      <c r="T163" s="4">
        <v>44834</v>
      </c>
      <c r="U163" s="5">
        <v>0.9261342592592593</v>
      </c>
      <c r="V163" t="s">
        <v>13</v>
      </c>
      <c r="W163">
        <v>1.1599999999999999</v>
      </c>
      <c r="X163">
        <v>3025.2372999999998</v>
      </c>
      <c r="Y163">
        <v>117421.3615</v>
      </c>
      <c r="Z163" t="s">
        <v>1689</v>
      </c>
      <c r="AA163">
        <v>2.2330000000000001</v>
      </c>
      <c r="AB163">
        <v>66.245400000000004</v>
      </c>
      <c r="AC163">
        <v>7.2800000000000004E-2</v>
      </c>
      <c r="AD163" t="s">
        <v>10</v>
      </c>
    </row>
    <row r="164" spans="1:30">
      <c r="A164" s="2">
        <v>163</v>
      </c>
      <c r="B164" s="2" t="s">
        <v>426</v>
      </c>
      <c r="C164" s="2" t="s">
        <v>467</v>
      </c>
      <c r="D164" s="2">
        <v>163</v>
      </c>
      <c r="E164" s="3" t="str">
        <f>D164&amp;"g"</f>
        <v>163g</v>
      </c>
      <c r="F164" t="s">
        <v>468</v>
      </c>
      <c r="G164" s="4">
        <v>44834</v>
      </c>
      <c r="H164" s="5">
        <v>0.92989583333333325</v>
      </c>
      <c r="I164" t="s">
        <v>9</v>
      </c>
      <c r="J164">
        <v>1.413</v>
      </c>
      <c r="K164">
        <v>3.2315999999999998</v>
      </c>
      <c r="L164">
        <v>14.295299999999999</v>
      </c>
      <c r="M164" t="s">
        <v>10</v>
      </c>
      <c r="N164" t="s">
        <v>11</v>
      </c>
      <c r="O164">
        <v>1.94</v>
      </c>
      <c r="P164">
        <v>1525.8155999999999</v>
      </c>
      <c r="Q164">
        <v>5429.4670999999998</v>
      </c>
      <c r="R164" t="s">
        <v>10</v>
      </c>
      <c r="S164" t="s">
        <v>469</v>
      </c>
      <c r="T164" s="4">
        <v>44834</v>
      </c>
      <c r="U164" s="5">
        <v>0.92989583333333325</v>
      </c>
      <c r="V164" t="s">
        <v>13</v>
      </c>
      <c r="W164">
        <v>1.17</v>
      </c>
      <c r="X164">
        <v>3301.4899</v>
      </c>
      <c r="Y164">
        <v>144618.56709999999</v>
      </c>
      <c r="Z164" t="s">
        <v>1689</v>
      </c>
      <c r="AA164">
        <v>2.2330000000000001</v>
      </c>
      <c r="AB164">
        <v>130.9479</v>
      </c>
      <c r="AC164">
        <v>0.33800000000000002</v>
      </c>
      <c r="AD164" t="s">
        <v>10</v>
      </c>
    </row>
    <row r="165" spans="1:30">
      <c r="A165" s="2">
        <v>164</v>
      </c>
      <c r="B165" s="2" t="s">
        <v>196</v>
      </c>
      <c r="C165" s="2" t="s">
        <v>196</v>
      </c>
      <c r="D165" s="2">
        <v>164</v>
      </c>
      <c r="E165" s="2" t="s">
        <v>196</v>
      </c>
      <c r="F165" t="s">
        <v>470</v>
      </c>
      <c r="G165" s="4">
        <v>44834</v>
      </c>
      <c r="H165" s="5">
        <v>0.93364583333333329</v>
      </c>
      <c r="I165" t="s">
        <v>9</v>
      </c>
      <c r="J165">
        <v>1.403</v>
      </c>
      <c r="K165">
        <v>0.30370000000000003</v>
      </c>
      <c r="L165">
        <v>1.6315</v>
      </c>
      <c r="M165" t="s">
        <v>10</v>
      </c>
      <c r="N165" t="s">
        <v>11</v>
      </c>
      <c r="O165">
        <v>1.923</v>
      </c>
      <c r="P165">
        <v>91.423299999999998</v>
      </c>
      <c r="Q165">
        <v>128.3168</v>
      </c>
      <c r="R165" t="s">
        <v>10</v>
      </c>
      <c r="S165" t="s">
        <v>471</v>
      </c>
      <c r="T165" s="4">
        <v>44834</v>
      </c>
      <c r="U165" s="5">
        <v>0.93364583333333329</v>
      </c>
      <c r="V165" t="s">
        <v>13</v>
      </c>
      <c r="W165">
        <v>1.1599999999999999</v>
      </c>
      <c r="X165">
        <v>2922.5115000000001</v>
      </c>
      <c r="Y165">
        <v>108873.39599999999</v>
      </c>
      <c r="Z165" t="s">
        <v>1689</v>
      </c>
      <c r="AA165">
        <v>2.226</v>
      </c>
      <c r="AB165">
        <v>61.750999999999998</v>
      </c>
      <c r="AC165">
        <v>5.4300000000000001E-2</v>
      </c>
      <c r="AD165" t="s">
        <v>10</v>
      </c>
    </row>
    <row r="166" spans="1:30">
      <c r="A166" s="2">
        <v>165</v>
      </c>
      <c r="B166" s="2" t="s">
        <v>426</v>
      </c>
      <c r="C166" s="2" t="s">
        <v>472</v>
      </c>
      <c r="D166" s="2">
        <v>165</v>
      </c>
      <c r="E166" s="3" t="str">
        <f>D166&amp;"g"</f>
        <v>165g</v>
      </c>
      <c r="F166" t="s">
        <v>473</v>
      </c>
      <c r="G166" s="4">
        <v>44834</v>
      </c>
      <c r="H166" s="5">
        <v>0.93740740740740736</v>
      </c>
      <c r="I166" t="s">
        <v>9</v>
      </c>
      <c r="J166">
        <v>1.4</v>
      </c>
      <c r="K166">
        <v>0.51119999999999999</v>
      </c>
      <c r="L166">
        <v>2.5289999999999999</v>
      </c>
      <c r="M166" t="s">
        <v>10</v>
      </c>
      <c r="N166" t="s">
        <v>11</v>
      </c>
      <c r="O166">
        <v>1.93</v>
      </c>
      <c r="P166">
        <v>2287.7910999999999</v>
      </c>
      <c r="Q166">
        <v>8245.5352999999996</v>
      </c>
      <c r="R166" t="s">
        <v>10</v>
      </c>
      <c r="S166" t="s">
        <v>474</v>
      </c>
      <c r="T166" s="4">
        <v>44834</v>
      </c>
      <c r="U166" s="5">
        <v>0.93740740740740736</v>
      </c>
      <c r="V166" t="s">
        <v>13</v>
      </c>
      <c r="W166">
        <v>1.1599999999999999</v>
      </c>
      <c r="X166">
        <v>3365.1194</v>
      </c>
      <c r="Y166">
        <v>152229.31520000001</v>
      </c>
      <c r="Z166" t="s">
        <v>1689</v>
      </c>
      <c r="AA166">
        <v>2.2200000000000002</v>
      </c>
      <c r="AB166">
        <v>152.98599999999999</v>
      </c>
      <c r="AC166">
        <v>0.42830000000000001</v>
      </c>
      <c r="AD166" t="s">
        <v>10</v>
      </c>
    </row>
    <row r="167" spans="1:30">
      <c r="A167" s="2">
        <v>166</v>
      </c>
      <c r="B167" s="2" t="s">
        <v>196</v>
      </c>
      <c r="C167" s="2" t="s">
        <v>196</v>
      </c>
      <c r="D167" s="2">
        <v>166</v>
      </c>
      <c r="E167" s="2" t="s">
        <v>196</v>
      </c>
      <c r="F167" t="s">
        <v>475</v>
      </c>
      <c r="G167" s="4">
        <v>44834</v>
      </c>
      <c r="H167" s="5">
        <v>0.94116898148148154</v>
      </c>
      <c r="I167" t="s">
        <v>9</v>
      </c>
      <c r="J167">
        <v>1.4059999999999999</v>
      </c>
      <c r="K167">
        <v>0.2928</v>
      </c>
      <c r="L167">
        <v>1.5843</v>
      </c>
      <c r="M167" t="s">
        <v>10</v>
      </c>
      <c r="N167" t="s">
        <v>11</v>
      </c>
      <c r="O167">
        <v>1.9259999999999999</v>
      </c>
      <c r="P167">
        <v>100.732</v>
      </c>
      <c r="Q167">
        <v>162.71940000000001</v>
      </c>
      <c r="R167" t="s">
        <v>10</v>
      </c>
      <c r="S167" t="s">
        <v>476</v>
      </c>
      <c r="T167" s="4">
        <v>44834</v>
      </c>
      <c r="U167" s="5">
        <v>0.94116898148148154</v>
      </c>
      <c r="V167" t="s">
        <v>13</v>
      </c>
      <c r="W167">
        <v>1.1659999999999999</v>
      </c>
      <c r="X167">
        <v>2939.1732000000002</v>
      </c>
      <c r="Y167">
        <v>110222.4621</v>
      </c>
      <c r="Z167" t="s">
        <v>1689</v>
      </c>
      <c r="AA167">
        <v>2.226</v>
      </c>
      <c r="AB167">
        <v>65.436700000000002</v>
      </c>
      <c r="AC167">
        <v>6.9400000000000003E-2</v>
      </c>
      <c r="AD167" t="s">
        <v>10</v>
      </c>
    </row>
    <row r="168" spans="1:30">
      <c r="A168" s="2">
        <v>167</v>
      </c>
      <c r="B168" s="2" t="s">
        <v>426</v>
      </c>
      <c r="C168" s="2" t="s">
        <v>477</v>
      </c>
      <c r="D168" s="2">
        <v>167</v>
      </c>
      <c r="E168" s="3" t="str">
        <f>D168&amp;"g"</f>
        <v>167g</v>
      </c>
      <c r="F168" t="s">
        <v>478</v>
      </c>
      <c r="G168" s="4">
        <v>44834</v>
      </c>
      <c r="H168" s="5">
        <v>0.94491898148148146</v>
      </c>
      <c r="I168" t="s">
        <v>9</v>
      </c>
      <c r="J168">
        <v>1.4</v>
      </c>
      <c r="K168">
        <v>0.53100000000000003</v>
      </c>
      <c r="L168">
        <v>2.6145999999999998</v>
      </c>
      <c r="M168" t="s">
        <v>10</v>
      </c>
      <c r="N168" t="s">
        <v>11</v>
      </c>
      <c r="O168">
        <v>1.923</v>
      </c>
      <c r="P168">
        <v>234.7516</v>
      </c>
      <c r="Q168">
        <v>658.02189999999996</v>
      </c>
      <c r="R168" t="s">
        <v>10</v>
      </c>
      <c r="S168" t="s">
        <v>479</v>
      </c>
      <c r="T168" s="4">
        <v>44834</v>
      </c>
      <c r="U168" s="5">
        <v>0.94491898148148146</v>
      </c>
      <c r="V168" t="s">
        <v>13</v>
      </c>
      <c r="W168">
        <v>1.1599999999999999</v>
      </c>
      <c r="X168">
        <v>3446.9458</v>
      </c>
      <c r="Y168">
        <v>163385.7065</v>
      </c>
      <c r="Z168" t="s">
        <v>1689</v>
      </c>
      <c r="AA168">
        <v>2.2229999999999999</v>
      </c>
      <c r="AB168">
        <v>94.541200000000003</v>
      </c>
      <c r="AC168">
        <v>0.18870000000000001</v>
      </c>
      <c r="AD168" t="s">
        <v>10</v>
      </c>
    </row>
    <row r="169" spans="1:30">
      <c r="A169" s="2">
        <v>168</v>
      </c>
      <c r="B169" s="2" t="s">
        <v>196</v>
      </c>
      <c r="C169" s="2" t="s">
        <v>196</v>
      </c>
      <c r="D169" s="2">
        <v>168</v>
      </c>
      <c r="E169" s="2" t="s">
        <v>196</v>
      </c>
      <c r="F169" t="s">
        <v>480</v>
      </c>
      <c r="G169" s="4">
        <v>44834</v>
      </c>
      <c r="H169" s="5">
        <v>0.94866898148148149</v>
      </c>
      <c r="I169" t="s">
        <v>9</v>
      </c>
      <c r="J169">
        <v>1.41</v>
      </c>
      <c r="K169">
        <v>0.33279999999999998</v>
      </c>
      <c r="L169">
        <v>1.7574000000000001</v>
      </c>
      <c r="M169" t="s">
        <v>10</v>
      </c>
      <c r="N169" t="s">
        <v>11</v>
      </c>
      <c r="O169">
        <v>1.9359999999999999</v>
      </c>
      <c r="P169">
        <v>91.051400000000001</v>
      </c>
      <c r="Q169">
        <v>126.94240000000001</v>
      </c>
      <c r="R169" t="s">
        <v>10</v>
      </c>
      <c r="S169" t="s">
        <v>481</v>
      </c>
      <c r="T169" s="4">
        <v>44834</v>
      </c>
      <c r="U169" s="5">
        <v>0.94866898148148149</v>
      </c>
      <c r="V169" t="s">
        <v>13</v>
      </c>
      <c r="W169">
        <v>1.1659999999999999</v>
      </c>
      <c r="X169">
        <v>3018.91</v>
      </c>
      <c r="Y169">
        <v>116878.4463</v>
      </c>
      <c r="Z169" t="s">
        <v>1689</v>
      </c>
      <c r="AA169">
        <v>2.2360000000000002</v>
      </c>
      <c r="AB169">
        <v>58.785200000000003</v>
      </c>
      <c r="AC169">
        <v>4.2200000000000001E-2</v>
      </c>
      <c r="AD169" t="s">
        <v>10</v>
      </c>
    </row>
    <row r="170" spans="1:30">
      <c r="A170" s="2">
        <v>169</v>
      </c>
      <c r="B170" s="2" t="s">
        <v>426</v>
      </c>
      <c r="C170" s="2" t="s">
        <v>482</v>
      </c>
      <c r="D170" s="2">
        <v>169</v>
      </c>
      <c r="E170" s="3" t="str">
        <f>D170&amp;"g"</f>
        <v>169g</v>
      </c>
      <c r="F170" t="s">
        <v>483</v>
      </c>
      <c r="G170" s="4">
        <v>44834</v>
      </c>
      <c r="H170" s="5">
        <v>0.95243055555555556</v>
      </c>
      <c r="I170" t="s">
        <v>9</v>
      </c>
      <c r="J170">
        <v>1.413</v>
      </c>
      <c r="K170">
        <v>0.81320000000000003</v>
      </c>
      <c r="L170">
        <v>3.8351999999999999</v>
      </c>
      <c r="M170" t="s">
        <v>10</v>
      </c>
      <c r="N170" t="s">
        <v>11</v>
      </c>
      <c r="O170">
        <v>1.9359999999999999</v>
      </c>
      <c r="P170">
        <v>344.18740000000003</v>
      </c>
      <c r="Q170">
        <v>1062.4688000000001</v>
      </c>
      <c r="R170" t="s">
        <v>10</v>
      </c>
      <c r="S170" t="s">
        <v>484</v>
      </c>
      <c r="T170" s="4">
        <v>44834</v>
      </c>
      <c r="U170" s="5">
        <v>0.95243055555555556</v>
      </c>
      <c r="V170" t="s">
        <v>13</v>
      </c>
      <c r="W170">
        <v>1.17</v>
      </c>
      <c r="X170">
        <v>3511.9459999999999</v>
      </c>
      <c r="Y170">
        <v>172971.85490000001</v>
      </c>
      <c r="Z170" t="s">
        <v>1689</v>
      </c>
      <c r="AA170">
        <v>2.2360000000000002</v>
      </c>
      <c r="AB170">
        <v>96.978399999999993</v>
      </c>
      <c r="AC170">
        <v>0.19869999999999999</v>
      </c>
      <c r="AD170" t="s">
        <v>10</v>
      </c>
    </row>
    <row r="171" spans="1:30">
      <c r="A171" s="2">
        <v>170</v>
      </c>
      <c r="B171" s="2" t="s">
        <v>196</v>
      </c>
      <c r="C171" s="2" t="s">
        <v>196</v>
      </c>
      <c r="D171" s="2">
        <v>170</v>
      </c>
      <c r="E171" s="2" t="s">
        <v>196</v>
      </c>
      <c r="F171" t="s">
        <v>485</v>
      </c>
      <c r="G171" s="4">
        <v>44834</v>
      </c>
      <c r="H171" s="5">
        <v>0.95618055555555559</v>
      </c>
      <c r="I171" t="s">
        <v>9</v>
      </c>
      <c r="J171">
        <v>1.403</v>
      </c>
      <c r="K171">
        <v>0.34620000000000001</v>
      </c>
      <c r="L171">
        <v>1.8152999999999999</v>
      </c>
      <c r="M171" t="s">
        <v>10</v>
      </c>
      <c r="N171" t="s">
        <v>11</v>
      </c>
      <c r="O171">
        <v>1.923</v>
      </c>
      <c r="P171">
        <v>99.426299999999998</v>
      </c>
      <c r="Q171">
        <v>157.8939</v>
      </c>
      <c r="R171" t="s">
        <v>10</v>
      </c>
      <c r="S171" t="s">
        <v>486</v>
      </c>
      <c r="T171" s="4">
        <v>44834</v>
      </c>
      <c r="U171" s="5">
        <v>0.95618055555555559</v>
      </c>
      <c r="V171" t="s">
        <v>13</v>
      </c>
      <c r="W171">
        <v>1.1599999999999999</v>
      </c>
      <c r="X171">
        <v>3057.9173999999998</v>
      </c>
      <c r="Y171">
        <v>120239.8089</v>
      </c>
      <c r="Z171" t="s">
        <v>1689</v>
      </c>
      <c r="AA171">
        <v>2.226</v>
      </c>
      <c r="AB171">
        <v>63.2682</v>
      </c>
      <c r="AC171">
        <v>6.0600000000000001E-2</v>
      </c>
      <c r="AD171" t="s">
        <v>10</v>
      </c>
    </row>
    <row r="172" spans="1:30">
      <c r="A172" s="2">
        <v>171</v>
      </c>
      <c r="B172" s="2" t="s">
        <v>426</v>
      </c>
      <c r="C172" s="2" t="s">
        <v>487</v>
      </c>
      <c r="D172" s="2">
        <v>171</v>
      </c>
      <c r="E172" s="3" t="str">
        <f>D172&amp;"g"</f>
        <v>171g</v>
      </c>
      <c r="F172" t="s">
        <v>488</v>
      </c>
      <c r="G172" s="4">
        <v>44834</v>
      </c>
      <c r="H172" s="5">
        <v>0.95994212962962966</v>
      </c>
      <c r="I172" t="s">
        <v>9</v>
      </c>
      <c r="J172">
        <v>1.403</v>
      </c>
      <c r="K172">
        <v>0.7883</v>
      </c>
      <c r="L172">
        <v>3.7275</v>
      </c>
      <c r="M172" t="s">
        <v>10</v>
      </c>
      <c r="N172" t="s">
        <v>11</v>
      </c>
      <c r="O172">
        <v>1.923</v>
      </c>
      <c r="P172">
        <v>244.22229999999999</v>
      </c>
      <c r="Q172">
        <v>693.02319999999997</v>
      </c>
      <c r="R172" t="s">
        <v>10</v>
      </c>
      <c r="S172" t="s">
        <v>489</v>
      </c>
      <c r="T172" s="4">
        <v>44834</v>
      </c>
      <c r="U172" s="5">
        <v>0.95994212962962966</v>
      </c>
      <c r="V172" t="s">
        <v>13</v>
      </c>
      <c r="W172">
        <v>1.1599999999999999</v>
      </c>
      <c r="X172">
        <v>3452.8631999999998</v>
      </c>
      <c r="Y172">
        <v>164258.39730000001</v>
      </c>
      <c r="Z172" t="s">
        <v>1689</v>
      </c>
      <c r="AA172">
        <v>2.226</v>
      </c>
      <c r="AB172">
        <v>93.149799999999999</v>
      </c>
      <c r="AC172">
        <v>0.183</v>
      </c>
      <c r="AD172" t="s">
        <v>10</v>
      </c>
    </row>
    <row r="173" spans="1:30">
      <c r="A173" s="2">
        <v>172</v>
      </c>
      <c r="B173" s="2" t="s">
        <v>196</v>
      </c>
      <c r="C173" s="2" t="s">
        <v>196</v>
      </c>
      <c r="D173" s="2">
        <v>172</v>
      </c>
      <c r="E173" s="2" t="s">
        <v>196</v>
      </c>
      <c r="F173" t="s">
        <v>490</v>
      </c>
      <c r="G173" s="4">
        <v>44834</v>
      </c>
      <c r="H173" s="5">
        <v>0.96369212962962969</v>
      </c>
      <c r="I173" t="s">
        <v>9</v>
      </c>
      <c r="J173">
        <v>1.413</v>
      </c>
      <c r="K173">
        <v>0.31019999999999998</v>
      </c>
      <c r="L173">
        <v>1.6596</v>
      </c>
      <c r="M173" t="s">
        <v>10</v>
      </c>
      <c r="N173" t="s">
        <v>11</v>
      </c>
      <c r="O173">
        <v>1.9359999999999999</v>
      </c>
      <c r="P173">
        <v>93.259200000000007</v>
      </c>
      <c r="Q173">
        <v>135.1018</v>
      </c>
      <c r="R173" t="s">
        <v>10</v>
      </c>
      <c r="S173" t="s">
        <v>491</v>
      </c>
      <c r="T173" s="4">
        <v>44834</v>
      </c>
      <c r="U173" s="5">
        <v>0.96369212962962969</v>
      </c>
      <c r="V173" t="s">
        <v>13</v>
      </c>
      <c r="W173">
        <v>1.17</v>
      </c>
      <c r="X173">
        <v>3083.7080000000001</v>
      </c>
      <c r="Y173">
        <v>122593.3808</v>
      </c>
      <c r="Z173" t="s">
        <v>1689</v>
      </c>
      <c r="AA173">
        <v>2.2360000000000002</v>
      </c>
      <c r="AB173">
        <v>62.792299999999997</v>
      </c>
      <c r="AC173">
        <v>5.8599999999999999E-2</v>
      </c>
      <c r="AD173" t="s">
        <v>10</v>
      </c>
    </row>
    <row r="174" spans="1:30">
      <c r="A174" s="2">
        <v>173</v>
      </c>
      <c r="B174" s="2" t="s">
        <v>238</v>
      </c>
      <c r="C174" s="2" t="s">
        <v>239</v>
      </c>
      <c r="D174" s="2">
        <v>173</v>
      </c>
      <c r="E174" s="3" t="s">
        <v>492</v>
      </c>
      <c r="F174" t="s">
        <v>493</v>
      </c>
      <c r="G174" s="4">
        <v>44834</v>
      </c>
      <c r="H174" s="5">
        <v>0.96745370370370365</v>
      </c>
      <c r="I174" t="s">
        <v>9</v>
      </c>
      <c r="J174">
        <v>1.4</v>
      </c>
      <c r="K174">
        <v>0.65449999999999997</v>
      </c>
      <c r="L174">
        <v>3.1488</v>
      </c>
      <c r="M174" t="s">
        <v>10</v>
      </c>
      <c r="N174" t="s">
        <v>11</v>
      </c>
      <c r="O174">
        <v>1.923</v>
      </c>
      <c r="P174">
        <v>170.91560000000001</v>
      </c>
      <c r="Q174">
        <v>422.10019999999997</v>
      </c>
      <c r="R174" t="s">
        <v>10</v>
      </c>
      <c r="S174" t="s">
        <v>494</v>
      </c>
      <c r="T174" s="4">
        <v>44834</v>
      </c>
      <c r="U174" s="5">
        <v>0.96745370370370365</v>
      </c>
      <c r="V174" t="s">
        <v>13</v>
      </c>
      <c r="W174">
        <v>1.1599999999999999</v>
      </c>
      <c r="X174">
        <v>3765.7348000000002</v>
      </c>
      <c r="Y174">
        <v>210400.3107</v>
      </c>
      <c r="Z174" t="s">
        <v>1689</v>
      </c>
      <c r="AA174">
        <v>2.2229999999999999</v>
      </c>
      <c r="AB174">
        <v>111.1918</v>
      </c>
      <c r="AC174">
        <v>0.25700000000000001</v>
      </c>
      <c r="AD174" t="s">
        <v>10</v>
      </c>
    </row>
    <row r="175" spans="1:30">
      <c r="A175" s="2">
        <v>174</v>
      </c>
      <c r="B175" s="2" t="s">
        <v>196</v>
      </c>
      <c r="C175" s="2" t="s">
        <v>196</v>
      </c>
      <c r="D175" s="2">
        <v>174</v>
      </c>
      <c r="E175" s="2" t="s">
        <v>196</v>
      </c>
      <c r="F175" t="s">
        <v>495</v>
      </c>
      <c r="G175" s="4">
        <v>44834</v>
      </c>
      <c r="H175" s="5">
        <v>0.97120370370370368</v>
      </c>
      <c r="I175" t="s">
        <v>9</v>
      </c>
      <c r="J175">
        <v>1.403</v>
      </c>
      <c r="K175">
        <v>0.31919999999999998</v>
      </c>
      <c r="L175">
        <v>1.6984999999999999</v>
      </c>
      <c r="M175" t="s">
        <v>10</v>
      </c>
      <c r="N175" t="s">
        <v>11</v>
      </c>
      <c r="O175">
        <v>1.92</v>
      </c>
      <c r="P175">
        <v>87.234399999999994</v>
      </c>
      <c r="Q175">
        <v>112.8357</v>
      </c>
      <c r="R175" t="s">
        <v>10</v>
      </c>
      <c r="S175" t="s">
        <v>496</v>
      </c>
      <c r="T175" s="4">
        <v>44834</v>
      </c>
      <c r="U175" s="5">
        <v>0.97120370370370368</v>
      </c>
      <c r="V175" t="s">
        <v>13</v>
      </c>
      <c r="W175">
        <v>1.1599999999999999</v>
      </c>
      <c r="X175">
        <v>2920.9668999999999</v>
      </c>
      <c r="Y175">
        <v>108748.3327</v>
      </c>
      <c r="Z175" t="s">
        <v>1689</v>
      </c>
      <c r="AA175">
        <v>2.2229999999999999</v>
      </c>
      <c r="AB175">
        <v>57.0122</v>
      </c>
      <c r="AC175">
        <v>3.49E-2</v>
      </c>
      <c r="AD175" t="s">
        <v>10</v>
      </c>
    </row>
    <row r="176" spans="1:30">
      <c r="A176" s="2">
        <v>175</v>
      </c>
      <c r="B176" s="2" t="s">
        <v>426</v>
      </c>
      <c r="C176" s="2" t="s">
        <v>497</v>
      </c>
      <c r="D176" s="2">
        <v>175</v>
      </c>
      <c r="E176" s="3" t="str">
        <f>D176&amp;"g"</f>
        <v>175g</v>
      </c>
      <c r="F176" t="s">
        <v>498</v>
      </c>
      <c r="G176" s="4">
        <v>44834</v>
      </c>
      <c r="H176" s="5">
        <v>0.9749537037037036</v>
      </c>
      <c r="I176" t="s">
        <v>9</v>
      </c>
      <c r="J176">
        <v>1.403</v>
      </c>
      <c r="K176">
        <v>30.696200000000001</v>
      </c>
      <c r="L176">
        <v>133.08580000000001</v>
      </c>
      <c r="M176" t="s">
        <v>10</v>
      </c>
      <c r="N176" t="s">
        <v>11</v>
      </c>
      <c r="O176">
        <v>1.93</v>
      </c>
      <c r="P176">
        <v>11104.814399999999</v>
      </c>
      <c r="Q176">
        <v>40831.017899999999</v>
      </c>
      <c r="R176" t="s">
        <v>10</v>
      </c>
      <c r="S176" t="s">
        <v>499</v>
      </c>
      <c r="T176" s="4">
        <v>44834</v>
      </c>
      <c r="U176" s="5">
        <v>0.9749537037037036</v>
      </c>
      <c r="V176" t="s">
        <v>13</v>
      </c>
      <c r="W176">
        <v>1.1599999999999999</v>
      </c>
      <c r="X176">
        <v>2982.6668</v>
      </c>
      <c r="Y176">
        <v>113768.5914</v>
      </c>
      <c r="Z176" t="s">
        <v>1689</v>
      </c>
      <c r="AA176">
        <v>2.2200000000000002</v>
      </c>
      <c r="AB176">
        <v>248.07480000000001</v>
      </c>
      <c r="AC176">
        <v>0.81810000000000005</v>
      </c>
      <c r="AD176" t="s">
        <v>10</v>
      </c>
    </row>
    <row r="177" spans="1:30">
      <c r="A177" s="2">
        <v>176</v>
      </c>
      <c r="B177" s="2" t="s">
        <v>196</v>
      </c>
      <c r="C177" s="2" t="s">
        <v>196</v>
      </c>
      <c r="D177" s="2">
        <v>176</v>
      </c>
      <c r="E177" s="2" t="s">
        <v>196</v>
      </c>
      <c r="F177" t="s">
        <v>500</v>
      </c>
      <c r="G177" s="4">
        <v>44834</v>
      </c>
      <c r="H177" s="5">
        <v>0.97870370370370363</v>
      </c>
      <c r="I177" t="s">
        <v>9</v>
      </c>
      <c r="J177">
        <v>0</v>
      </c>
      <c r="K177">
        <v>0</v>
      </c>
      <c r="L177">
        <v>0</v>
      </c>
      <c r="M177" t="s">
        <v>10</v>
      </c>
      <c r="N177" t="s">
        <v>11</v>
      </c>
      <c r="O177">
        <v>1.923</v>
      </c>
      <c r="P177">
        <v>126.5582</v>
      </c>
      <c r="Q177">
        <v>258.16649999999998</v>
      </c>
      <c r="R177" t="s">
        <v>10</v>
      </c>
      <c r="S177" t="s">
        <v>501</v>
      </c>
      <c r="T177" s="4">
        <v>44834</v>
      </c>
      <c r="U177" s="5">
        <v>0.97870370370370363</v>
      </c>
      <c r="V177" t="s">
        <v>13</v>
      </c>
      <c r="W177">
        <v>1.1559999999999999</v>
      </c>
      <c r="X177">
        <v>2974.1662000000001</v>
      </c>
      <c r="Y177">
        <v>113055.7785</v>
      </c>
      <c r="Z177" t="s">
        <v>1689</v>
      </c>
      <c r="AA177">
        <v>2.2229999999999999</v>
      </c>
      <c r="AB177">
        <v>63.084200000000003</v>
      </c>
      <c r="AC177">
        <v>5.9799999999999999E-2</v>
      </c>
      <c r="AD177" t="s">
        <v>10</v>
      </c>
    </row>
    <row r="178" spans="1:30">
      <c r="A178" s="2">
        <v>177</v>
      </c>
      <c r="B178" s="2" t="s">
        <v>426</v>
      </c>
      <c r="C178" s="2" t="s">
        <v>502</v>
      </c>
      <c r="D178" s="2">
        <v>177</v>
      </c>
      <c r="E178" s="3" t="str">
        <f>D178&amp;"g"</f>
        <v>177g</v>
      </c>
      <c r="F178" t="s">
        <v>503</v>
      </c>
      <c r="G178" s="4">
        <v>44834</v>
      </c>
      <c r="H178" s="5">
        <v>0.98245370370370377</v>
      </c>
      <c r="I178" t="s">
        <v>9</v>
      </c>
      <c r="J178">
        <v>1.403</v>
      </c>
      <c r="K178">
        <v>5.7759999999999998</v>
      </c>
      <c r="L178">
        <v>25.3004</v>
      </c>
      <c r="M178" t="s">
        <v>10</v>
      </c>
      <c r="N178" t="s">
        <v>11</v>
      </c>
      <c r="O178">
        <v>1.9330000000000001</v>
      </c>
      <c r="P178">
        <v>3167.8130000000001</v>
      </c>
      <c r="Q178">
        <v>11497.873100000001</v>
      </c>
      <c r="R178" t="s">
        <v>10</v>
      </c>
      <c r="S178" t="s">
        <v>504</v>
      </c>
      <c r="T178" s="4">
        <v>44834</v>
      </c>
      <c r="U178" s="5">
        <v>0.98245370370370377</v>
      </c>
      <c r="V178" t="s">
        <v>13</v>
      </c>
      <c r="W178">
        <v>1.1599999999999999</v>
      </c>
      <c r="X178">
        <v>3392.6008000000002</v>
      </c>
      <c r="Y178">
        <v>155802.0264</v>
      </c>
      <c r="Z178" t="s">
        <v>1689</v>
      </c>
      <c r="AA178">
        <v>2.2160000000000002</v>
      </c>
      <c r="AB178">
        <v>177.6208</v>
      </c>
      <c r="AC178">
        <v>0.52929999999999999</v>
      </c>
      <c r="AD178" t="s">
        <v>10</v>
      </c>
    </row>
    <row r="179" spans="1:30">
      <c r="A179" s="2">
        <v>178</v>
      </c>
      <c r="B179" s="2" t="s">
        <v>196</v>
      </c>
      <c r="C179" s="2" t="s">
        <v>196</v>
      </c>
      <c r="D179" s="2">
        <v>178</v>
      </c>
      <c r="E179" s="2" t="s">
        <v>196</v>
      </c>
      <c r="F179" t="s">
        <v>505</v>
      </c>
      <c r="G179" s="4">
        <v>44834</v>
      </c>
      <c r="H179" s="5">
        <v>0.98622685185185188</v>
      </c>
      <c r="I179" t="s">
        <v>9</v>
      </c>
      <c r="J179">
        <v>1.413</v>
      </c>
      <c r="K179">
        <v>0.27260000000000001</v>
      </c>
      <c r="L179">
        <v>1.4970000000000001</v>
      </c>
      <c r="M179" t="s">
        <v>10</v>
      </c>
      <c r="N179" t="s">
        <v>11</v>
      </c>
      <c r="O179">
        <v>1.9330000000000001</v>
      </c>
      <c r="P179">
        <v>99.188800000000001</v>
      </c>
      <c r="Q179">
        <v>157.01609999999999</v>
      </c>
      <c r="R179" t="s">
        <v>10</v>
      </c>
      <c r="S179" t="s">
        <v>506</v>
      </c>
      <c r="T179" s="4">
        <v>44834</v>
      </c>
      <c r="U179" s="5">
        <v>0.98622685185185188</v>
      </c>
      <c r="V179" t="s">
        <v>13</v>
      </c>
      <c r="W179">
        <v>1.1659999999999999</v>
      </c>
      <c r="X179">
        <v>3124.0963000000002</v>
      </c>
      <c r="Y179">
        <v>126279.09450000001</v>
      </c>
      <c r="Z179" t="s">
        <v>1689</v>
      </c>
      <c r="AA179">
        <v>2.2360000000000002</v>
      </c>
      <c r="AB179">
        <v>63.6096</v>
      </c>
      <c r="AC179">
        <v>6.2E-2</v>
      </c>
      <c r="AD179" t="s">
        <v>10</v>
      </c>
    </row>
    <row r="180" spans="1:30">
      <c r="A180" s="2">
        <v>179</v>
      </c>
      <c r="B180" s="2" t="s">
        <v>426</v>
      </c>
      <c r="C180" s="2" t="s">
        <v>507</v>
      </c>
      <c r="D180" s="2">
        <v>179</v>
      </c>
      <c r="E180" s="3" t="str">
        <f>D180&amp;"g"</f>
        <v>179g</v>
      </c>
      <c r="F180" t="s">
        <v>508</v>
      </c>
      <c r="G180" s="4">
        <v>44834</v>
      </c>
      <c r="H180" s="5">
        <v>0.98998842592592595</v>
      </c>
      <c r="I180" t="s">
        <v>9</v>
      </c>
      <c r="J180">
        <v>1.41</v>
      </c>
      <c r="K180">
        <v>0.47360000000000002</v>
      </c>
      <c r="L180">
        <v>2.3662999999999998</v>
      </c>
      <c r="M180" t="s">
        <v>10</v>
      </c>
      <c r="N180" t="s">
        <v>11</v>
      </c>
      <c r="O180">
        <v>1.946</v>
      </c>
      <c r="P180">
        <v>2969.2262000000001</v>
      </c>
      <c r="Q180">
        <v>10763.9467</v>
      </c>
      <c r="R180" t="s">
        <v>10</v>
      </c>
      <c r="S180" t="s">
        <v>509</v>
      </c>
      <c r="T180" s="4">
        <v>44834</v>
      </c>
      <c r="U180" s="5">
        <v>0.98998842592592595</v>
      </c>
      <c r="V180" t="s">
        <v>13</v>
      </c>
      <c r="W180">
        <v>1.1659999999999999</v>
      </c>
      <c r="X180">
        <v>3480.6621</v>
      </c>
      <c r="Y180">
        <v>168358.14439999999</v>
      </c>
      <c r="Z180" t="s">
        <v>1689</v>
      </c>
      <c r="AA180">
        <v>2.2360000000000002</v>
      </c>
      <c r="AB180">
        <v>173.42670000000001</v>
      </c>
      <c r="AC180">
        <v>0.5121</v>
      </c>
      <c r="AD180" t="s">
        <v>10</v>
      </c>
    </row>
    <row r="181" spans="1:30">
      <c r="A181" s="2">
        <v>180</v>
      </c>
      <c r="B181" s="2" t="s">
        <v>196</v>
      </c>
      <c r="C181" s="2" t="s">
        <v>196</v>
      </c>
      <c r="D181" s="2">
        <v>180</v>
      </c>
      <c r="E181" s="2" t="s">
        <v>196</v>
      </c>
      <c r="F181" t="s">
        <v>510</v>
      </c>
      <c r="G181" s="4">
        <v>44834</v>
      </c>
      <c r="H181" s="5">
        <v>0.99375000000000002</v>
      </c>
      <c r="I181" t="s">
        <v>9</v>
      </c>
      <c r="J181">
        <v>1.4</v>
      </c>
      <c r="K181">
        <v>0.30499999999999999</v>
      </c>
      <c r="L181">
        <v>1.6371</v>
      </c>
      <c r="M181" t="s">
        <v>10</v>
      </c>
      <c r="N181" t="s">
        <v>11</v>
      </c>
      <c r="O181">
        <v>1.923</v>
      </c>
      <c r="P181">
        <v>117.459</v>
      </c>
      <c r="Q181">
        <v>224.53819999999999</v>
      </c>
      <c r="R181" t="s">
        <v>10</v>
      </c>
      <c r="S181" t="s">
        <v>511</v>
      </c>
      <c r="T181" s="4">
        <v>44834</v>
      </c>
      <c r="U181" s="5">
        <v>0.99375000000000002</v>
      </c>
      <c r="V181" t="s">
        <v>13</v>
      </c>
      <c r="W181">
        <v>1.1599999999999999</v>
      </c>
      <c r="X181">
        <v>3177.5454</v>
      </c>
      <c r="Y181">
        <v>131461.33230000001</v>
      </c>
      <c r="Z181" t="s">
        <v>1689</v>
      </c>
      <c r="AA181">
        <v>2.2229999999999999</v>
      </c>
      <c r="AB181">
        <v>70.701400000000007</v>
      </c>
      <c r="AC181">
        <v>9.0999999999999998E-2</v>
      </c>
      <c r="AD181" t="s">
        <v>10</v>
      </c>
    </row>
    <row r="182" spans="1:30">
      <c r="A182" s="2">
        <v>181</v>
      </c>
      <c r="B182" s="2" t="s">
        <v>426</v>
      </c>
      <c r="C182" s="2" t="s">
        <v>512</v>
      </c>
      <c r="D182" s="2">
        <v>181</v>
      </c>
      <c r="E182" s="3" t="str">
        <f>D182&amp;"g"</f>
        <v>181g</v>
      </c>
      <c r="F182" t="s">
        <v>513</v>
      </c>
      <c r="G182" s="4">
        <v>44834</v>
      </c>
      <c r="H182" s="5">
        <v>0.99750000000000005</v>
      </c>
      <c r="I182" t="s">
        <v>9</v>
      </c>
      <c r="J182">
        <v>1.413</v>
      </c>
      <c r="K182">
        <v>1.2213000000000001</v>
      </c>
      <c r="L182">
        <v>5.6002999999999998</v>
      </c>
      <c r="M182" t="s">
        <v>10</v>
      </c>
      <c r="N182" t="s">
        <v>11</v>
      </c>
      <c r="O182">
        <v>1.9430000000000001</v>
      </c>
      <c r="P182">
        <v>1739.7385999999999</v>
      </c>
      <c r="Q182">
        <v>6220.0721999999996</v>
      </c>
      <c r="R182" t="s">
        <v>10</v>
      </c>
      <c r="S182" t="s">
        <v>514</v>
      </c>
      <c r="T182" s="4">
        <v>44834</v>
      </c>
      <c r="U182" s="5">
        <v>0.99750000000000005</v>
      </c>
      <c r="V182" t="s">
        <v>13</v>
      </c>
      <c r="W182">
        <v>1.1659999999999999</v>
      </c>
      <c r="X182">
        <v>3554.3679999999999</v>
      </c>
      <c r="Y182">
        <v>179228.1986</v>
      </c>
      <c r="Z182" t="s">
        <v>1689</v>
      </c>
      <c r="AA182">
        <v>2.2330000000000001</v>
      </c>
      <c r="AB182">
        <v>145.3954</v>
      </c>
      <c r="AC182">
        <v>0.3972</v>
      </c>
      <c r="AD182" t="s">
        <v>10</v>
      </c>
    </row>
    <row r="183" spans="1:30">
      <c r="A183" s="2">
        <v>182</v>
      </c>
      <c r="B183" s="2" t="s">
        <v>196</v>
      </c>
      <c r="C183" s="2" t="s">
        <v>196</v>
      </c>
      <c r="D183" s="2">
        <v>182</v>
      </c>
      <c r="E183" s="2" t="s">
        <v>196</v>
      </c>
      <c r="F183" t="s">
        <v>515</v>
      </c>
      <c r="G183" s="4">
        <v>44835</v>
      </c>
      <c r="H183" s="5">
        <v>1.25E-3</v>
      </c>
      <c r="I183" t="s">
        <v>9</v>
      </c>
      <c r="J183">
        <v>1.4</v>
      </c>
      <c r="K183">
        <v>0.26179999999999998</v>
      </c>
      <c r="L183">
        <v>1.4502999999999999</v>
      </c>
      <c r="M183" t="s">
        <v>10</v>
      </c>
      <c r="N183" t="s">
        <v>11</v>
      </c>
      <c r="O183">
        <v>1.9259999999999999</v>
      </c>
      <c r="P183">
        <v>91.047200000000004</v>
      </c>
      <c r="Q183">
        <v>126.9268</v>
      </c>
      <c r="R183" t="s">
        <v>10</v>
      </c>
      <c r="S183" t="s">
        <v>516</v>
      </c>
      <c r="T183" s="4">
        <v>44835</v>
      </c>
      <c r="U183" s="5">
        <v>1.25E-3</v>
      </c>
      <c r="V183" t="s">
        <v>13</v>
      </c>
      <c r="W183">
        <v>1.1599999999999999</v>
      </c>
      <c r="X183">
        <v>2924.1878000000002</v>
      </c>
      <c r="Y183">
        <v>109009.1228</v>
      </c>
      <c r="Z183" t="s">
        <v>1689</v>
      </c>
      <c r="AA183">
        <v>2.226</v>
      </c>
      <c r="AB183">
        <v>58.192599999999999</v>
      </c>
      <c r="AC183">
        <v>3.9800000000000002E-2</v>
      </c>
      <c r="AD183" t="s">
        <v>10</v>
      </c>
    </row>
    <row r="184" spans="1:30">
      <c r="A184" s="2">
        <v>183</v>
      </c>
      <c r="B184" s="2" t="s">
        <v>426</v>
      </c>
      <c r="C184" s="2" t="s">
        <v>517</v>
      </c>
      <c r="D184" s="2">
        <v>183</v>
      </c>
      <c r="E184" s="3" t="str">
        <f>D184&amp;"g"</f>
        <v>183g</v>
      </c>
      <c r="F184" t="s">
        <v>518</v>
      </c>
      <c r="G184" s="4">
        <v>44835</v>
      </c>
      <c r="H184" s="5">
        <v>5.0115740740740737E-3</v>
      </c>
      <c r="I184" t="s">
        <v>9</v>
      </c>
      <c r="J184">
        <v>1.4</v>
      </c>
      <c r="K184">
        <v>0.46899999999999997</v>
      </c>
      <c r="L184">
        <v>2.3464</v>
      </c>
      <c r="M184" t="s">
        <v>10</v>
      </c>
      <c r="N184" t="s">
        <v>11</v>
      </c>
      <c r="O184">
        <v>1.9359999999999999</v>
      </c>
      <c r="P184">
        <v>4945.6535999999996</v>
      </c>
      <c r="Q184">
        <v>18068.321199999998</v>
      </c>
      <c r="R184" t="s">
        <v>10</v>
      </c>
      <c r="S184" t="s">
        <v>519</v>
      </c>
      <c r="T184" s="4">
        <v>44835</v>
      </c>
      <c r="U184" s="5">
        <v>5.0115740740740737E-3</v>
      </c>
      <c r="V184" t="s">
        <v>13</v>
      </c>
      <c r="W184">
        <v>1.1599999999999999</v>
      </c>
      <c r="X184">
        <v>3383.3991999999998</v>
      </c>
      <c r="Y184">
        <v>154571.35200000001</v>
      </c>
      <c r="Z184" t="s">
        <v>1689</v>
      </c>
      <c r="AA184">
        <v>2.2229999999999999</v>
      </c>
      <c r="AB184">
        <v>236.74299999999999</v>
      </c>
      <c r="AC184">
        <v>0.77159999999999995</v>
      </c>
      <c r="AD184" t="s">
        <v>10</v>
      </c>
    </row>
    <row r="185" spans="1:30">
      <c r="A185" s="2">
        <v>184</v>
      </c>
      <c r="B185" s="2" t="s">
        <v>196</v>
      </c>
      <c r="C185" s="2" t="s">
        <v>196</v>
      </c>
      <c r="D185" s="2">
        <v>184</v>
      </c>
      <c r="E185" s="2" t="s">
        <v>196</v>
      </c>
      <c r="F185" t="s">
        <v>520</v>
      </c>
      <c r="G185" s="4">
        <v>44835</v>
      </c>
      <c r="H185" s="5">
        <v>8.7615740740740744E-3</v>
      </c>
      <c r="I185" t="s">
        <v>9</v>
      </c>
      <c r="J185">
        <v>1.4</v>
      </c>
      <c r="K185">
        <v>0.254</v>
      </c>
      <c r="L185">
        <v>1.4165000000000001</v>
      </c>
      <c r="M185" t="s">
        <v>10</v>
      </c>
      <c r="N185" t="s">
        <v>11</v>
      </c>
      <c r="O185">
        <v>1.9259999999999999</v>
      </c>
      <c r="P185">
        <v>127.042</v>
      </c>
      <c r="Q185">
        <v>259.9545</v>
      </c>
      <c r="R185" t="s">
        <v>10</v>
      </c>
      <c r="S185" t="s">
        <v>521</v>
      </c>
      <c r="T185" s="4">
        <v>44835</v>
      </c>
      <c r="U185" s="5">
        <v>8.7615740740740744E-3</v>
      </c>
      <c r="V185" t="s">
        <v>13</v>
      </c>
      <c r="W185">
        <v>1.163</v>
      </c>
      <c r="X185">
        <v>3109.3820000000001</v>
      </c>
      <c r="Y185">
        <v>124936.3121</v>
      </c>
      <c r="Z185" t="s">
        <v>1689</v>
      </c>
      <c r="AA185">
        <v>2.23</v>
      </c>
      <c r="AB185">
        <v>66.597999999999999</v>
      </c>
      <c r="AC185">
        <v>7.4200000000000002E-2</v>
      </c>
      <c r="AD185" t="s">
        <v>10</v>
      </c>
    </row>
    <row r="186" spans="1:30">
      <c r="A186" s="2">
        <v>185</v>
      </c>
      <c r="B186" s="2" t="s">
        <v>522</v>
      </c>
      <c r="C186" s="2" t="s">
        <v>523</v>
      </c>
      <c r="D186" s="2">
        <v>185</v>
      </c>
      <c r="E186" s="3" t="str">
        <f>D186&amp;"g"</f>
        <v>185g</v>
      </c>
      <c r="F186" t="s">
        <v>524</v>
      </c>
      <c r="G186" s="4">
        <v>44835</v>
      </c>
      <c r="H186" s="5">
        <v>1.252314814814815E-2</v>
      </c>
      <c r="I186" t="s">
        <v>9</v>
      </c>
      <c r="J186">
        <v>1.413</v>
      </c>
      <c r="K186">
        <v>4.7055999999999996</v>
      </c>
      <c r="L186">
        <v>20.6707</v>
      </c>
      <c r="M186" t="s">
        <v>10</v>
      </c>
      <c r="N186" t="s">
        <v>11</v>
      </c>
      <c r="O186">
        <v>1.946</v>
      </c>
      <c r="P186">
        <v>8811.6082000000006</v>
      </c>
      <c r="Q186">
        <v>32355.909199999998</v>
      </c>
      <c r="R186" t="s">
        <v>10</v>
      </c>
      <c r="S186" t="s">
        <v>525</v>
      </c>
      <c r="T186" s="4">
        <v>44835</v>
      </c>
      <c r="U186" s="5">
        <v>1.252314814814815E-2</v>
      </c>
      <c r="V186" t="s">
        <v>13</v>
      </c>
      <c r="W186">
        <v>1.1659999999999999</v>
      </c>
      <c r="X186">
        <v>3152.4713999999999</v>
      </c>
      <c r="Y186">
        <v>129017.9083</v>
      </c>
      <c r="Z186" t="s">
        <v>1689</v>
      </c>
      <c r="AA186">
        <v>2.2330000000000001</v>
      </c>
      <c r="AB186">
        <v>242.60120000000001</v>
      </c>
      <c r="AC186">
        <v>0.79559999999999997</v>
      </c>
      <c r="AD186" t="s">
        <v>10</v>
      </c>
    </row>
    <row r="187" spans="1:30">
      <c r="A187" s="2">
        <v>186</v>
      </c>
      <c r="B187" s="2" t="s">
        <v>196</v>
      </c>
      <c r="C187" s="2" t="s">
        <v>196</v>
      </c>
      <c r="D187" s="2">
        <v>186</v>
      </c>
      <c r="E187" s="2" t="s">
        <v>196</v>
      </c>
      <c r="F187" t="s">
        <v>526</v>
      </c>
      <c r="G187" s="4">
        <v>44835</v>
      </c>
      <c r="H187" s="5">
        <v>1.6284722222222221E-2</v>
      </c>
      <c r="I187" t="s">
        <v>9</v>
      </c>
      <c r="J187">
        <v>1.373</v>
      </c>
      <c r="K187">
        <v>0.17130000000000001</v>
      </c>
      <c r="L187">
        <v>1.0588</v>
      </c>
      <c r="M187" t="s">
        <v>10</v>
      </c>
      <c r="N187" t="s">
        <v>11</v>
      </c>
      <c r="O187">
        <v>1.9159999999999999</v>
      </c>
      <c r="P187">
        <v>84.997600000000006</v>
      </c>
      <c r="Q187">
        <v>104.56910000000001</v>
      </c>
      <c r="R187" t="s">
        <v>10</v>
      </c>
      <c r="S187" t="s">
        <v>527</v>
      </c>
      <c r="T187" s="4">
        <v>44835</v>
      </c>
      <c r="U187" s="5">
        <v>1.6284722222222221E-2</v>
      </c>
      <c r="V187" t="s">
        <v>13</v>
      </c>
      <c r="W187">
        <v>1.1559999999999999</v>
      </c>
      <c r="X187">
        <v>2701.4016000000001</v>
      </c>
      <c r="Y187">
        <v>92276.709799999997</v>
      </c>
      <c r="Z187" t="s">
        <v>1689</v>
      </c>
      <c r="AA187">
        <v>2.2160000000000002</v>
      </c>
      <c r="AB187">
        <v>53.6265</v>
      </c>
      <c r="AC187">
        <v>2.1000000000000001E-2</v>
      </c>
      <c r="AD187" t="s">
        <v>10</v>
      </c>
    </row>
    <row r="188" spans="1:30">
      <c r="A188" s="2">
        <v>187</v>
      </c>
      <c r="B188" s="2" t="s">
        <v>522</v>
      </c>
      <c r="C188" s="2" t="s">
        <v>528</v>
      </c>
      <c r="D188" s="2">
        <v>187</v>
      </c>
      <c r="E188" s="3" t="str">
        <f>D188&amp;"g"</f>
        <v>187g</v>
      </c>
      <c r="F188" t="s">
        <v>529</v>
      </c>
      <c r="G188" s="4">
        <v>44835</v>
      </c>
      <c r="H188" s="5">
        <v>2.0034722222222221E-2</v>
      </c>
      <c r="I188" t="s">
        <v>9</v>
      </c>
      <c r="J188">
        <v>1.4</v>
      </c>
      <c r="K188">
        <v>1.1560999999999999</v>
      </c>
      <c r="L188">
        <v>5.3182999999999998</v>
      </c>
      <c r="M188" t="s">
        <v>10</v>
      </c>
      <c r="N188" t="s">
        <v>11</v>
      </c>
      <c r="O188">
        <v>1.9259999999999999</v>
      </c>
      <c r="P188">
        <v>13340.040999999999</v>
      </c>
      <c r="Q188">
        <v>49091.848599999998</v>
      </c>
      <c r="R188" t="s">
        <v>10</v>
      </c>
      <c r="S188" t="s">
        <v>530</v>
      </c>
      <c r="T188" s="4">
        <v>44835</v>
      </c>
      <c r="U188" s="5">
        <v>2.0034722222222221E-2</v>
      </c>
      <c r="V188" t="s">
        <v>13</v>
      </c>
      <c r="W188">
        <v>1.1559999999999999</v>
      </c>
      <c r="X188">
        <v>2994.2381</v>
      </c>
      <c r="Y188">
        <v>114761.4691</v>
      </c>
      <c r="Z188" t="s">
        <v>1689</v>
      </c>
      <c r="AA188">
        <v>2.2200000000000002</v>
      </c>
      <c r="AB188">
        <v>252.1437</v>
      </c>
      <c r="AC188">
        <v>0.8347</v>
      </c>
      <c r="AD188" t="s">
        <v>10</v>
      </c>
    </row>
    <row r="189" spans="1:30">
      <c r="A189" s="2">
        <v>188</v>
      </c>
      <c r="B189" s="2" t="s">
        <v>196</v>
      </c>
      <c r="C189" s="2" t="s">
        <v>196</v>
      </c>
      <c r="D189" s="2">
        <v>188</v>
      </c>
      <c r="E189" s="2" t="s">
        <v>196</v>
      </c>
      <c r="F189" t="s">
        <v>531</v>
      </c>
      <c r="G189" s="4">
        <v>44835</v>
      </c>
      <c r="H189" s="5">
        <v>2.3784722222222221E-2</v>
      </c>
      <c r="I189" t="s">
        <v>9</v>
      </c>
      <c r="J189">
        <v>0</v>
      </c>
      <c r="K189">
        <v>0</v>
      </c>
      <c r="L189">
        <v>0</v>
      </c>
      <c r="M189" t="s">
        <v>10</v>
      </c>
      <c r="N189" t="s">
        <v>11</v>
      </c>
      <c r="O189">
        <v>1.923</v>
      </c>
      <c r="P189">
        <v>139.06659999999999</v>
      </c>
      <c r="Q189">
        <v>304.39440000000002</v>
      </c>
      <c r="R189" t="s">
        <v>10</v>
      </c>
      <c r="S189" t="s">
        <v>532</v>
      </c>
      <c r="T189" s="4">
        <v>44835</v>
      </c>
      <c r="U189" s="5">
        <v>2.3784722222222221E-2</v>
      </c>
      <c r="V189" t="s">
        <v>13</v>
      </c>
      <c r="W189">
        <v>1.1559999999999999</v>
      </c>
      <c r="X189">
        <v>3194.0929999999998</v>
      </c>
      <c r="Y189">
        <v>133073.8713</v>
      </c>
      <c r="Z189" t="s">
        <v>1689</v>
      </c>
      <c r="AA189">
        <v>2.2229999999999999</v>
      </c>
      <c r="AB189">
        <v>73.710599999999999</v>
      </c>
      <c r="AC189">
        <v>0.10340000000000001</v>
      </c>
      <c r="AD189" t="s">
        <v>10</v>
      </c>
    </row>
    <row r="190" spans="1:30">
      <c r="A190" s="2">
        <v>189</v>
      </c>
      <c r="B190" s="2" t="s">
        <v>522</v>
      </c>
      <c r="C190" s="2" t="s">
        <v>533</v>
      </c>
      <c r="D190" s="2">
        <v>189</v>
      </c>
      <c r="E190" s="3" t="str">
        <f>D190&amp;"g"</f>
        <v>189g</v>
      </c>
      <c r="F190" t="s">
        <v>534</v>
      </c>
      <c r="G190" s="4">
        <v>44835</v>
      </c>
      <c r="H190" s="5">
        <v>2.7534722222222221E-2</v>
      </c>
      <c r="I190" t="s">
        <v>9</v>
      </c>
      <c r="J190">
        <v>1.41</v>
      </c>
      <c r="K190">
        <v>19.9238</v>
      </c>
      <c r="L190">
        <v>86.492800000000003</v>
      </c>
      <c r="M190" t="s">
        <v>10</v>
      </c>
      <c r="N190" t="s">
        <v>11</v>
      </c>
      <c r="O190">
        <v>1.92</v>
      </c>
      <c r="P190">
        <v>18873.784100000001</v>
      </c>
      <c r="Q190">
        <v>69543.16</v>
      </c>
      <c r="R190" t="s">
        <v>10</v>
      </c>
      <c r="S190" t="s">
        <v>535</v>
      </c>
      <c r="T190" s="4">
        <v>44835</v>
      </c>
      <c r="U190" s="5">
        <v>2.7534722222222221E-2</v>
      </c>
      <c r="V190" t="s">
        <v>13</v>
      </c>
      <c r="W190">
        <v>1.1659999999999999</v>
      </c>
      <c r="X190">
        <v>2706.8402000000001</v>
      </c>
      <c r="Y190">
        <v>92653.363500000007</v>
      </c>
      <c r="Z190" t="s">
        <v>1689</v>
      </c>
      <c r="AA190">
        <v>2.226</v>
      </c>
      <c r="AB190">
        <v>313.56279999999998</v>
      </c>
      <c r="AC190">
        <v>1.0865</v>
      </c>
      <c r="AD190" t="s">
        <v>10</v>
      </c>
    </row>
    <row r="191" spans="1:30">
      <c r="A191" s="2">
        <v>190</v>
      </c>
      <c r="B191" s="2" t="s">
        <v>196</v>
      </c>
      <c r="C191" s="2" t="s">
        <v>196</v>
      </c>
      <c r="D191" s="2">
        <v>190</v>
      </c>
      <c r="E191" s="2" t="s">
        <v>196</v>
      </c>
      <c r="F191" t="s">
        <v>536</v>
      </c>
      <c r="G191" s="4">
        <v>44835</v>
      </c>
      <c r="H191" s="5">
        <v>3.1296296296296301E-2</v>
      </c>
      <c r="I191" t="s">
        <v>9</v>
      </c>
      <c r="J191">
        <v>0</v>
      </c>
      <c r="K191">
        <v>0</v>
      </c>
      <c r="L191">
        <v>0</v>
      </c>
      <c r="M191" t="s">
        <v>10</v>
      </c>
      <c r="N191" t="s">
        <v>11</v>
      </c>
      <c r="O191">
        <v>1.9259999999999999</v>
      </c>
      <c r="P191">
        <v>170.16579999999999</v>
      </c>
      <c r="Q191">
        <v>419.32909999999998</v>
      </c>
      <c r="R191" t="s">
        <v>10</v>
      </c>
      <c r="S191" t="s">
        <v>537</v>
      </c>
      <c r="T191" s="4">
        <v>44835</v>
      </c>
      <c r="U191" s="5">
        <v>3.1296296296296301E-2</v>
      </c>
      <c r="V191" t="s">
        <v>13</v>
      </c>
      <c r="W191">
        <v>1.1659999999999999</v>
      </c>
      <c r="X191">
        <v>3012.5965999999999</v>
      </c>
      <c r="Y191">
        <v>116336.72380000001</v>
      </c>
      <c r="Z191" t="s">
        <v>1689</v>
      </c>
      <c r="AA191">
        <v>2.23</v>
      </c>
      <c r="AB191">
        <v>70.676699999999997</v>
      </c>
      <c r="AC191">
        <v>9.0899999999999995E-2</v>
      </c>
      <c r="AD191" t="s">
        <v>10</v>
      </c>
    </row>
    <row r="192" spans="1:30">
      <c r="A192" s="2">
        <v>191</v>
      </c>
      <c r="B192" s="2" t="s">
        <v>522</v>
      </c>
      <c r="C192" s="2" t="s">
        <v>538</v>
      </c>
      <c r="D192" s="2">
        <v>191</v>
      </c>
      <c r="E192" s="3" t="str">
        <f>D192&amp;"g"</f>
        <v>191g</v>
      </c>
      <c r="F192" t="s">
        <v>539</v>
      </c>
      <c r="G192" s="4">
        <v>44835</v>
      </c>
      <c r="H192" s="5">
        <v>3.5046296296296298E-2</v>
      </c>
      <c r="I192" t="s">
        <v>9</v>
      </c>
      <c r="J192">
        <v>1.4</v>
      </c>
      <c r="K192">
        <v>0.40379999999999999</v>
      </c>
      <c r="L192">
        <v>2.0644</v>
      </c>
      <c r="M192" t="s">
        <v>10</v>
      </c>
      <c r="N192" t="s">
        <v>11</v>
      </c>
      <c r="O192">
        <v>1.923</v>
      </c>
      <c r="P192">
        <v>440.77519999999998</v>
      </c>
      <c r="Q192">
        <v>1419.4329</v>
      </c>
      <c r="R192" t="s">
        <v>10</v>
      </c>
      <c r="S192" t="s">
        <v>540</v>
      </c>
      <c r="T192" s="4">
        <v>44835</v>
      </c>
      <c r="U192" s="5">
        <v>3.5046296296296298E-2</v>
      </c>
      <c r="V192" t="s">
        <v>13</v>
      </c>
      <c r="W192">
        <v>1.1599999999999999</v>
      </c>
      <c r="X192">
        <v>3479.7220000000002</v>
      </c>
      <c r="Y192">
        <v>168219.49960000001</v>
      </c>
      <c r="Z192" t="s">
        <v>1689</v>
      </c>
      <c r="AA192">
        <v>2.226</v>
      </c>
      <c r="AB192">
        <v>100.00830000000001</v>
      </c>
      <c r="AC192">
        <v>0.21110000000000001</v>
      </c>
      <c r="AD192" t="s">
        <v>10</v>
      </c>
    </row>
    <row r="193" spans="1:30">
      <c r="A193" s="2">
        <v>192</v>
      </c>
      <c r="B193" s="2" t="s">
        <v>196</v>
      </c>
      <c r="C193" s="2" t="s">
        <v>196</v>
      </c>
      <c r="D193" s="2">
        <v>192</v>
      </c>
      <c r="E193" s="2" t="s">
        <v>196</v>
      </c>
      <c r="F193" t="s">
        <v>541</v>
      </c>
      <c r="G193" s="4">
        <v>44835</v>
      </c>
      <c r="H193" s="5">
        <v>3.8796296296296294E-2</v>
      </c>
      <c r="I193" t="s">
        <v>9</v>
      </c>
      <c r="J193">
        <v>1.413</v>
      </c>
      <c r="K193">
        <v>0.36559999999999998</v>
      </c>
      <c r="L193">
        <v>1.8992</v>
      </c>
      <c r="M193" t="s">
        <v>10</v>
      </c>
      <c r="N193" t="s">
        <v>11</v>
      </c>
      <c r="O193">
        <v>1.9330000000000001</v>
      </c>
      <c r="P193">
        <v>109.1281</v>
      </c>
      <c r="Q193">
        <v>193.74930000000001</v>
      </c>
      <c r="R193" t="s">
        <v>10</v>
      </c>
      <c r="S193" t="s">
        <v>542</v>
      </c>
      <c r="T193" s="4">
        <v>44835</v>
      </c>
      <c r="U193" s="5">
        <v>3.8796296296296294E-2</v>
      </c>
      <c r="V193" t="s">
        <v>13</v>
      </c>
      <c r="W193">
        <v>1.17</v>
      </c>
      <c r="X193">
        <v>3227.9780000000001</v>
      </c>
      <c r="Y193">
        <v>136597.36859999999</v>
      </c>
      <c r="Z193" t="s">
        <v>1689</v>
      </c>
      <c r="AA193">
        <v>2.2360000000000002</v>
      </c>
      <c r="AB193">
        <v>73.549599999999998</v>
      </c>
      <c r="AC193">
        <v>0.1027</v>
      </c>
      <c r="AD193" t="s">
        <v>10</v>
      </c>
    </row>
    <row r="194" spans="1:30">
      <c r="A194" s="2">
        <v>193</v>
      </c>
      <c r="B194" s="2" t="s">
        <v>238</v>
      </c>
      <c r="C194" s="2" t="s">
        <v>239</v>
      </c>
      <c r="D194" s="2">
        <v>193</v>
      </c>
      <c r="E194" s="3" t="s">
        <v>543</v>
      </c>
      <c r="F194" t="s">
        <v>544</v>
      </c>
      <c r="G194" s="4">
        <v>44835</v>
      </c>
      <c r="H194" s="5">
        <v>4.2557870370370371E-2</v>
      </c>
      <c r="I194" t="s">
        <v>9</v>
      </c>
      <c r="J194">
        <v>1.413</v>
      </c>
      <c r="K194">
        <v>0.64859999999999995</v>
      </c>
      <c r="L194">
        <v>3.1233</v>
      </c>
      <c r="M194" t="s">
        <v>10</v>
      </c>
      <c r="N194" t="s">
        <v>11</v>
      </c>
      <c r="O194">
        <v>1.9359999999999999</v>
      </c>
      <c r="P194">
        <v>171.68260000000001</v>
      </c>
      <c r="Q194">
        <v>424.9348</v>
      </c>
      <c r="R194" t="s">
        <v>10</v>
      </c>
      <c r="S194" t="s">
        <v>545</v>
      </c>
      <c r="T194" s="4">
        <v>44835</v>
      </c>
      <c r="U194" s="5">
        <v>4.2557870370370371E-2</v>
      </c>
      <c r="V194" t="s">
        <v>13</v>
      </c>
      <c r="W194">
        <v>1.17</v>
      </c>
      <c r="X194">
        <v>3904.8179</v>
      </c>
      <c r="Y194">
        <v>230912.1128</v>
      </c>
      <c r="Z194" t="s">
        <v>1689</v>
      </c>
      <c r="AA194">
        <v>2.2400000000000002</v>
      </c>
      <c r="AB194">
        <v>111.8824</v>
      </c>
      <c r="AC194">
        <v>0.25979999999999998</v>
      </c>
      <c r="AD194" t="s">
        <v>10</v>
      </c>
    </row>
    <row r="195" spans="1:30">
      <c r="A195" s="2">
        <v>194</v>
      </c>
      <c r="B195" s="2" t="s">
        <v>196</v>
      </c>
      <c r="C195" s="2" t="s">
        <v>196</v>
      </c>
      <c r="D195" s="2">
        <v>194</v>
      </c>
      <c r="E195" s="2" t="s">
        <v>196</v>
      </c>
      <c r="F195" t="s">
        <v>546</v>
      </c>
      <c r="G195" s="4">
        <v>44835</v>
      </c>
      <c r="H195" s="5">
        <v>4.6319444444444441E-2</v>
      </c>
      <c r="I195" t="s">
        <v>9</v>
      </c>
      <c r="J195">
        <v>1.4</v>
      </c>
      <c r="K195">
        <v>0.33019999999999999</v>
      </c>
      <c r="L195">
        <v>1.7461</v>
      </c>
      <c r="M195" t="s">
        <v>10</v>
      </c>
      <c r="N195" t="s">
        <v>11</v>
      </c>
      <c r="O195">
        <v>1.923</v>
      </c>
      <c r="P195">
        <v>93.917100000000005</v>
      </c>
      <c r="Q195">
        <v>137.5333</v>
      </c>
      <c r="R195" t="s">
        <v>10</v>
      </c>
      <c r="S195" t="s">
        <v>547</v>
      </c>
      <c r="T195" s="4">
        <v>44835</v>
      </c>
      <c r="U195" s="5">
        <v>4.6319444444444441E-2</v>
      </c>
      <c r="V195" t="s">
        <v>13</v>
      </c>
      <c r="W195">
        <v>1.1599999999999999</v>
      </c>
      <c r="X195">
        <v>3050.1469999999999</v>
      </c>
      <c r="Y195">
        <v>119558.7432</v>
      </c>
      <c r="Z195" t="s">
        <v>1689</v>
      </c>
      <c r="AA195">
        <v>2.226</v>
      </c>
      <c r="AB195">
        <v>61.873699999999999</v>
      </c>
      <c r="AC195">
        <v>5.4800000000000001E-2</v>
      </c>
      <c r="AD195" t="s">
        <v>10</v>
      </c>
    </row>
    <row r="196" spans="1:30">
      <c r="A196" s="2">
        <v>195</v>
      </c>
      <c r="B196" s="2" t="s">
        <v>522</v>
      </c>
      <c r="C196" s="2" t="s">
        <v>548</v>
      </c>
      <c r="D196" s="2">
        <v>195</v>
      </c>
      <c r="E196" s="3" t="str">
        <f>D196&amp;"g"</f>
        <v>195g</v>
      </c>
      <c r="F196" t="s">
        <v>549</v>
      </c>
      <c r="G196" s="4">
        <v>44835</v>
      </c>
      <c r="H196" s="5">
        <v>5.0069444444444444E-2</v>
      </c>
      <c r="I196" t="s">
        <v>9</v>
      </c>
      <c r="J196">
        <v>1.403</v>
      </c>
      <c r="K196">
        <v>0.49359999999999998</v>
      </c>
      <c r="L196">
        <v>2.4527999999999999</v>
      </c>
      <c r="M196" t="s">
        <v>10</v>
      </c>
      <c r="N196" t="s">
        <v>11</v>
      </c>
      <c r="O196">
        <v>1.923</v>
      </c>
      <c r="P196">
        <v>186.64</v>
      </c>
      <c r="Q196">
        <v>480.21359999999999</v>
      </c>
      <c r="R196" t="s">
        <v>10</v>
      </c>
      <c r="S196" t="s">
        <v>550</v>
      </c>
      <c r="T196" s="4">
        <v>44835</v>
      </c>
      <c r="U196" s="5">
        <v>5.0069444444444444E-2</v>
      </c>
      <c r="V196" t="s">
        <v>13</v>
      </c>
      <c r="W196">
        <v>1.1599999999999999</v>
      </c>
      <c r="X196">
        <v>3543.9031</v>
      </c>
      <c r="Y196">
        <v>177684.84820000001</v>
      </c>
      <c r="Z196" t="s">
        <v>1689</v>
      </c>
      <c r="AA196">
        <v>2.2229999999999999</v>
      </c>
      <c r="AB196">
        <v>89.251499999999993</v>
      </c>
      <c r="AC196">
        <v>0.1671</v>
      </c>
      <c r="AD196" t="s">
        <v>10</v>
      </c>
    </row>
    <row r="197" spans="1:30">
      <c r="A197" s="2">
        <v>196</v>
      </c>
      <c r="B197" s="2" t="s">
        <v>196</v>
      </c>
      <c r="C197" s="2" t="s">
        <v>196</v>
      </c>
      <c r="D197" s="2">
        <v>196</v>
      </c>
      <c r="E197" s="2" t="s">
        <v>196</v>
      </c>
      <c r="F197" t="s">
        <v>551</v>
      </c>
      <c r="G197" s="4">
        <v>44835</v>
      </c>
      <c r="H197" s="5">
        <v>5.3831018518518514E-2</v>
      </c>
      <c r="I197" t="s">
        <v>9</v>
      </c>
      <c r="J197">
        <v>1.4059999999999999</v>
      </c>
      <c r="K197">
        <v>0.36659999999999998</v>
      </c>
      <c r="L197">
        <v>1.9035</v>
      </c>
      <c r="M197" t="s">
        <v>10</v>
      </c>
      <c r="N197" t="s">
        <v>11</v>
      </c>
      <c r="O197">
        <v>1.923</v>
      </c>
      <c r="P197">
        <v>97.709900000000005</v>
      </c>
      <c r="Q197">
        <v>151.5505</v>
      </c>
      <c r="R197" t="s">
        <v>10</v>
      </c>
      <c r="S197" t="s">
        <v>552</v>
      </c>
      <c r="T197" s="4">
        <v>44835</v>
      </c>
      <c r="U197" s="5">
        <v>5.3831018518518514E-2</v>
      </c>
      <c r="V197" t="s">
        <v>13</v>
      </c>
      <c r="W197">
        <v>1.1599999999999999</v>
      </c>
      <c r="X197">
        <v>3079.5628999999999</v>
      </c>
      <c r="Y197">
        <v>122215.1115</v>
      </c>
      <c r="Z197" t="s">
        <v>1689</v>
      </c>
      <c r="AA197">
        <v>2.226</v>
      </c>
      <c r="AB197">
        <v>64.233800000000002</v>
      </c>
      <c r="AC197">
        <v>6.4500000000000002E-2</v>
      </c>
      <c r="AD197" t="s">
        <v>10</v>
      </c>
    </row>
    <row r="198" spans="1:30">
      <c r="A198" s="2">
        <v>197</v>
      </c>
      <c r="B198" s="2" t="s">
        <v>553</v>
      </c>
      <c r="C198" s="2" t="s">
        <v>554</v>
      </c>
      <c r="D198" s="2">
        <v>197</v>
      </c>
      <c r="E198" s="3" t="str">
        <f>D198&amp;"g"</f>
        <v>197g</v>
      </c>
      <c r="F198" t="s">
        <v>555</v>
      </c>
      <c r="G198" s="4">
        <v>44835</v>
      </c>
      <c r="H198" s="5">
        <v>5.7581018518518517E-2</v>
      </c>
      <c r="I198" t="s">
        <v>9</v>
      </c>
      <c r="J198">
        <v>1.403</v>
      </c>
      <c r="K198">
        <v>90.463999999999999</v>
      </c>
      <c r="L198">
        <v>391.59469999999999</v>
      </c>
      <c r="M198" t="s">
        <v>10</v>
      </c>
      <c r="N198" t="s">
        <v>11</v>
      </c>
      <c r="O198">
        <v>1.923</v>
      </c>
      <c r="P198">
        <v>395.99720000000002</v>
      </c>
      <c r="Q198">
        <v>1253.9447</v>
      </c>
      <c r="R198" t="s">
        <v>10</v>
      </c>
      <c r="S198" t="s">
        <v>556</v>
      </c>
      <c r="T198" s="4">
        <v>44835</v>
      </c>
      <c r="U198" s="5">
        <v>5.7581018518518517E-2</v>
      </c>
      <c r="V198" t="s">
        <v>13</v>
      </c>
      <c r="W198">
        <v>1.1599999999999999</v>
      </c>
      <c r="X198">
        <v>3527.5907999999999</v>
      </c>
      <c r="Y198">
        <v>175279.1305</v>
      </c>
      <c r="Z198" t="s">
        <v>1689</v>
      </c>
      <c r="AA198">
        <v>2.2229999999999999</v>
      </c>
      <c r="AB198">
        <v>99.029499999999999</v>
      </c>
      <c r="AC198">
        <v>0.20710000000000001</v>
      </c>
      <c r="AD198" t="s">
        <v>10</v>
      </c>
    </row>
    <row r="199" spans="1:30">
      <c r="A199" s="2">
        <v>198</v>
      </c>
      <c r="B199" s="2" t="s">
        <v>196</v>
      </c>
      <c r="C199" s="2" t="s">
        <v>196</v>
      </c>
      <c r="D199" s="2">
        <v>198</v>
      </c>
      <c r="E199" s="2" t="s">
        <v>196</v>
      </c>
      <c r="F199" t="s">
        <v>557</v>
      </c>
      <c r="G199" s="4">
        <v>44835</v>
      </c>
      <c r="H199" s="5">
        <v>6.1342592592592594E-2</v>
      </c>
      <c r="I199" t="s">
        <v>9</v>
      </c>
      <c r="J199">
        <v>1.41</v>
      </c>
      <c r="K199">
        <v>0.56320000000000003</v>
      </c>
      <c r="L199">
        <v>2.7538999999999998</v>
      </c>
      <c r="M199" t="s">
        <v>10</v>
      </c>
      <c r="N199" t="s">
        <v>11</v>
      </c>
      <c r="O199">
        <v>1.9330000000000001</v>
      </c>
      <c r="P199">
        <v>93.419600000000003</v>
      </c>
      <c r="Q199">
        <v>135.69460000000001</v>
      </c>
      <c r="R199" t="s">
        <v>10</v>
      </c>
      <c r="S199" t="s">
        <v>558</v>
      </c>
      <c r="T199" s="4">
        <v>44835</v>
      </c>
      <c r="U199" s="5">
        <v>6.1342592592592594E-2</v>
      </c>
      <c r="V199" t="s">
        <v>13</v>
      </c>
      <c r="W199">
        <v>1.1659999999999999</v>
      </c>
      <c r="X199">
        <v>3056.4639999999999</v>
      </c>
      <c r="Y199">
        <v>120107.17600000001</v>
      </c>
      <c r="Z199" t="s">
        <v>1689</v>
      </c>
      <c r="AA199">
        <v>2.2330000000000001</v>
      </c>
      <c r="AB199">
        <v>62.916899999999998</v>
      </c>
      <c r="AC199">
        <v>5.91E-2</v>
      </c>
      <c r="AD199" t="s">
        <v>10</v>
      </c>
    </row>
    <row r="200" spans="1:30">
      <c r="A200" s="2">
        <v>199</v>
      </c>
      <c r="B200" s="2" t="s">
        <v>559</v>
      </c>
      <c r="C200" s="2" t="s">
        <v>560</v>
      </c>
      <c r="D200" s="2">
        <v>199</v>
      </c>
      <c r="E200" s="3" t="str">
        <f>D200&amp;"g"</f>
        <v>199g</v>
      </c>
      <c r="F200" t="s">
        <v>561</v>
      </c>
      <c r="G200" s="4">
        <v>44835</v>
      </c>
      <c r="H200" s="5">
        <v>6.5092592592592591E-2</v>
      </c>
      <c r="I200" t="s">
        <v>9</v>
      </c>
      <c r="J200">
        <v>1.41</v>
      </c>
      <c r="K200">
        <v>7557.3486999999996</v>
      </c>
      <c r="L200">
        <v>32687.519</v>
      </c>
      <c r="M200" t="s">
        <v>10</v>
      </c>
      <c r="N200" t="s">
        <v>11</v>
      </c>
      <c r="O200">
        <v>1.9430000000000001</v>
      </c>
      <c r="P200">
        <v>10582.6764</v>
      </c>
      <c r="Q200">
        <v>38901.328200000004</v>
      </c>
      <c r="R200" t="s">
        <v>10</v>
      </c>
      <c r="S200" t="s">
        <v>562</v>
      </c>
      <c r="T200" s="4">
        <v>44835</v>
      </c>
      <c r="U200" s="5">
        <v>6.5092592592592591E-2</v>
      </c>
      <c r="V200" t="s">
        <v>13</v>
      </c>
      <c r="W200">
        <v>1.1659999999999999</v>
      </c>
      <c r="X200">
        <v>2926.6909000000001</v>
      </c>
      <c r="Y200">
        <v>109211.7941</v>
      </c>
      <c r="Z200" t="s">
        <v>1689</v>
      </c>
      <c r="AA200">
        <v>2.2330000000000001</v>
      </c>
      <c r="AB200">
        <v>226.6079</v>
      </c>
      <c r="AC200">
        <v>0.73009999999999997</v>
      </c>
      <c r="AD200" t="s">
        <v>10</v>
      </c>
    </row>
    <row r="201" spans="1:30">
      <c r="A201" s="2">
        <v>200</v>
      </c>
      <c r="B201" s="2" t="s">
        <v>196</v>
      </c>
      <c r="C201" s="2" t="s">
        <v>196</v>
      </c>
      <c r="D201" s="2">
        <v>200</v>
      </c>
      <c r="E201" s="2" t="s">
        <v>196</v>
      </c>
      <c r="F201" t="s">
        <v>563</v>
      </c>
      <c r="G201" s="4">
        <v>44835</v>
      </c>
      <c r="H201" s="5">
        <v>6.8842592592592594E-2</v>
      </c>
      <c r="I201" t="s">
        <v>9</v>
      </c>
      <c r="J201">
        <v>1.403</v>
      </c>
      <c r="K201">
        <v>7.6828000000000003</v>
      </c>
      <c r="L201">
        <v>33.547699999999999</v>
      </c>
      <c r="M201" t="s">
        <v>10</v>
      </c>
      <c r="N201" t="s">
        <v>11</v>
      </c>
      <c r="O201">
        <v>1.923</v>
      </c>
      <c r="P201">
        <v>97.489000000000004</v>
      </c>
      <c r="Q201">
        <v>150.73410000000001</v>
      </c>
      <c r="R201" t="s">
        <v>10</v>
      </c>
      <c r="S201" t="s">
        <v>564</v>
      </c>
      <c r="T201" s="4">
        <v>44835</v>
      </c>
      <c r="U201" s="5">
        <v>6.8842592592592594E-2</v>
      </c>
      <c r="V201" t="s">
        <v>13</v>
      </c>
      <c r="W201">
        <v>1.1599999999999999</v>
      </c>
      <c r="X201">
        <v>3006.2687999999998</v>
      </c>
      <c r="Y201">
        <v>115793.7657</v>
      </c>
      <c r="Z201" t="s">
        <v>1689</v>
      </c>
      <c r="AA201">
        <v>2.2229999999999999</v>
      </c>
      <c r="AB201">
        <v>60.004199999999997</v>
      </c>
      <c r="AC201">
        <v>4.7199999999999999E-2</v>
      </c>
      <c r="AD201" t="s">
        <v>10</v>
      </c>
    </row>
    <row r="202" spans="1:30">
      <c r="A202" s="2">
        <v>201</v>
      </c>
      <c r="B202" s="2" t="s">
        <v>559</v>
      </c>
      <c r="C202" s="2" t="s">
        <v>565</v>
      </c>
      <c r="D202" s="2">
        <v>201</v>
      </c>
      <c r="E202" s="3" t="str">
        <f>D202&amp;"g"</f>
        <v>201g</v>
      </c>
      <c r="F202" t="s">
        <v>566</v>
      </c>
      <c r="G202" s="4">
        <v>44835</v>
      </c>
      <c r="H202" s="5">
        <v>7.2592592592592597E-2</v>
      </c>
      <c r="I202" t="s">
        <v>9</v>
      </c>
      <c r="J202">
        <v>1.403</v>
      </c>
      <c r="K202">
        <v>0.75919999999999999</v>
      </c>
      <c r="L202">
        <v>3.6015999999999999</v>
      </c>
      <c r="M202" t="s">
        <v>10</v>
      </c>
      <c r="N202" t="s">
        <v>11</v>
      </c>
      <c r="O202">
        <v>1.9359999999999999</v>
      </c>
      <c r="P202">
        <v>4431.3987999999999</v>
      </c>
      <c r="Q202">
        <v>16167.7659</v>
      </c>
      <c r="R202" t="s">
        <v>10</v>
      </c>
      <c r="S202" t="s">
        <v>567</v>
      </c>
      <c r="T202" s="4">
        <v>44835</v>
      </c>
      <c r="U202" s="5">
        <v>7.2592592592592597E-2</v>
      </c>
      <c r="V202" t="s">
        <v>13</v>
      </c>
      <c r="W202">
        <v>1.1599999999999999</v>
      </c>
      <c r="X202">
        <v>3390.8721999999998</v>
      </c>
      <c r="Y202">
        <v>155570.83360000001</v>
      </c>
      <c r="Z202" t="s">
        <v>1689</v>
      </c>
      <c r="AA202">
        <v>2.2229999999999999</v>
      </c>
      <c r="AB202">
        <v>196.2236</v>
      </c>
      <c r="AC202">
        <v>0.60550000000000004</v>
      </c>
      <c r="AD202" t="s">
        <v>10</v>
      </c>
    </row>
    <row r="203" spans="1:30">
      <c r="A203" s="2">
        <v>202</v>
      </c>
      <c r="B203" s="2" t="s">
        <v>196</v>
      </c>
      <c r="C203" s="2" t="s">
        <v>196</v>
      </c>
      <c r="D203" s="2">
        <v>202</v>
      </c>
      <c r="E203" s="2" t="s">
        <v>196</v>
      </c>
      <c r="F203" t="s">
        <v>568</v>
      </c>
      <c r="G203" s="4">
        <v>44835</v>
      </c>
      <c r="H203" s="5">
        <v>7.6354166666666667E-2</v>
      </c>
      <c r="I203" t="s">
        <v>9</v>
      </c>
      <c r="J203">
        <v>1.41</v>
      </c>
      <c r="K203">
        <v>0.27839999999999998</v>
      </c>
      <c r="L203">
        <v>1.5221</v>
      </c>
      <c r="M203" t="s">
        <v>10</v>
      </c>
      <c r="N203" t="s">
        <v>11</v>
      </c>
      <c r="O203">
        <v>1.9330000000000001</v>
      </c>
      <c r="P203">
        <v>106.718</v>
      </c>
      <c r="Q203">
        <v>184.84209999999999</v>
      </c>
      <c r="R203" t="s">
        <v>10</v>
      </c>
      <c r="S203" t="s">
        <v>569</v>
      </c>
      <c r="T203" s="4">
        <v>44835</v>
      </c>
      <c r="U203" s="5">
        <v>7.6354166666666667E-2</v>
      </c>
      <c r="V203" t="s">
        <v>13</v>
      </c>
      <c r="W203">
        <v>1.1659999999999999</v>
      </c>
      <c r="X203">
        <v>3119.3780000000002</v>
      </c>
      <c r="Y203">
        <v>125848.5168</v>
      </c>
      <c r="Z203" t="s">
        <v>1689</v>
      </c>
      <c r="AA203">
        <v>2.2360000000000002</v>
      </c>
      <c r="AB203">
        <v>64.340299999999999</v>
      </c>
      <c r="AC203">
        <v>6.5000000000000002E-2</v>
      </c>
      <c r="AD203" t="s">
        <v>10</v>
      </c>
    </row>
    <row r="204" spans="1:30">
      <c r="A204" s="2">
        <v>203</v>
      </c>
      <c r="B204" s="2" t="s">
        <v>559</v>
      </c>
      <c r="C204" s="2" t="s">
        <v>570</v>
      </c>
      <c r="D204" s="2">
        <v>203</v>
      </c>
      <c r="E204" s="3" t="str">
        <f>D204&amp;"g"</f>
        <v>203g</v>
      </c>
      <c r="F204" t="s">
        <v>571</v>
      </c>
      <c r="G204" s="4">
        <v>44835</v>
      </c>
      <c r="H204" s="5">
        <v>8.0115740740740737E-2</v>
      </c>
      <c r="I204" t="s">
        <v>9</v>
      </c>
      <c r="J204">
        <v>1.403</v>
      </c>
      <c r="K204">
        <v>6.8470000000000004</v>
      </c>
      <c r="L204">
        <v>29.932700000000001</v>
      </c>
      <c r="M204" t="s">
        <v>10</v>
      </c>
      <c r="N204" t="s">
        <v>11</v>
      </c>
      <c r="O204">
        <v>1.9359999999999999</v>
      </c>
      <c r="P204">
        <v>6940.1198999999997</v>
      </c>
      <c r="Q204">
        <v>25439.3629</v>
      </c>
      <c r="R204" t="s">
        <v>10</v>
      </c>
      <c r="S204" t="s">
        <v>572</v>
      </c>
      <c r="T204" s="4">
        <v>44835</v>
      </c>
      <c r="U204" s="5">
        <v>8.0115740740740737E-2</v>
      </c>
      <c r="V204" t="s">
        <v>13</v>
      </c>
      <c r="W204">
        <v>1.1599999999999999</v>
      </c>
      <c r="X204">
        <v>3150.6165000000001</v>
      </c>
      <c r="Y204">
        <v>128837.1511</v>
      </c>
      <c r="Z204" t="s">
        <v>1689</v>
      </c>
      <c r="AA204">
        <v>2.2200000000000002</v>
      </c>
      <c r="AB204">
        <v>237.16419999999999</v>
      </c>
      <c r="AC204">
        <v>0.77329999999999999</v>
      </c>
      <c r="AD204" t="s">
        <v>10</v>
      </c>
    </row>
    <row r="205" spans="1:30">
      <c r="A205" s="2">
        <v>204</v>
      </c>
      <c r="B205" s="2" t="s">
        <v>196</v>
      </c>
      <c r="C205" s="2" t="s">
        <v>196</v>
      </c>
      <c r="D205" s="2">
        <v>204</v>
      </c>
      <c r="E205" s="2" t="s">
        <v>196</v>
      </c>
      <c r="F205" t="s">
        <v>573</v>
      </c>
      <c r="G205" s="4">
        <v>44835</v>
      </c>
      <c r="H205" s="5">
        <v>8.3877314814814807E-2</v>
      </c>
      <c r="I205" t="s">
        <v>9</v>
      </c>
      <c r="J205">
        <v>1.4</v>
      </c>
      <c r="K205">
        <v>0.23619999999999999</v>
      </c>
      <c r="L205">
        <v>1.3394999999999999</v>
      </c>
      <c r="M205" t="s">
        <v>10</v>
      </c>
      <c r="N205" t="s">
        <v>11</v>
      </c>
      <c r="O205">
        <v>1.923</v>
      </c>
      <c r="P205">
        <v>118.35120000000001</v>
      </c>
      <c r="Q205">
        <v>227.8355</v>
      </c>
      <c r="R205" t="s">
        <v>10</v>
      </c>
      <c r="S205" t="s">
        <v>574</v>
      </c>
      <c r="T205" s="4">
        <v>44835</v>
      </c>
      <c r="U205" s="5">
        <v>8.3877314814814807E-2</v>
      </c>
      <c r="V205" t="s">
        <v>13</v>
      </c>
      <c r="W205">
        <v>1.1599999999999999</v>
      </c>
      <c r="X205">
        <v>3172.9184</v>
      </c>
      <c r="Y205">
        <v>131010.43799999999</v>
      </c>
      <c r="Z205" t="s">
        <v>1689</v>
      </c>
      <c r="AA205">
        <v>2.2229999999999999</v>
      </c>
      <c r="AB205">
        <v>69.796199999999999</v>
      </c>
      <c r="AC205">
        <v>8.7300000000000003E-2</v>
      </c>
      <c r="AD205" t="s">
        <v>10</v>
      </c>
    </row>
    <row r="206" spans="1:30">
      <c r="A206" s="2">
        <v>205</v>
      </c>
      <c r="B206" s="2" t="s">
        <v>559</v>
      </c>
      <c r="C206" s="2" t="s">
        <v>575</v>
      </c>
      <c r="D206" s="2">
        <v>205</v>
      </c>
      <c r="E206" s="3" t="str">
        <f>D206&amp;"g"</f>
        <v>205g</v>
      </c>
      <c r="F206" t="s">
        <v>576</v>
      </c>
      <c r="G206" s="4">
        <v>44835</v>
      </c>
      <c r="H206" s="5">
        <v>8.7627314814814825E-2</v>
      </c>
      <c r="I206" t="s">
        <v>9</v>
      </c>
      <c r="J206">
        <v>1.403</v>
      </c>
      <c r="K206">
        <v>7613.1767</v>
      </c>
      <c r="L206">
        <v>32928.987399999998</v>
      </c>
      <c r="M206" t="s">
        <v>10</v>
      </c>
      <c r="N206" t="s">
        <v>11</v>
      </c>
      <c r="O206">
        <v>1.95</v>
      </c>
      <c r="P206">
        <v>6493.1071000000002</v>
      </c>
      <c r="Q206">
        <v>23787.316999999999</v>
      </c>
      <c r="R206" t="s">
        <v>10</v>
      </c>
      <c r="S206" t="s">
        <v>577</v>
      </c>
      <c r="T206" s="4">
        <v>44835</v>
      </c>
      <c r="U206" s="5">
        <v>8.7627314814814825E-2</v>
      </c>
      <c r="V206" t="s">
        <v>13</v>
      </c>
      <c r="W206">
        <v>1.1659999999999999</v>
      </c>
      <c r="X206">
        <v>3350.8748000000001</v>
      </c>
      <c r="Y206">
        <v>150486.45439999999</v>
      </c>
      <c r="Z206" t="s">
        <v>1689</v>
      </c>
      <c r="AA206">
        <v>2.2330000000000001</v>
      </c>
      <c r="AB206">
        <v>219.5309</v>
      </c>
      <c r="AC206">
        <v>0.70109999999999995</v>
      </c>
      <c r="AD206" t="s">
        <v>10</v>
      </c>
    </row>
    <row r="207" spans="1:30">
      <c r="A207" s="2">
        <v>206</v>
      </c>
      <c r="B207" s="2" t="s">
        <v>196</v>
      </c>
      <c r="C207" s="2" t="s">
        <v>196</v>
      </c>
      <c r="D207" s="2">
        <v>206</v>
      </c>
      <c r="E207" s="2" t="s">
        <v>196</v>
      </c>
      <c r="F207" t="s">
        <v>578</v>
      </c>
      <c r="G207" s="4">
        <v>44835</v>
      </c>
      <c r="H207" s="5">
        <v>9.1388888888888895E-2</v>
      </c>
      <c r="I207" t="s">
        <v>9</v>
      </c>
      <c r="J207">
        <v>1.413</v>
      </c>
      <c r="K207">
        <v>15.2491</v>
      </c>
      <c r="L207">
        <v>66.273600000000002</v>
      </c>
      <c r="M207" t="s">
        <v>10</v>
      </c>
      <c r="N207" t="s">
        <v>11</v>
      </c>
      <c r="O207">
        <v>1.9330000000000001</v>
      </c>
      <c r="P207">
        <v>113.7659</v>
      </c>
      <c r="Q207">
        <v>210.88939999999999</v>
      </c>
      <c r="R207" t="s">
        <v>10</v>
      </c>
      <c r="S207" t="s">
        <v>579</v>
      </c>
      <c r="T207" s="4">
        <v>44835</v>
      </c>
      <c r="U207" s="5">
        <v>9.1388888888888895E-2</v>
      </c>
      <c r="V207" t="s">
        <v>13</v>
      </c>
      <c r="W207">
        <v>1.1659999999999999</v>
      </c>
      <c r="X207">
        <v>3215.6556</v>
      </c>
      <c r="Y207">
        <v>135309.16800000001</v>
      </c>
      <c r="Z207" t="s">
        <v>1689</v>
      </c>
      <c r="AA207">
        <v>2.2360000000000002</v>
      </c>
      <c r="AB207">
        <v>65.271600000000007</v>
      </c>
      <c r="AC207">
        <v>6.88E-2</v>
      </c>
      <c r="AD207" t="s">
        <v>10</v>
      </c>
    </row>
    <row r="208" spans="1:30">
      <c r="A208" s="2">
        <v>207</v>
      </c>
      <c r="B208" s="2" t="s">
        <v>559</v>
      </c>
      <c r="C208" s="2" t="s">
        <v>580</v>
      </c>
      <c r="D208" s="2">
        <v>207</v>
      </c>
      <c r="E208" s="3" t="str">
        <f>D208&amp;"g"</f>
        <v>207g</v>
      </c>
      <c r="F208" t="s">
        <v>581</v>
      </c>
      <c r="G208" s="4">
        <v>44835</v>
      </c>
      <c r="H208" s="5">
        <v>9.5150462962962964E-2</v>
      </c>
      <c r="I208" t="s">
        <v>9</v>
      </c>
      <c r="J208">
        <v>1.4159999999999999</v>
      </c>
      <c r="K208">
        <v>28.827200000000001</v>
      </c>
      <c r="L208">
        <v>125.00190000000001</v>
      </c>
      <c r="M208" t="s">
        <v>10</v>
      </c>
      <c r="N208" t="s">
        <v>11</v>
      </c>
      <c r="O208">
        <v>1.946</v>
      </c>
      <c r="P208">
        <v>2729.4989999999998</v>
      </c>
      <c r="Q208">
        <v>9877.9757000000009</v>
      </c>
      <c r="R208" t="s">
        <v>10</v>
      </c>
      <c r="S208" t="s">
        <v>582</v>
      </c>
      <c r="T208" s="4">
        <v>44835</v>
      </c>
      <c r="U208" s="5">
        <v>9.5150462962962964E-2</v>
      </c>
      <c r="V208" t="s">
        <v>13</v>
      </c>
      <c r="W208">
        <v>1.17</v>
      </c>
      <c r="X208">
        <v>3593.7437</v>
      </c>
      <c r="Y208">
        <v>185035.27770000001</v>
      </c>
      <c r="Z208" t="s">
        <v>1689</v>
      </c>
      <c r="AA208">
        <v>2.2360000000000002</v>
      </c>
      <c r="AB208">
        <v>163.678</v>
      </c>
      <c r="AC208">
        <v>0.47210000000000002</v>
      </c>
      <c r="AD208" t="s">
        <v>10</v>
      </c>
    </row>
    <row r="209" spans="1:30">
      <c r="A209" s="2">
        <v>208</v>
      </c>
      <c r="B209" s="2" t="s">
        <v>196</v>
      </c>
      <c r="C209" s="2" t="s">
        <v>196</v>
      </c>
      <c r="D209" s="2">
        <v>208</v>
      </c>
      <c r="E209" s="2" t="s">
        <v>196</v>
      </c>
      <c r="F209" t="s">
        <v>583</v>
      </c>
      <c r="G209" s="4">
        <v>44835</v>
      </c>
      <c r="H209" s="5">
        <v>9.8912037037037034E-2</v>
      </c>
      <c r="I209" t="s">
        <v>9</v>
      </c>
      <c r="J209">
        <v>1.4</v>
      </c>
      <c r="K209">
        <v>0.28599999999999998</v>
      </c>
      <c r="L209">
        <v>1.5548999999999999</v>
      </c>
      <c r="M209" t="s">
        <v>10</v>
      </c>
      <c r="N209" t="s">
        <v>11</v>
      </c>
      <c r="O209">
        <v>1.92</v>
      </c>
      <c r="P209">
        <v>94.15</v>
      </c>
      <c r="Q209">
        <v>138.39400000000001</v>
      </c>
      <c r="R209" t="s">
        <v>10</v>
      </c>
      <c r="S209" t="s">
        <v>584</v>
      </c>
      <c r="T209" s="4">
        <v>44835</v>
      </c>
      <c r="U209" s="5">
        <v>9.8912037037037034E-2</v>
      </c>
      <c r="V209" t="s">
        <v>13</v>
      </c>
      <c r="W209">
        <v>1.1599999999999999</v>
      </c>
      <c r="X209">
        <v>3020.9951999999998</v>
      </c>
      <c r="Y209">
        <v>117057.3673</v>
      </c>
      <c r="Z209" t="s">
        <v>1689</v>
      </c>
      <c r="AA209">
        <v>2.2200000000000002</v>
      </c>
      <c r="AB209">
        <v>59.566099999999999</v>
      </c>
      <c r="AC209">
        <v>4.5400000000000003E-2</v>
      </c>
      <c r="AD209" t="s">
        <v>10</v>
      </c>
    </row>
    <row r="210" spans="1:30">
      <c r="A210" s="2">
        <v>209</v>
      </c>
      <c r="B210" s="2" t="s">
        <v>559</v>
      </c>
      <c r="C210" s="2" t="s">
        <v>585</v>
      </c>
      <c r="D210" s="2">
        <v>209</v>
      </c>
      <c r="E210" s="3" t="str">
        <f>D210&amp;"g"</f>
        <v>209g</v>
      </c>
      <c r="F210" t="s">
        <v>586</v>
      </c>
      <c r="G210" s="4">
        <v>44835</v>
      </c>
      <c r="H210" s="5">
        <v>0.10266203703703704</v>
      </c>
      <c r="I210" t="s">
        <v>9</v>
      </c>
      <c r="J210">
        <v>1.413</v>
      </c>
      <c r="K210">
        <v>0.47599999999999998</v>
      </c>
      <c r="L210">
        <v>2.3767</v>
      </c>
      <c r="M210" t="s">
        <v>10</v>
      </c>
      <c r="N210" t="s">
        <v>11</v>
      </c>
      <c r="O210">
        <v>1.9359999999999999</v>
      </c>
      <c r="P210">
        <v>135.7576</v>
      </c>
      <c r="Q210">
        <v>292.1651</v>
      </c>
      <c r="R210" t="s">
        <v>10</v>
      </c>
      <c r="S210" t="s">
        <v>587</v>
      </c>
      <c r="T210" s="4">
        <v>44835</v>
      </c>
      <c r="U210" s="5">
        <v>0.10266203703703704</v>
      </c>
      <c r="V210" t="s">
        <v>13</v>
      </c>
      <c r="W210">
        <v>1.17</v>
      </c>
      <c r="X210">
        <v>3700.9036000000001</v>
      </c>
      <c r="Y210">
        <v>200839.08609999999</v>
      </c>
      <c r="Z210" t="s">
        <v>1689</v>
      </c>
      <c r="AA210">
        <v>2.2360000000000002</v>
      </c>
      <c r="AB210">
        <v>90.473799999999997</v>
      </c>
      <c r="AC210">
        <v>0.1721</v>
      </c>
      <c r="AD210" t="s">
        <v>10</v>
      </c>
    </row>
    <row r="211" spans="1:30">
      <c r="A211" s="2">
        <v>210</v>
      </c>
      <c r="B211" s="2" t="s">
        <v>196</v>
      </c>
      <c r="C211" s="2" t="s">
        <v>196</v>
      </c>
      <c r="D211" s="2">
        <v>210</v>
      </c>
      <c r="E211" s="2" t="s">
        <v>196</v>
      </c>
      <c r="F211" t="s">
        <v>588</v>
      </c>
      <c r="G211" s="4">
        <v>44835</v>
      </c>
      <c r="H211" s="5">
        <v>0.10642361111111111</v>
      </c>
      <c r="I211" t="s">
        <v>9</v>
      </c>
      <c r="J211">
        <v>1.403</v>
      </c>
      <c r="K211">
        <v>0.32900000000000001</v>
      </c>
      <c r="L211">
        <v>1.7408999999999999</v>
      </c>
      <c r="M211" t="s">
        <v>10</v>
      </c>
      <c r="N211" t="s">
        <v>11</v>
      </c>
      <c r="O211">
        <v>1.923</v>
      </c>
      <c r="P211">
        <v>95.811400000000006</v>
      </c>
      <c r="Q211">
        <v>144.5341</v>
      </c>
      <c r="R211" t="s">
        <v>10</v>
      </c>
      <c r="S211" t="s">
        <v>589</v>
      </c>
      <c r="T211" s="4">
        <v>44835</v>
      </c>
      <c r="U211" s="5">
        <v>0.10642361111111111</v>
      </c>
      <c r="V211" t="s">
        <v>13</v>
      </c>
      <c r="W211">
        <v>1.1599999999999999</v>
      </c>
      <c r="X211">
        <v>3111.7357999999999</v>
      </c>
      <c r="Y211">
        <v>125151.1128</v>
      </c>
      <c r="Z211" t="s">
        <v>1689</v>
      </c>
      <c r="AA211">
        <v>2.2229999999999999</v>
      </c>
      <c r="AB211">
        <v>66.171199999999999</v>
      </c>
      <c r="AC211">
        <v>7.2499999999999995E-2</v>
      </c>
      <c r="AD211" t="s">
        <v>10</v>
      </c>
    </row>
    <row r="212" spans="1:30">
      <c r="A212" s="2">
        <v>211</v>
      </c>
      <c r="B212" s="2" t="s">
        <v>559</v>
      </c>
      <c r="C212" s="2" t="s">
        <v>590</v>
      </c>
      <c r="D212" s="2">
        <v>211</v>
      </c>
      <c r="E212" s="3" t="str">
        <f>D212&amp;"g"</f>
        <v>211g</v>
      </c>
      <c r="F212" t="s">
        <v>591</v>
      </c>
      <c r="G212" s="4">
        <v>44835</v>
      </c>
      <c r="H212" s="5">
        <v>0.11018518518518518</v>
      </c>
      <c r="I212" t="s">
        <v>9</v>
      </c>
      <c r="J212">
        <v>1.403</v>
      </c>
      <c r="K212">
        <v>383.74400000000003</v>
      </c>
      <c r="L212">
        <v>1660.0953999999999</v>
      </c>
      <c r="M212" t="s">
        <v>10</v>
      </c>
      <c r="N212" t="s">
        <v>11</v>
      </c>
      <c r="O212">
        <v>1.9330000000000001</v>
      </c>
      <c r="P212">
        <v>4168.4312</v>
      </c>
      <c r="Q212">
        <v>15195.9043</v>
      </c>
      <c r="R212" t="s">
        <v>10</v>
      </c>
      <c r="S212" t="s">
        <v>592</v>
      </c>
      <c r="T212" s="4">
        <v>44835</v>
      </c>
      <c r="U212" s="5">
        <v>0.11018518518518518</v>
      </c>
      <c r="V212" t="s">
        <v>13</v>
      </c>
      <c r="W212">
        <v>1.1599999999999999</v>
      </c>
      <c r="X212">
        <v>3431.7302</v>
      </c>
      <c r="Y212">
        <v>161141.72880000001</v>
      </c>
      <c r="Z212" t="s">
        <v>1689</v>
      </c>
      <c r="AA212">
        <v>2.2200000000000002</v>
      </c>
      <c r="AB212">
        <v>192.64580000000001</v>
      </c>
      <c r="AC212">
        <v>0.59089999999999998</v>
      </c>
      <c r="AD212" t="s">
        <v>10</v>
      </c>
    </row>
    <row r="213" spans="1:30">
      <c r="A213" s="2">
        <v>212</v>
      </c>
      <c r="B213" s="2" t="s">
        <v>196</v>
      </c>
      <c r="C213" s="2" t="s">
        <v>196</v>
      </c>
      <c r="D213" s="2">
        <v>212</v>
      </c>
      <c r="E213" s="2" t="s">
        <v>196</v>
      </c>
      <c r="F213" t="s">
        <v>593</v>
      </c>
      <c r="G213" s="4">
        <v>44835</v>
      </c>
      <c r="H213" s="5">
        <v>0.11394675925925928</v>
      </c>
      <c r="I213" t="s">
        <v>9</v>
      </c>
      <c r="J213">
        <v>1.413</v>
      </c>
      <c r="K213">
        <v>0.79169999999999996</v>
      </c>
      <c r="L213">
        <v>3.7422</v>
      </c>
      <c r="M213" t="s">
        <v>10</v>
      </c>
      <c r="N213" t="s">
        <v>11</v>
      </c>
      <c r="O213">
        <v>1.9359999999999999</v>
      </c>
      <c r="P213">
        <v>103.09869999999999</v>
      </c>
      <c r="Q213">
        <v>171.46610000000001</v>
      </c>
      <c r="R213" t="s">
        <v>10</v>
      </c>
      <c r="S213" t="s">
        <v>594</v>
      </c>
      <c r="T213" s="4">
        <v>44835</v>
      </c>
      <c r="U213" s="5">
        <v>0.11394675925925928</v>
      </c>
      <c r="V213" t="s">
        <v>13</v>
      </c>
      <c r="W213">
        <v>1.17</v>
      </c>
      <c r="X213">
        <v>3167.7894000000001</v>
      </c>
      <c r="Y213">
        <v>130510.6246</v>
      </c>
      <c r="Z213" t="s">
        <v>1689</v>
      </c>
      <c r="AA213">
        <v>2.2360000000000002</v>
      </c>
      <c r="AB213">
        <v>63.577199999999998</v>
      </c>
      <c r="AC213">
        <v>6.1800000000000001E-2</v>
      </c>
      <c r="AD213" t="s">
        <v>10</v>
      </c>
    </row>
    <row r="214" spans="1:30">
      <c r="A214" s="2">
        <v>213</v>
      </c>
      <c r="B214" s="2" t="s">
        <v>238</v>
      </c>
      <c r="C214" s="2" t="s">
        <v>239</v>
      </c>
      <c r="D214" s="2">
        <v>213</v>
      </c>
      <c r="E214" s="3" t="s">
        <v>595</v>
      </c>
      <c r="F214" t="s">
        <v>596</v>
      </c>
      <c r="G214" s="4">
        <v>44835</v>
      </c>
      <c r="H214" s="5">
        <v>0.11770833333333335</v>
      </c>
      <c r="I214" t="s">
        <v>9</v>
      </c>
      <c r="J214">
        <v>1.413</v>
      </c>
      <c r="K214">
        <v>0.69059999999999999</v>
      </c>
      <c r="L214">
        <v>3.3048999999999999</v>
      </c>
      <c r="M214" t="s">
        <v>10</v>
      </c>
      <c r="N214" t="s">
        <v>11</v>
      </c>
      <c r="O214">
        <v>1.9359999999999999</v>
      </c>
      <c r="P214">
        <v>166.64019999999999</v>
      </c>
      <c r="Q214">
        <v>406.29939999999999</v>
      </c>
      <c r="R214" t="s">
        <v>10</v>
      </c>
      <c r="S214" t="s">
        <v>597</v>
      </c>
      <c r="T214" s="4">
        <v>44835</v>
      </c>
      <c r="U214" s="5">
        <v>0.11770833333333335</v>
      </c>
      <c r="V214" t="s">
        <v>13</v>
      </c>
      <c r="W214">
        <v>1.17</v>
      </c>
      <c r="X214">
        <v>3957.5295999999998</v>
      </c>
      <c r="Y214">
        <v>238685.96859999999</v>
      </c>
      <c r="Z214" t="s">
        <v>1689</v>
      </c>
      <c r="AA214">
        <v>2.2360000000000002</v>
      </c>
      <c r="AB214">
        <v>110.3672</v>
      </c>
      <c r="AC214">
        <v>0.25359999999999999</v>
      </c>
      <c r="AD214" t="s">
        <v>10</v>
      </c>
    </row>
    <row r="215" spans="1:30">
      <c r="A215" s="2">
        <v>214</v>
      </c>
      <c r="B215" s="2" t="s">
        <v>196</v>
      </c>
      <c r="C215" s="2" t="s">
        <v>196</v>
      </c>
      <c r="D215" s="2">
        <v>214</v>
      </c>
      <c r="E215" s="2" t="s">
        <v>196</v>
      </c>
      <c r="F215" t="s">
        <v>598</v>
      </c>
      <c r="G215" s="4">
        <v>44835</v>
      </c>
      <c r="H215" s="5">
        <v>0.12146990740740742</v>
      </c>
      <c r="I215" t="s">
        <v>9</v>
      </c>
      <c r="J215">
        <v>1.4</v>
      </c>
      <c r="K215">
        <v>0.34960000000000002</v>
      </c>
      <c r="L215">
        <v>1.83</v>
      </c>
      <c r="M215" t="s">
        <v>10</v>
      </c>
      <c r="N215" t="s">
        <v>11</v>
      </c>
      <c r="O215">
        <v>1.92</v>
      </c>
      <c r="P215">
        <v>90.382499999999993</v>
      </c>
      <c r="Q215">
        <v>124.47029999999999</v>
      </c>
      <c r="R215" t="s">
        <v>10</v>
      </c>
      <c r="S215" t="s">
        <v>599</v>
      </c>
      <c r="T215" s="4">
        <v>44835</v>
      </c>
      <c r="U215" s="5">
        <v>0.12146990740740742</v>
      </c>
      <c r="V215" t="s">
        <v>13</v>
      </c>
      <c r="W215">
        <v>1.1599999999999999</v>
      </c>
      <c r="X215">
        <v>3027.2914000000001</v>
      </c>
      <c r="Y215">
        <v>117597.614</v>
      </c>
      <c r="Z215" t="s">
        <v>1689</v>
      </c>
      <c r="AA215">
        <v>2.2200000000000002</v>
      </c>
      <c r="AB215">
        <v>59.7654</v>
      </c>
      <c r="AC215">
        <v>4.6199999999999998E-2</v>
      </c>
      <c r="AD215" t="s">
        <v>10</v>
      </c>
    </row>
    <row r="216" spans="1:30">
      <c r="A216" s="2">
        <v>215</v>
      </c>
      <c r="B216" s="2" t="s">
        <v>559</v>
      </c>
      <c r="C216" s="2" t="s">
        <v>600</v>
      </c>
      <c r="D216" s="2">
        <v>215</v>
      </c>
      <c r="E216" s="3" t="str">
        <f>D216&amp;"g"</f>
        <v>215g</v>
      </c>
      <c r="F216" t="s">
        <v>601</v>
      </c>
      <c r="G216" s="4">
        <v>44835</v>
      </c>
      <c r="H216" s="5">
        <v>0.12523148148148147</v>
      </c>
      <c r="I216" t="s">
        <v>9</v>
      </c>
      <c r="J216">
        <v>1.4159999999999999</v>
      </c>
      <c r="K216">
        <v>140.2218</v>
      </c>
      <c r="L216">
        <v>606.80820000000006</v>
      </c>
      <c r="M216" t="s">
        <v>10</v>
      </c>
      <c r="N216" t="s">
        <v>11</v>
      </c>
      <c r="O216">
        <v>1.95</v>
      </c>
      <c r="P216">
        <v>5305.1566000000003</v>
      </c>
      <c r="Q216">
        <v>19396.953099999999</v>
      </c>
      <c r="R216" t="s">
        <v>10</v>
      </c>
      <c r="S216" t="s">
        <v>602</v>
      </c>
      <c r="T216" s="4">
        <v>44835</v>
      </c>
      <c r="U216" s="5">
        <v>0.12523148148148147</v>
      </c>
      <c r="V216" t="s">
        <v>13</v>
      </c>
      <c r="W216">
        <v>1.17</v>
      </c>
      <c r="X216">
        <v>3374.8141999999998</v>
      </c>
      <c r="Y216">
        <v>153423.1452</v>
      </c>
      <c r="Z216" t="s">
        <v>1689</v>
      </c>
      <c r="AA216">
        <v>2.2360000000000002</v>
      </c>
      <c r="AB216">
        <v>211.86580000000001</v>
      </c>
      <c r="AC216">
        <v>0.66959999999999997</v>
      </c>
      <c r="AD216" t="s">
        <v>10</v>
      </c>
    </row>
    <row r="217" spans="1:30">
      <c r="A217" s="2">
        <v>216</v>
      </c>
      <c r="B217" s="2" t="s">
        <v>196</v>
      </c>
      <c r="C217" s="2" t="s">
        <v>196</v>
      </c>
      <c r="D217" s="2">
        <v>216</v>
      </c>
      <c r="E217" s="2" t="s">
        <v>196</v>
      </c>
      <c r="F217" t="s">
        <v>603</v>
      </c>
      <c r="G217" s="4">
        <v>44835</v>
      </c>
      <c r="H217" s="5">
        <v>0.12898148148148147</v>
      </c>
      <c r="I217" t="s">
        <v>9</v>
      </c>
      <c r="J217">
        <v>1.413</v>
      </c>
      <c r="K217">
        <v>0.57310000000000005</v>
      </c>
      <c r="L217">
        <v>2.7967</v>
      </c>
      <c r="M217" t="s">
        <v>10</v>
      </c>
      <c r="N217" t="s">
        <v>11</v>
      </c>
      <c r="O217">
        <v>1.9359999999999999</v>
      </c>
      <c r="P217">
        <v>120.5372</v>
      </c>
      <c r="Q217">
        <v>235.9144</v>
      </c>
      <c r="R217" t="s">
        <v>10</v>
      </c>
      <c r="S217" t="s">
        <v>604</v>
      </c>
      <c r="T217" s="4">
        <v>44835</v>
      </c>
      <c r="U217" s="5">
        <v>0.12898148148148147</v>
      </c>
      <c r="V217" t="s">
        <v>13</v>
      </c>
      <c r="W217">
        <v>1.1659999999999999</v>
      </c>
      <c r="X217">
        <v>3242.0160000000001</v>
      </c>
      <c r="Y217">
        <v>138064.9204</v>
      </c>
      <c r="Z217" t="s">
        <v>1689</v>
      </c>
      <c r="AA217">
        <v>2.2400000000000002</v>
      </c>
      <c r="AB217">
        <v>67.620099999999994</v>
      </c>
      <c r="AC217">
        <v>7.8399999999999997E-2</v>
      </c>
      <c r="AD217" t="s">
        <v>10</v>
      </c>
    </row>
    <row r="218" spans="1:30">
      <c r="A218" s="2">
        <v>217</v>
      </c>
      <c r="B218" s="2" t="s">
        <v>559</v>
      </c>
      <c r="C218" s="2" t="s">
        <v>605</v>
      </c>
      <c r="D218" s="2">
        <v>217</v>
      </c>
      <c r="E218" s="3" t="str">
        <f>D218&amp;"g"</f>
        <v>217g</v>
      </c>
      <c r="F218" t="s">
        <v>606</v>
      </c>
      <c r="G218" s="4">
        <v>44835</v>
      </c>
      <c r="H218" s="5">
        <v>0.13274305555555557</v>
      </c>
      <c r="I218" t="s">
        <v>9</v>
      </c>
      <c r="J218">
        <v>1.413</v>
      </c>
      <c r="K218">
        <v>73.814999999999998</v>
      </c>
      <c r="L218">
        <v>319.58409999999998</v>
      </c>
      <c r="M218" t="s">
        <v>10</v>
      </c>
      <c r="N218" t="s">
        <v>11</v>
      </c>
      <c r="O218">
        <v>1.94</v>
      </c>
      <c r="P218">
        <v>946.59479999999996</v>
      </c>
      <c r="Q218">
        <v>3288.8137999999999</v>
      </c>
      <c r="R218" t="s">
        <v>10</v>
      </c>
      <c r="S218" t="s">
        <v>607</v>
      </c>
      <c r="T218" s="4">
        <v>44835</v>
      </c>
      <c r="U218" s="5">
        <v>0.13274305555555557</v>
      </c>
      <c r="V218" t="s">
        <v>13</v>
      </c>
      <c r="W218">
        <v>1.1659999999999999</v>
      </c>
      <c r="X218">
        <v>3624.9688999999998</v>
      </c>
      <c r="Y218">
        <v>189640.33129999999</v>
      </c>
      <c r="Z218" t="s">
        <v>1689</v>
      </c>
      <c r="AA218">
        <v>2.2360000000000002</v>
      </c>
      <c r="AB218">
        <v>115.0698</v>
      </c>
      <c r="AC218">
        <v>0.27289999999999998</v>
      </c>
      <c r="AD218" t="s">
        <v>10</v>
      </c>
    </row>
    <row r="219" spans="1:30">
      <c r="A219" s="2">
        <v>218</v>
      </c>
      <c r="B219" s="2" t="s">
        <v>196</v>
      </c>
      <c r="C219" s="2" t="s">
        <v>196</v>
      </c>
      <c r="D219" s="2">
        <v>218</v>
      </c>
      <c r="E219" s="2" t="s">
        <v>196</v>
      </c>
      <c r="F219" t="s">
        <v>608</v>
      </c>
      <c r="G219" s="4">
        <v>44835</v>
      </c>
      <c r="H219" s="5">
        <v>0.13650462962962964</v>
      </c>
      <c r="I219" t="s">
        <v>9</v>
      </c>
      <c r="J219">
        <v>1.41</v>
      </c>
      <c r="K219">
        <v>0.33579999999999999</v>
      </c>
      <c r="L219">
        <v>1.7703</v>
      </c>
      <c r="M219" t="s">
        <v>10</v>
      </c>
      <c r="N219" t="s">
        <v>11</v>
      </c>
      <c r="O219">
        <v>1.9359999999999999</v>
      </c>
      <c r="P219">
        <v>84.378799999999998</v>
      </c>
      <c r="Q219">
        <v>102.2821</v>
      </c>
      <c r="R219" t="s">
        <v>10</v>
      </c>
      <c r="S219" t="s">
        <v>609</v>
      </c>
      <c r="T219" s="4">
        <v>44835</v>
      </c>
      <c r="U219" s="5">
        <v>0.13650462962962964</v>
      </c>
      <c r="V219" t="s">
        <v>13</v>
      </c>
      <c r="W219">
        <v>1.17</v>
      </c>
      <c r="X219">
        <v>2922.6904</v>
      </c>
      <c r="Y219">
        <v>108887.8812</v>
      </c>
      <c r="Z219" t="s">
        <v>1689</v>
      </c>
      <c r="AA219">
        <v>2.2400000000000002</v>
      </c>
      <c r="AB219">
        <v>51.297400000000003</v>
      </c>
      <c r="AC219">
        <v>1.15E-2</v>
      </c>
      <c r="AD219" t="s">
        <v>10</v>
      </c>
    </row>
    <row r="220" spans="1:30">
      <c r="A220" s="2">
        <v>219</v>
      </c>
      <c r="B220" s="2" t="s">
        <v>559</v>
      </c>
      <c r="C220" s="2" t="s">
        <v>610</v>
      </c>
      <c r="D220" s="2">
        <v>219</v>
      </c>
      <c r="E220" s="3" t="str">
        <f>D220&amp;"g"</f>
        <v>219g</v>
      </c>
      <c r="F220" t="s">
        <v>611</v>
      </c>
      <c r="G220" s="4">
        <v>44835</v>
      </c>
      <c r="H220" s="5">
        <v>0.14025462962962962</v>
      </c>
      <c r="I220" t="s">
        <v>9</v>
      </c>
      <c r="J220">
        <v>1.41</v>
      </c>
      <c r="K220">
        <v>2690.2786000000001</v>
      </c>
      <c r="L220">
        <v>11636.366599999999</v>
      </c>
      <c r="M220" t="s">
        <v>10</v>
      </c>
      <c r="N220" t="s">
        <v>11</v>
      </c>
      <c r="O220">
        <v>1.9430000000000001</v>
      </c>
      <c r="P220">
        <v>11658.6572</v>
      </c>
      <c r="Q220">
        <v>42877.880400000002</v>
      </c>
      <c r="R220" t="s">
        <v>10</v>
      </c>
      <c r="S220" t="s">
        <v>612</v>
      </c>
      <c r="T220" s="4">
        <v>44835</v>
      </c>
      <c r="U220" s="5">
        <v>0.14025462962962962</v>
      </c>
      <c r="V220" t="s">
        <v>13</v>
      </c>
      <c r="W220">
        <v>1.1659999999999999</v>
      </c>
      <c r="X220">
        <v>2917.0201999999999</v>
      </c>
      <c r="Y220">
        <v>108428.77589999999</v>
      </c>
      <c r="Z220" t="s">
        <v>1689</v>
      </c>
      <c r="AA220">
        <v>2.2330000000000001</v>
      </c>
      <c r="AB220">
        <v>270.21969999999999</v>
      </c>
      <c r="AC220">
        <v>0.90880000000000005</v>
      </c>
      <c r="AD220" t="s">
        <v>10</v>
      </c>
    </row>
    <row r="221" spans="1:30">
      <c r="A221" s="2">
        <v>220</v>
      </c>
      <c r="B221" s="2" t="s">
        <v>196</v>
      </c>
      <c r="C221" s="2" t="s">
        <v>196</v>
      </c>
      <c r="D221" s="2">
        <v>220</v>
      </c>
      <c r="E221" s="2" t="s">
        <v>196</v>
      </c>
      <c r="F221" t="s">
        <v>613</v>
      </c>
      <c r="G221" s="4">
        <v>44835</v>
      </c>
      <c r="H221" s="5">
        <v>0.14400462962962965</v>
      </c>
      <c r="I221" t="s">
        <v>9</v>
      </c>
      <c r="J221">
        <v>1.403</v>
      </c>
      <c r="K221">
        <v>0.72</v>
      </c>
      <c r="L221">
        <v>3.4321000000000002</v>
      </c>
      <c r="M221" t="s">
        <v>10</v>
      </c>
      <c r="N221" t="s">
        <v>11</v>
      </c>
      <c r="O221">
        <v>1.9259999999999999</v>
      </c>
      <c r="P221">
        <v>98.389200000000002</v>
      </c>
      <c r="Q221">
        <v>154.06100000000001</v>
      </c>
      <c r="R221" t="s">
        <v>10</v>
      </c>
      <c r="S221" t="s">
        <v>614</v>
      </c>
      <c r="T221" s="4">
        <v>44835</v>
      </c>
      <c r="U221" s="5">
        <v>0.14400462962962965</v>
      </c>
      <c r="V221" t="s">
        <v>13</v>
      </c>
      <c r="W221">
        <v>1.1559999999999999</v>
      </c>
      <c r="X221">
        <v>3026.8352</v>
      </c>
      <c r="Y221">
        <v>117558.4697</v>
      </c>
      <c r="Z221" t="s">
        <v>1689</v>
      </c>
      <c r="AA221">
        <v>2.23</v>
      </c>
      <c r="AB221">
        <v>60.126800000000003</v>
      </c>
      <c r="AC221">
        <v>4.7699999999999999E-2</v>
      </c>
      <c r="AD221" t="s">
        <v>10</v>
      </c>
    </row>
    <row r="222" spans="1:30">
      <c r="A222" s="2">
        <v>221</v>
      </c>
      <c r="B222" s="2" t="s">
        <v>559</v>
      </c>
      <c r="C222" s="2" t="s">
        <v>615</v>
      </c>
      <c r="D222" s="2">
        <v>221</v>
      </c>
      <c r="E222" s="3" t="str">
        <f>D222&amp;"g"</f>
        <v>221g</v>
      </c>
      <c r="F222" t="s">
        <v>616</v>
      </c>
      <c r="G222" s="4">
        <v>44835</v>
      </c>
      <c r="H222" s="5">
        <v>0.14776620370370372</v>
      </c>
      <c r="I222" t="s">
        <v>9</v>
      </c>
      <c r="J222">
        <v>1.413</v>
      </c>
      <c r="K222">
        <v>3.5024999999999999</v>
      </c>
      <c r="L222">
        <v>15.467000000000001</v>
      </c>
      <c r="M222" t="s">
        <v>10</v>
      </c>
      <c r="N222" t="s">
        <v>11</v>
      </c>
      <c r="O222">
        <v>1.95</v>
      </c>
      <c r="P222">
        <v>2785.8735999999999</v>
      </c>
      <c r="Q222">
        <v>10086.321900000001</v>
      </c>
      <c r="R222" t="s">
        <v>10</v>
      </c>
      <c r="S222" t="s">
        <v>617</v>
      </c>
      <c r="T222" s="4">
        <v>44835</v>
      </c>
      <c r="U222" s="5">
        <v>0.14776620370370372</v>
      </c>
      <c r="V222" t="s">
        <v>13</v>
      </c>
      <c r="W222">
        <v>1.17</v>
      </c>
      <c r="X222">
        <v>3568.6370999999999</v>
      </c>
      <c r="Y222">
        <v>181332.5877</v>
      </c>
      <c r="Z222" t="s">
        <v>1689</v>
      </c>
      <c r="AA222">
        <v>2.2360000000000002</v>
      </c>
      <c r="AB222">
        <v>166.7576</v>
      </c>
      <c r="AC222">
        <v>0.48470000000000002</v>
      </c>
      <c r="AD222" t="s">
        <v>10</v>
      </c>
    </row>
    <row r="223" spans="1:30">
      <c r="A223" s="2">
        <v>222</v>
      </c>
      <c r="B223" s="2" t="s">
        <v>196</v>
      </c>
      <c r="C223" s="2" t="s">
        <v>196</v>
      </c>
      <c r="D223" s="2">
        <v>222</v>
      </c>
      <c r="E223" s="2" t="s">
        <v>196</v>
      </c>
      <c r="F223" t="s">
        <v>618</v>
      </c>
      <c r="G223" s="4">
        <v>44835</v>
      </c>
      <c r="H223" s="5">
        <v>0.15151620370370369</v>
      </c>
      <c r="I223" t="s">
        <v>9</v>
      </c>
      <c r="J223">
        <v>1.4</v>
      </c>
      <c r="K223">
        <v>0.30759999999999998</v>
      </c>
      <c r="L223">
        <v>1.6484000000000001</v>
      </c>
      <c r="M223" t="s">
        <v>10</v>
      </c>
      <c r="N223" t="s">
        <v>11</v>
      </c>
      <c r="O223">
        <v>1.9259999999999999</v>
      </c>
      <c r="P223">
        <v>108.8094</v>
      </c>
      <c r="Q223">
        <v>192.57140000000001</v>
      </c>
      <c r="R223" t="s">
        <v>10</v>
      </c>
      <c r="S223" t="s">
        <v>619</v>
      </c>
      <c r="T223" s="4">
        <v>44835</v>
      </c>
      <c r="U223" s="5">
        <v>0.15151620370370369</v>
      </c>
      <c r="V223" t="s">
        <v>13</v>
      </c>
      <c r="W223">
        <v>1.1599999999999999</v>
      </c>
      <c r="X223">
        <v>3136.8602000000001</v>
      </c>
      <c r="Y223">
        <v>127496.6201</v>
      </c>
      <c r="Z223" t="s">
        <v>1689</v>
      </c>
      <c r="AA223">
        <v>2.23</v>
      </c>
      <c r="AB223">
        <v>65.281400000000005</v>
      </c>
      <c r="AC223">
        <v>6.88E-2</v>
      </c>
      <c r="AD223" t="s">
        <v>10</v>
      </c>
    </row>
    <row r="224" spans="1:30">
      <c r="A224" s="2">
        <v>223</v>
      </c>
      <c r="B224" s="2" t="s">
        <v>559</v>
      </c>
      <c r="C224" s="2" t="s">
        <v>620</v>
      </c>
      <c r="D224" s="2">
        <v>223</v>
      </c>
      <c r="E224" s="3" t="str">
        <f>D224&amp;"g"</f>
        <v>223g</v>
      </c>
      <c r="F224" t="s">
        <v>621</v>
      </c>
      <c r="G224" s="4">
        <v>44835</v>
      </c>
      <c r="H224" s="5">
        <v>0.1552662037037037</v>
      </c>
      <c r="I224" t="s">
        <v>9</v>
      </c>
      <c r="J224">
        <v>1.413</v>
      </c>
      <c r="K224">
        <v>3.3048999999999999</v>
      </c>
      <c r="L224">
        <v>14.612299999999999</v>
      </c>
      <c r="M224" t="s">
        <v>10</v>
      </c>
      <c r="N224" t="s">
        <v>11</v>
      </c>
      <c r="O224">
        <v>1.95</v>
      </c>
      <c r="P224">
        <v>3129.2105999999999</v>
      </c>
      <c r="Q224">
        <v>11355.2084</v>
      </c>
      <c r="R224" t="s">
        <v>10</v>
      </c>
      <c r="S224" t="s">
        <v>622</v>
      </c>
      <c r="T224" s="4">
        <v>44835</v>
      </c>
      <c r="U224" s="5">
        <v>0.1552662037037037</v>
      </c>
      <c r="V224" t="s">
        <v>13</v>
      </c>
      <c r="W224">
        <v>1.1659999999999999</v>
      </c>
      <c r="X224">
        <v>3576.0248000000001</v>
      </c>
      <c r="Y224">
        <v>182422.1164</v>
      </c>
      <c r="Z224" t="s">
        <v>1689</v>
      </c>
      <c r="AA224">
        <v>2.2400000000000002</v>
      </c>
      <c r="AB224">
        <v>171.52709999999999</v>
      </c>
      <c r="AC224">
        <v>0.50429999999999997</v>
      </c>
      <c r="AD224" t="s">
        <v>10</v>
      </c>
    </row>
    <row r="225" spans="1:30">
      <c r="A225" s="2">
        <v>224</v>
      </c>
      <c r="B225" s="2" t="s">
        <v>196</v>
      </c>
      <c r="C225" s="2" t="s">
        <v>196</v>
      </c>
      <c r="D225" s="2">
        <v>224</v>
      </c>
      <c r="E225" s="2" t="s">
        <v>196</v>
      </c>
      <c r="F225" t="s">
        <v>623</v>
      </c>
      <c r="G225" s="4">
        <v>44835</v>
      </c>
      <c r="H225" s="5">
        <v>0.15902777777777777</v>
      </c>
      <c r="I225" t="s">
        <v>9</v>
      </c>
      <c r="J225">
        <v>1.41</v>
      </c>
      <c r="K225">
        <v>0.30380000000000001</v>
      </c>
      <c r="L225">
        <v>1.6318999999999999</v>
      </c>
      <c r="M225" t="s">
        <v>10</v>
      </c>
      <c r="N225" t="s">
        <v>11</v>
      </c>
      <c r="O225">
        <v>1.9430000000000001</v>
      </c>
      <c r="P225">
        <v>109.55329999999999</v>
      </c>
      <c r="Q225">
        <v>195.32069999999999</v>
      </c>
      <c r="R225" t="s">
        <v>10</v>
      </c>
      <c r="S225" t="s">
        <v>624</v>
      </c>
      <c r="T225" s="4">
        <v>44835</v>
      </c>
      <c r="U225" s="5">
        <v>0.15902777777777777</v>
      </c>
      <c r="V225" t="s">
        <v>13</v>
      </c>
      <c r="W225">
        <v>1.17</v>
      </c>
      <c r="X225">
        <v>3230.6334000000002</v>
      </c>
      <c r="Y225">
        <v>136874.96780000001</v>
      </c>
      <c r="Z225" t="s">
        <v>1689</v>
      </c>
      <c r="AA225">
        <v>2.2429999999999999</v>
      </c>
      <c r="AB225">
        <v>68.621799999999993</v>
      </c>
      <c r="AC225">
        <v>8.2500000000000004E-2</v>
      </c>
      <c r="AD225" t="s">
        <v>10</v>
      </c>
    </row>
    <row r="226" spans="1:30">
      <c r="A226" s="2">
        <v>225</v>
      </c>
      <c r="B226" s="2" t="s">
        <v>559</v>
      </c>
      <c r="C226" s="2" t="s">
        <v>625</v>
      </c>
      <c r="D226" s="2">
        <v>225</v>
      </c>
      <c r="E226" s="3" t="str">
        <f>D226&amp;"g"</f>
        <v>225g</v>
      </c>
      <c r="F226" t="s">
        <v>626</v>
      </c>
      <c r="G226" s="4">
        <v>44835</v>
      </c>
      <c r="H226" s="5">
        <v>0.16278935185185187</v>
      </c>
      <c r="I226" t="s">
        <v>9</v>
      </c>
      <c r="J226">
        <v>1.403</v>
      </c>
      <c r="K226">
        <v>20.550999999999998</v>
      </c>
      <c r="L226">
        <v>89.205500000000001</v>
      </c>
      <c r="M226" t="s">
        <v>10</v>
      </c>
      <c r="N226" t="s">
        <v>11</v>
      </c>
      <c r="O226">
        <v>1.9359999999999999</v>
      </c>
      <c r="P226">
        <v>1843.472</v>
      </c>
      <c r="Q226">
        <v>6603.4445999999998</v>
      </c>
      <c r="R226" t="s">
        <v>10</v>
      </c>
      <c r="S226" t="s">
        <v>627</v>
      </c>
      <c r="T226" s="4">
        <v>44835</v>
      </c>
      <c r="U226" s="5">
        <v>0.16278935185185187</v>
      </c>
      <c r="V226" t="s">
        <v>13</v>
      </c>
      <c r="W226">
        <v>1.1599999999999999</v>
      </c>
      <c r="X226">
        <v>3502.1235000000001</v>
      </c>
      <c r="Y226">
        <v>171523.24489999999</v>
      </c>
      <c r="Z226" t="s">
        <v>1689</v>
      </c>
      <c r="AA226">
        <v>2.226</v>
      </c>
      <c r="AB226">
        <v>141.99639999999999</v>
      </c>
      <c r="AC226">
        <v>0.38329999999999997</v>
      </c>
      <c r="AD226" t="s">
        <v>10</v>
      </c>
    </row>
    <row r="227" spans="1:30">
      <c r="A227" s="2">
        <v>226</v>
      </c>
      <c r="B227" s="2" t="s">
        <v>196</v>
      </c>
      <c r="C227" s="2" t="s">
        <v>196</v>
      </c>
      <c r="D227" s="2">
        <v>226</v>
      </c>
      <c r="E227" s="2" t="s">
        <v>196</v>
      </c>
      <c r="F227" t="s">
        <v>628</v>
      </c>
      <c r="G227" s="4">
        <v>44835</v>
      </c>
      <c r="H227" s="5">
        <v>0.16653935185185184</v>
      </c>
      <c r="I227" t="s">
        <v>9</v>
      </c>
      <c r="J227">
        <v>1.4159999999999999</v>
      </c>
      <c r="K227">
        <v>0.3624</v>
      </c>
      <c r="L227">
        <v>1.8854</v>
      </c>
      <c r="M227" t="s">
        <v>10</v>
      </c>
      <c r="N227" t="s">
        <v>11</v>
      </c>
      <c r="O227">
        <v>1.9430000000000001</v>
      </c>
      <c r="P227">
        <v>103.911</v>
      </c>
      <c r="Q227">
        <v>174.4682</v>
      </c>
      <c r="R227" t="s">
        <v>10</v>
      </c>
      <c r="S227" t="s">
        <v>629</v>
      </c>
      <c r="T227" s="4">
        <v>44835</v>
      </c>
      <c r="U227" s="5">
        <v>0.16653935185185184</v>
      </c>
      <c r="V227" t="s">
        <v>13</v>
      </c>
      <c r="W227">
        <v>1.1659999999999999</v>
      </c>
      <c r="X227">
        <v>3136.7156</v>
      </c>
      <c r="Y227">
        <v>127482.52899999999</v>
      </c>
      <c r="Z227" t="s">
        <v>1689</v>
      </c>
      <c r="AA227">
        <v>2.246</v>
      </c>
      <c r="AB227">
        <v>60.8142</v>
      </c>
      <c r="AC227">
        <v>5.0500000000000003E-2</v>
      </c>
      <c r="AD227" t="s">
        <v>10</v>
      </c>
    </row>
    <row r="228" spans="1:30">
      <c r="A228" s="2">
        <v>227</v>
      </c>
      <c r="B228" s="2" t="s">
        <v>192</v>
      </c>
      <c r="C228" s="2" t="s">
        <v>630</v>
      </c>
      <c r="D228" s="2">
        <v>227</v>
      </c>
      <c r="E228" s="3" t="str">
        <f>D228&amp;"g"</f>
        <v>227g</v>
      </c>
      <c r="F228" t="s">
        <v>631</v>
      </c>
      <c r="G228" s="4">
        <v>44835</v>
      </c>
      <c r="H228" s="5">
        <v>0.17028935185185187</v>
      </c>
      <c r="I228" t="s">
        <v>9</v>
      </c>
      <c r="J228">
        <v>1.413</v>
      </c>
      <c r="K228">
        <v>152.03620000000001</v>
      </c>
      <c r="L228">
        <v>657.90800000000002</v>
      </c>
      <c r="M228" t="s">
        <v>10</v>
      </c>
      <c r="N228" t="s">
        <v>11</v>
      </c>
      <c r="O228">
        <v>1.9430000000000001</v>
      </c>
      <c r="P228">
        <v>1158.6368</v>
      </c>
      <c r="Q228">
        <v>4072.4672999999998</v>
      </c>
      <c r="R228" t="s">
        <v>10</v>
      </c>
      <c r="S228" t="s">
        <v>632</v>
      </c>
      <c r="T228" s="4">
        <v>44835</v>
      </c>
      <c r="U228" s="5">
        <v>0.17028935185185187</v>
      </c>
      <c r="V228" t="s">
        <v>13</v>
      </c>
      <c r="W228">
        <v>1.17</v>
      </c>
      <c r="X228">
        <v>3518.5513999999998</v>
      </c>
      <c r="Y228">
        <v>173946.0111</v>
      </c>
      <c r="Z228" t="s">
        <v>1689</v>
      </c>
      <c r="AA228">
        <v>2.2400000000000002</v>
      </c>
      <c r="AB228">
        <v>120.3142</v>
      </c>
      <c r="AC228">
        <v>0.2944</v>
      </c>
      <c r="AD228" t="s">
        <v>10</v>
      </c>
    </row>
    <row r="229" spans="1:30">
      <c r="A229" s="2">
        <v>228</v>
      </c>
      <c r="B229" s="2" t="s">
        <v>196</v>
      </c>
      <c r="C229" s="2" t="s">
        <v>196</v>
      </c>
      <c r="D229" s="2">
        <v>228</v>
      </c>
      <c r="E229" s="2" t="s">
        <v>196</v>
      </c>
      <c r="F229" t="s">
        <v>633</v>
      </c>
      <c r="G229" s="4">
        <v>44835</v>
      </c>
      <c r="H229" s="5">
        <v>0.17403935185185185</v>
      </c>
      <c r="I229" t="s">
        <v>9</v>
      </c>
      <c r="J229">
        <v>1.413</v>
      </c>
      <c r="K229">
        <v>0.30420000000000003</v>
      </c>
      <c r="L229">
        <v>1.6336999999999999</v>
      </c>
      <c r="M229" t="s">
        <v>10</v>
      </c>
      <c r="N229" t="s">
        <v>11</v>
      </c>
      <c r="O229">
        <v>1.94</v>
      </c>
      <c r="P229">
        <v>93.293000000000006</v>
      </c>
      <c r="Q229">
        <v>135.22669999999999</v>
      </c>
      <c r="R229" t="s">
        <v>10</v>
      </c>
      <c r="S229" t="s">
        <v>634</v>
      </c>
      <c r="T229" s="4">
        <v>44835</v>
      </c>
      <c r="U229" s="5">
        <v>0.17403935185185185</v>
      </c>
      <c r="V229" t="s">
        <v>13</v>
      </c>
      <c r="W229">
        <v>1.1659999999999999</v>
      </c>
      <c r="X229">
        <v>3116.9202</v>
      </c>
      <c r="Y229">
        <v>125624.2254</v>
      </c>
      <c r="Z229" t="s">
        <v>1689</v>
      </c>
      <c r="AA229">
        <v>2.246</v>
      </c>
      <c r="AB229">
        <v>60.366799999999998</v>
      </c>
      <c r="AC229">
        <v>4.87E-2</v>
      </c>
      <c r="AD229" t="s">
        <v>10</v>
      </c>
    </row>
    <row r="230" spans="1:30">
      <c r="A230" s="2">
        <v>229</v>
      </c>
      <c r="B230" s="2" t="s">
        <v>275</v>
      </c>
      <c r="C230" s="2" t="s">
        <v>635</v>
      </c>
      <c r="D230" s="2">
        <v>229</v>
      </c>
      <c r="E230" s="3" t="str">
        <f>D230&amp;"g"</f>
        <v>229g</v>
      </c>
      <c r="F230" t="s">
        <v>636</v>
      </c>
      <c r="G230" s="4">
        <v>44835</v>
      </c>
      <c r="H230" s="5">
        <v>0.17778935185185185</v>
      </c>
      <c r="I230" t="s">
        <v>9</v>
      </c>
      <c r="J230">
        <v>1.403</v>
      </c>
      <c r="K230">
        <v>1.2986</v>
      </c>
      <c r="L230">
        <v>5.9345999999999997</v>
      </c>
      <c r="M230" t="s">
        <v>10</v>
      </c>
      <c r="N230" t="s">
        <v>11</v>
      </c>
      <c r="O230">
        <v>1.9259999999999999</v>
      </c>
      <c r="P230">
        <v>187.75319999999999</v>
      </c>
      <c r="Q230">
        <v>484.32769999999999</v>
      </c>
      <c r="R230" t="s">
        <v>10</v>
      </c>
      <c r="S230" t="s">
        <v>637</v>
      </c>
      <c r="T230" s="4">
        <v>44835</v>
      </c>
      <c r="U230" s="5">
        <v>0.17778935185185185</v>
      </c>
      <c r="V230" t="s">
        <v>13</v>
      </c>
      <c r="W230">
        <v>1.1599999999999999</v>
      </c>
      <c r="X230">
        <v>3432.1666</v>
      </c>
      <c r="Y230">
        <v>161206.08850000001</v>
      </c>
      <c r="Z230" t="s">
        <v>1689</v>
      </c>
      <c r="AA230">
        <v>2.23</v>
      </c>
      <c r="AB230">
        <v>82.385800000000003</v>
      </c>
      <c r="AC230">
        <v>0.1389</v>
      </c>
      <c r="AD230" t="s">
        <v>10</v>
      </c>
    </row>
    <row r="231" spans="1:30">
      <c r="A231" s="2">
        <v>230</v>
      </c>
      <c r="B231" s="2" t="s">
        <v>196</v>
      </c>
      <c r="C231" s="2" t="s">
        <v>196</v>
      </c>
      <c r="D231" s="2">
        <v>230</v>
      </c>
      <c r="E231" s="2" t="s">
        <v>196</v>
      </c>
      <c r="F231" t="s">
        <v>638</v>
      </c>
      <c r="G231" s="4">
        <v>44835</v>
      </c>
      <c r="H231" s="5">
        <v>0.18153935185185185</v>
      </c>
      <c r="I231" t="s">
        <v>9</v>
      </c>
      <c r="J231">
        <v>1.413</v>
      </c>
      <c r="K231">
        <v>0.40479999999999999</v>
      </c>
      <c r="L231">
        <v>2.0688</v>
      </c>
      <c r="M231" t="s">
        <v>10</v>
      </c>
      <c r="N231" t="s">
        <v>11</v>
      </c>
      <c r="O231">
        <v>1.94</v>
      </c>
      <c r="P231">
        <v>108.30540000000001</v>
      </c>
      <c r="Q231">
        <v>190.7088</v>
      </c>
      <c r="R231" t="s">
        <v>10</v>
      </c>
      <c r="S231" t="s">
        <v>639</v>
      </c>
      <c r="T231" s="4">
        <v>44835</v>
      </c>
      <c r="U231" s="5">
        <v>0.18153935185185185</v>
      </c>
      <c r="V231" t="s">
        <v>13</v>
      </c>
      <c r="W231">
        <v>1.17</v>
      </c>
      <c r="X231">
        <v>3238.1493</v>
      </c>
      <c r="Y231">
        <v>137660.69029999999</v>
      </c>
      <c r="Z231" t="s">
        <v>1689</v>
      </c>
      <c r="AA231">
        <v>2.246</v>
      </c>
      <c r="AB231">
        <v>71.057900000000004</v>
      </c>
      <c r="AC231">
        <v>9.2499999999999999E-2</v>
      </c>
      <c r="AD231" t="s">
        <v>10</v>
      </c>
    </row>
    <row r="232" spans="1:30">
      <c r="A232" s="2">
        <v>231</v>
      </c>
      <c r="B232" s="2" t="s">
        <v>275</v>
      </c>
      <c r="C232" s="2" t="s">
        <v>640</v>
      </c>
      <c r="D232" s="2">
        <v>231</v>
      </c>
      <c r="E232" s="3" t="str">
        <f>D232&amp;"g"</f>
        <v>231g</v>
      </c>
      <c r="F232" t="s">
        <v>641</v>
      </c>
      <c r="G232" s="4">
        <v>44835</v>
      </c>
      <c r="H232" s="5">
        <v>0.18530092592592592</v>
      </c>
      <c r="I232" t="s">
        <v>9</v>
      </c>
      <c r="J232">
        <v>1.4059999999999999</v>
      </c>
      <c r="K232">
        <v>1.7791999999999999</v>
      </c>
      <c r="L232">
        <v>8.0134000000000007</v>
      </c>
      <c r="M232" t="s">
        <v>10</v>
      </c>
      <c r="N232" t="s">
        <v>11</v>
      </c>
      <c r="O232">
        <v>1.94</v>
      </c>
      <c r="P232">
        <v>2101.5722000000001</v>
      </c>
      <c r="Q232">
        <v>7557.3175000000001</v>
      </c>
      <c r="R232" t="s">
        <v>10</v>
      </c>
      <c r="S232" t="s">
        <v>642</v>
      </c>
      <c r="T232" s="4">
        <v>44835</v>
      </c>
      <c r="U232" s="5">
        <v>0.18530092592592592</v>
      </c>
      <c r="V232" t="s">
        <v>13</v>
      </c>
      <c r="W232">
        <v>1.1599999999999999</v>
      </c>
      <c r="X232">
        <v>3497.0661</v>
      </c>
      <c r="Y232">
        <v>170777.38579999999</v>
      </c>
      <c r="Z232" t="s">
        <v>1689</v>
      </c>
      <c r="AA232">
        <v>2.2330000000000001</v>
      </c>
      <c r="AB232">
        <v>174.72880000000001</v>
      </c>
      <c r="AC232">
        <v>0.51739999999999997</v>
      </c>
      <c r="AD232" t="s">
        <v>10</v>
      </c>
    </row>
    <row r="233" spans="1:30">
      <c r="A233" s="2">
        <v>232</v>
      </c>
      <c r="B233" s="2" t="s">
        <v>196</v>
      </c>
      <c r="C233" s="2" t="s">
        <v>196</v>
      </c>
      <c r="D233" s="2">
        <v>232</v>
      </c>
      <c r="E233" s="2" t="s">
        <v>196</v>
      </c>
      <c r="F233" t="s">
        <v>643</v>
      </c>
      <c r="G233" s="4">
        <v>44835</v>
      </c>
      <c r="H233" s="5">
        <v>0.18905092592592596</v>
      </c>
      <c r="I233" t="s">
        <v>9</v>
      </c>
      <c r="J233">
        <v>1.41</v>
      </c>
      <c r="K233">
        <v>0.27239999999999998</v>
      </c>
      <c r="L233">
        <v>1.4961</v>
      </c>
      <c r="M233" t="s">
        <v>10</v>
      </c>
      <c r="N233" t="s">
        <v>11</v>
      </c>
      <c r="O233">
        <v>1.9359999999999999</v>
      </c>
      <c r="P233">
        <v>94.0428</v>
      </c>
      <c r="Q233">
        <v>137.99780000000001</v>
      </c>
      <c r="R233" t="s">
        <v>10</v>
      </c>
      <c r="S233" t="s">
        <v>644</v>
      </c>
      <c r="T233" s="4">
        <v>44835</v>
      </c>
      <c r="U233" s="5">
        <v>0.18905092592592596</v>
      </c>
      <c r="V233" t="s">
        <v>13</v>
      </c>
      <c r="W233">
        <v>1.1659999999999999</v>
      </c>
      <c r="X233">
        <v>3038.7707999999998</v>
      </c>
      <c r="Y233">
        <v>118582.60619999999</v>
      </c>
      <c r="Z233" t="s">
        <v>1689</v>
      </c>
      <c r="AA233">
        <v>2.2400000000000002</v>
      </c>
      <c r="AB233">
        <v>60.288200000000003</v>
      </c>
      <c r="AC233">
        <v>4.8300000000000003E-2</v>
      </c>
      <c r="AD233" t="s">
        <v>10</v>
      </c>
    </row>
    <row r="234" spans="1:30">
      <c r="A234" s="2">
        <v>233</v>
      </c>
      <c r="B234" s="2" t="s">
        <v>238</v>
      </c>
      <c r="C234" s="2" t="s">
        <v>239</v>
      </c>
      <c r="D234" s="2">
        <v>233</v>
      </c>
      <c r="E234" s="3" t="s">
        <v>645</v>
      </c>
      <c r="F234" t="s">
        <v>646</v>
      </c>
      <c r="G234" s="4">
        <v>44835</v>
      </c>
      <c r="H234" s="5">
        <v>0.19280092592592593</v>
      </c>
      <c r="I234" t="s">
        <v>9</v>
      </c>
      <c r="J234">
        <v>1.413</v>
      </c>
      <c r="K234">
        <v>0.66520000000000001</v>
      </c>
      <c r="L234">
        <v>3.1951000000000001</v>
      </c>
      <c r="M234" t="s">
        <v>10</v>
      </c>
      <c r="N234" t="s">
        <v>11</v>
      </c>
      <c r="O234">
        <v>1.9430000000000001</v>
      </c>
      <c r="P234">
        <v>165.5016</v>
      </c>
      <c r="Q234">
        <v>402.09140000000002</v>
      </c>
      <c r="R234" t="s">
        <v>10</v>
      </c>
      <c r="S234" t="s">
        <v>647</v>
      </c>
      <c r="T234" s="4">
        <v>44835</v>
      </c>
      <c r="U234" s="5">
        <v>0.19280092592592593</v>
      </c>
      <c r="V234" t="s">
        <v>13</v>
      </c>
      <c r="W234">
        <v>1.17</v>
      </c>
      <c r="X234">
        <v>3936.2907</v>
      </c>
      <c r="Y234">
        <v>235553.68210000001</v>
      </c>
      <c r="Z234" t="s">
        <v>1689</v>
      </c>
      <c r="AA234">
        <v>2.246</v>
      </c>
      <c r="AB234">
        <v>105.8147</v>
      </c>
      <c r="AC234">
        <v>0.2349</v>
      </c>
      <c r="AD234" t="s">
        <v>10</v>
      </c>
    </row>
    <row r="235" spans="1:30">
      <c r="A235" s="2">
        <v>234</v>
      </c>
      <c r="B235" s="2" t="s">
        <v>196</v>
      </c>
      <c r="C235" s="2" t="s">
        <v>196</v>
      </c>
      <c r="D235" s="2">
        <v>234</v>
      </c>
      <c r="E235" s="2" t="s">
        <v>196</v>
      </c>
      <c r="F235" t="s">
        <v>648</v>
      </c>
      <c r="G235" s="4">
        <v>44835</v>
      </c>
      <c r="H235" s="5">
        <v>0.1965625</v>
      </c>
      <c r="I235" t="s">
        <v>9</v>
      </c>
      <c r="J235">
        <v>1.403</v>
      </c>
      <c r="K235">
        <v>0.34179999999999999</v>
      </c>
      <c r="L235">
        <v>1.7963</v>
      </c>
      <c r="M235" t="s">
        <v>10</v>
      </c>
      <c r="N235" t="s">
        <v>11</v>
      </c>
      <c r="O235">
        <v>1.9259999999999999</v>
      </c>
      <c r="P235">
        <v>90.892099999999999</v>
      </c>
      <c r="Q235">
        <v>126.3536</v>
      </c>
      <c r="R235" t="s">
        <v>10</v>
      </c>
      <c r="S235" t="s">
        <v>649</v>
      </c>
      <c r="T235" s="4">
        <v>44835</v>
      </c>
      <c r="U235" s="5">
        <v>0.1965625</v>
      </c>
      <c r="V235" t="s">
        <v>13</v>
      </c>
      <c r="W235">
        <v>1.1599999999999999</v>
      </c>
      <c r="X235">
        <v>2995.8661999999999</v>
      </c>
      <c r="Y235">
        <v>114901.1685</v>
      </c>
      <c r="Z235" t="s">
        <v>1689</v>
      </c>
      <c r="AA235">
        <v>2.23</v>
      </c>
      <c r="AB235">
        <v>55.089199999999998</v>
      </c>
      <c r="AC235">
        <v>2.7E-2</v>
      </c>
      <c r="AD235" t="s">
        <v>10</v>
      </c>
    </row>
    <row r="236" spans="1:30">
      <c r="A236" s="2">
        <v>235</v>
      </c>
      <c r="B236" s="2" t="s">
        <v>351</v>
      </c>
      <c r="C236" s="2" t="s">
        <v>650</v>
      </c>
      <c r="D236" s="2">
        <v>235</v>
      </c>
      <c r="E236" s="3" t="str">
        <f>D236&amp;"g"</f>
        <v>235g</v>
      </c>
      <c r="F236" t="s">
        <v>651</v>
      </c>
      <c r="G236" s="4">
        <v>44835</v>
      </c>
      <c r="H236" s="5">
        <v>0.2003125</v>
      </c>
      <c r="I236" t="s">
        <v>9</v>
      </c>
      <c r="J236">
        <v>1.413</v>
      </c>
      <c r="K236">
        <v>0.43240000000000001</v>
      </c>
      <c r="L236">
        <v>2.1880999999999999</v>
      </c>
      <c r="M236" t="s">
        <v>10</v>
      </c>
      <c r="N236" t="s">
        <v>11</v>
      </c>
      <c r="O236">
        <v>1.9430000000000001</v>
      </c>
      <c r="P236">
        <v>201.83760000000001</v>
      </c>
      <c r="Q236">
        <v>536.38009999999997</v>
      </c>
      <c r="R236" t="s">
        <v>10</v>
      </c>
      <c r="S236" t="s">
        <v>652</v>
      </c>
      <c r="T236" s="4">
        <v>44835</v>
      </c>
      <c r="U236" s="5">
        <v>0.2003125</v>
      </c>
      <c r="V236" t="s">
        <v>13</v>
      </c>
      <c r="W236">
        <v>1.17</v>
      </c>
      <c r="X236">
        <v>3673.9126000000001</v>
      </c>
      <c r="Y236">
        <v>196858.4871</v>
      </c>
      <c r="Z236" t="s">
        <v>1689</v>
      </c>
      <c r="AA236">
        <v>2.246</v>
      </c>
      <c r="AB236">
        <v>87.660200000000003</v>
      </c>
      <c r="AC236">
        <v>0.1605</v>
      </c>
      <c r="AD236" t="s">
        <v>10</v>
      </c>
    </row>
    <row r="237" spans="1:30">
      <c r="A237" s="2">
        <v>236</v>
      </c>
      <c r="B237" s="2" t="s">
        <v>196</v>
      </c>
      <c r="C237" s="2" t="s">
        <v>196</v>
      </c>
      <c r="D237" s="2">
        <v>236</v>
      </c>
      <c r="E237" s="2" t="s">
        <v>196</v>
      </c>
      <c r="F237" t="s">
        <v>653</v>
      </c>
      <c r="G237" s="4">
        <v>44835</v>
      </c>
      <c r="H237" s="5">
        <v>0.20407407407407407</v>
      </c>
      <c r="I237" t="s">
        <v>9</v>
      </c>
      <c r="J237">
        <v>1.4059999999999999</v>
      </c>
      <c r="K237">
        <v>0.38529999999999998</v>
      </c>
      <c r="L237">
        <v>1.9843999999999999</v>
      </c>
      <c r="M237" t="s">
        <v>10</v>
      </c>
      <c r="N237" t="s">
        <v>11</v>
      </c>
      <c r="O237">
        <v>1.93</v>
      </c>
      <c r="P237">
        <v>99.991100000000003</v>
      </c>
      <c r="Q237">
        <v>159.9812</v>
      </c>
      <c r="R237" t="s">
        <v>10</v>
      </c>
      <c r="S237" t="s">
        <v>654</v>
      </c>
      <c r="T237" s="4">
        <v>44835</v>
      </c>
      <c r="U237" s="5">
        <v>0.20407407407407407</v>
      </c>
      <c r="V237" t="s">
        <v>13</v>
      </c>
      <c r="W237">
        <v>1.163</v>
      </c>
      <c r="X237">
        <v>3158.9537999999998</v>
      </c>
      <c r="Y237">
        <v>129649.6085</v>
      </c>
      <c r="Z237" t="s">
        <v>1689</v>
      </c>
      <c r="AA237">
        <v>2.2330000000000001</v>
      </c>
      <c r="AB237">
        <v>63.222200000000001</v>
      </c>
      <c r="AC237">
        <v>6.0400000000000002E-2</v>
      </c>
      <c r="AD237" t="s">
        <v>10</v>
      </c>
    </row>
    <row r="238" spans="1:30">
      <c r="A238" s="2">
        <v>237</v>
      </c>
      <c r="B238" s="2" t="s">
        <v>426</v>
      </c>
      <c r="C238" s="2" t="s">
        <v>655</v>
      </c>
      <c r="D238" s="2">
        <v>237</v>
      </c>
      <c r="E238" s="3" t="str">
        <f>D238&amp;"g"</f>
        <v>237g</v>
      </c>
      <c r="F238" t="s">
        <v>656</v>
      </c>
      <c r="G238" s="4">
        <v>44835</v>
      </c>
      <c r="H238" s="5">
        <v>0.20782407407407408</v>
      </c>
      <c r="I238" t="s">
        <v>9</v>
      </c>
      <c r="J238">
        <v>1.4</v>
      </c>
      <c r="K238">
        <v>0.52159999999999995</v>
      </c>
      <c r="L238">
        <v>2.5739999999999998</v>
      </c>
      <c r="M238" t="s">
        <v>10</v>
      </c>
      <c r="N238" t="s">
        <v>11</v>
      </c>
      <c r="O238">
        <v>1.9259999999999999</v>
      </c>
      <c r="P238">
        <v>323.10379999999998</v>
      </c>
      <c r="Q238">
        <v>984.54920000000004</v>
      </c>
      <c r="R238" t="s">
        <v>10</v>
      </c>
      <c r="S238" t="s">
        <v>657</v>
      </c>
      <c r="T238" s="4">
        <v>44835</v>
      </c>
      <c r="U238" s="5">
        <v>0.20782407407407408</v>
      </c>
      <c r="V238" t="s">
        <v>13</v>
      </c>
      <c r="W238">
        <v>1.1599999999999999</v>
      </c>
      <c r="X238">
        <v>3443.5945000000002</v>
      </c>
      <c r="Y238">
        <v>162891.46090000001</v>
      </c>
      <c r="Z238" t="s">
        <v>1689</v>
      </c>
      <c r="AA238">
        <v>2.23</v>
      </c>
      <c r="AB238">
        <v>90.157700000000006</v>
      </c>
      <c r="AC238">
        <v>0.17080000000000001</v>
      </c>
      <c r="AD238" t="s">
        <v>10</v>
      </c>
    </row>
    <row r="239" spans="1:30">
      <c r="A239" s="2">
        <v>238</v>
      </c>
      <c r="B239" s="2" t="s">
        <v>196</v>
      </c>
      <c r="C239" s="2" t="s">
        <v>196</v>
      </c>
      <c r="D239" s="2">
        <v>238</v>
      </c>
      <c r="E239" s="2" t="s">
        <v>196</v>
      </c>
      <c r="F239" t="s">
        <v>658</v>
      </c>
      <c r="G239" s="4">
        <v>44835</v>
      </c>
      <c r="H239" s="5">
        <v>0.21157407407407405</v>
      </c>
      <c r="I239" t="s">
        <v>9</v>
      </c>
      <c r="J239">
        <v>1.403</v>
      </c>
      <c r="K239">
        <v>0.32619999999999999</v>
      </c>
      <c r="L239">
        <v>1.7287999999999999</v>
      </c>
      <c r="M239" t="s">
        <v>10</v>
      </c>
      <c r="N239" t="s">
        <v>11</v>
      </c>
      <c r="O239">
        <v>1.9259999999999999</v>
      </c>
      <c r="P239">
        <v>89.845799999999997</v>
      </c>
      <c r="Q239">
        <v>122.4868</v>
      </c>
      <c r="R239" t="s">
        <v>10</v>
      </c>
      <c r="S239" t="s">
        <v>659</v>
      </c>
      <c r="T239" s="4">
        <v>44835</v>
      </c>
      <c r="U239" s="5">
        <v>0.21157407407407405</v>
      </c>
      <c r="V239" t="s">
        <v>13</v>
      </c>
      <c r="W239">
        <v>1.1559999999999999</v>
      </c>
      <c r="X239">
        <v>3025.0239000000001</v>
      </c>
      <c r="Y239">
        <v>117403.05070000001</v>
      </c>
      <c r="Z239" t="s">
        <v>1689</v>
      </c>
      <c r="AA239">
        <v>2.2330000000000001</v>
      </c>
      <c r="AB239">
        <v>57.88</v>
      </c>
      <c r="AC239">
        <v>3.85E-2</v>
      </c>
      <c r="AD239" t="s">
        <v>10</v>
      </c>
    </row>
    <row r="240" spans="1:30">
      <c r="A240" s="2">
        <v>239</v>
      </c>
      <c r="B240" s="2" t="s">
        <v>426</v>
      </c>
      <c r="C240" s="2" t="s">
        <v>660</v>
      </c>
      <c r="D240" s="2">
        <v>239</v>
      </c>
      <c r="E240" s="3" t="str">
        <f>D240&amp;"g"</f>
        <v>239g</v>
      </c>
      <c r="F240" t="s">
        <v>661</v>
      </c>
      <c r="G240" s="4">
        <v>44835</v>
      </c>
      <c r="H240" s="5">
        <v>0.21532407407407406</v>
      </c>
      <c r="I240" t="s">
        <v>9</v>
      </c>
      <c r="J240">
        <v>1.413</v>
      </c>
      <c r="K240">
        <v>1.3575999999999999</v>
      </c>
      <c r="L240">
        <v>6.1898</v>
      </c>
      <c r="M240" t="s">
        <v>10</v>
      </c>
      <c r="N240" t="s">
        <v>11</v>
      </c>
      <c r="O240">
        <v>1.94</v>
      </c>
      <c r="P240">
        <v>189.72049999999999</v>
      </c>
      <c r="Q240">
        <v>491.59829999999999</v>
      </c>
      <c r="R240" t="s">
        <v>10</v>
      </c>
      <c r="S240" t="s">
        <v>662</v>
      </c>
      <c r="T240" s="4">
        <v>44835</v>
      </c>
      <c r="U240" s="5">
        <v>0.21532407407407406</v>
      </c>
      <c r="V240" t="s">
        <v>13</v>
      </c>
      <c r="W240">
        <v>1.17</v>
      </c>
      <c r="X240">
        <v>3646.8723</v>
      </c>
      <c r="Y240">
        <v>192870.61739999999</v>
      </c>
      <c r="Z240" t="s">
        <v>1689</v>
      </c>
      <c r="AA240">
        <v>2.2400000000000002</v>
      </c>
      <c r="AB240">
        <v>87.571899999999999</v>
      </c>
      <c r="AC240">
        <v>0.16020000000000001</v>
      </c>
      <c r="AD240" t="s">
        <v>10</v>
      </c>
    </row>
    <row r="241" spans="1:30">
      <c r="A241" s="2">
        <v>240</v>
      </c>
      <c r="B241" s="2" t="s">
        <v>196</v>
      </c>
      <c r="C241" s="2" t="s">
        <v>196</v>
      </c>
      <c r="D241" s="2">
        <v>240</v>
      </c>
      <c r="E241" s="2" t="s">
        <v>196</v>
      </c>
      <c r="F241" t="s">
        <v>663</v>
      </c>
      <c r="G241" s="4">
        <v>44835</v>
      </c>
      <c r="H241" s="5">
        <v>0.21907407407407409</v>
      </c>
      <c r="I241" t="s">
        <v>9</v>
      </c>
      <c r="J241">
        <v>1.41</v>
      </c>
      <c r="K241">
        <v>0.3448</v>
      </c>
      <c r="L241">
        <v>1.8092999999999999</v>
      </c>
      <c r="M241" t="s">
        <v>10</v>
      </c>
      <c r="N241" t="s">
        <v>11</v>
      </c>
      <c r="O241">
        <v>1.9330000000000001</v>
      </c>
      <c r="P241">
        <v>96.302599999999998</v>
      </c>
      <c r="Q241">
        <v>146.34950000000001</v>
      </c>
      <c r="R241" t="s">
        <v>10</v>
      </c>
      <c r="S241" t="s">
        <v>664</v>
      </c>
      <c r="T241" s="4">
        <v>44835</v>
      </c>
      <c r="U241" s="5">
        <v>0.21907407407407409</v>
      </c>
      <c r="V241" t="s">
        <v>13</v>
      </c>
      <c r="W241">
        <v>1.1659999999999999</v>
      </c>
      <c r="X241">
        <v>3076.3136</v>
      </c>
      <c r="Y241">
        <v>121918.5903</v>
      </c>
      <c r="Z241" t="s">
        <v>1689</v>
      </c>
      <c r="AA241">
        <v>2.2360000000000002</v>
      </c>
      <c r="AB241">
        <v>60.948399999999999</v>
      </c>
      <c r="AC241">
        <v>5.0999999999999997E-2</v>
      </c>
      <c r="AD241" t="s">
        <v>10</v>
      </c>
    </row>
    <row r="242" spans="1:30">
      <c r="A242" s="2">
        <v>241</v>
      </c>
      <c r="B242" s="2" t="s">
        <v>522</v>
      </c>
      <c r="C242" s="2" t="s">
        <v>665</v>
      </c>
      <c r="D242" s="2">
        <v>241</v>
      </c>
      <c r="E242" s="3" t="str">
        <f>D242&amp;"g"</f>
        <v>241g</v>
      </c>
      <c r="F242" t="s">
        <v>666</v>
      </c>
      <c r="G242" s="4">
        <v>44835</v>
      </c>
      <c r="H242" s="5">
        <v>0.22282407407407409</v>
      </c>
      <c r="I242" t="s">
        <v>9</v>
      </c>
      <c r="J242">
        <v>1.403</v>
      </c>
      <c r="K242">
        <v>7.1547999999999998</v>
      </c>
      <c r="L242">
        <v>31.263999999999999</v>
      </c>
      <c r="M242" t="s">
        <v>10</v>
      </c>
      <c r="N242" t="s">
        <v>11</v>
      </c>
      <c r="O242">
        <v>1.9259999999999999</v>
      </c>
      <c r="P242">
        <v>524.31899999999996</v>
      </c>
      <c r="Q242">
        <v>1728.1895999999999</v>
      </c>
      <c r="R242" t="s">
        <v>10</v>
      </c>
      <c r="S242" t="s">
        <v>667</v>
      </c>
      <c r="T242" s="4">
        <v>44835</v>
      </c>
      <c r="U242" s="5">
        <v>0.22282407407407409</v>
      </c>
      <c r="V242" t="s">
        <v>13</v>
      </c>
      <c r="W242">
        <v>1.1599999999999999</v>
      </c>
      <c r="X242">
        <v>3510.2222000000002</v>
      </c>
      <c r="Y242">
        <v>172717.63099999999</v>
      </c>
      <c r="Z242" t="s">
        <v>1689</v>
      </c>
      <c r="AA242">
        <v>2.226</v>
      </c>
      <c r="AB242">
        <v>99.9238</v>
      </c>
      <c r="AC242">
        <v>0.21079999999999999</v>
      </c>
      <c r="AD242" t="s">
        <v>10</v>
      </c>
    </row>
    <row r="243" spans="1:30">
      <c r="A243" s="2">
        <v>242</v>
      </c>
      <c r="B243" s="2" t="s">
        <v>196</v>
      </c>
      <c r="C243" s="2" t="s">
        <v>196</v>
      </c>
      <c r="D243" s="2">
        <v>242</v>
      </c>
      <c r="E243" s="2" t="s">
        <v>196</v>
      </c>
      <c r="F243" t="s">
        <v>668</v>
      </c>
      <c r="G243" s="4">
        <v>44835</v>
      </c>
      <c r="H243" s="5">
        <v>0.22657407407407407</v>
      </c>
      <c r="I243" t="s">
        <v>9</v>
      </c>
      <c r="J243">
        <v>1.413</v>
      </c>
      <c r="K243">
        <v>0.32040000000000002</v>
      </c>
      <c r="L243">
        <v>1.7037</v>
      </c>
      <c r="M243" t="s">
        <v>10</v>
      </c>
      <c r="N243" t="s">
        <v>11</v>
      </c>
      <c r="O243">
        <v>1.9359999999999999</v>
      </c>
      <c r="P243">
        <v>94.071399999999997</v>
      </c>
      <c r="Q243">
        <v>138.1035</v>
      </c>
      <c r="R243" t="s">
        <v>10</v>
      </c>
      <c r="S243" t="s">
        <v>669</v>
      </c>
      <c r="T243" s="4">
        <v>44835</v>
      </c>
      <c r="U243" s="5">
        <v>0.22657407407407407</v>
      </c>
      <c r="V243" t="s">
        <v>13</v>
      </c>
      <c r="W243">
        <v>1.1659999999999999</v>
      </c>
      <c r="X243">
        <v>3116.6214</v>
      </c>
      <c r="Y243">
        <v>125596.9578</v>
      </c>
      <c r="Z243" t="s">
        <v>1689</v>
      </c>
      <c r="AA243">
        <v>2.2400000000000002</v>
      </c>
      <c r="AB243">
        <v>59.892400000000002</v>
      </c>
      <c r="AC243">
        <v>4.6699999999999998E-2</v>
      </c>
      <c r="AD243" t="s">
        <v>10</v>
      </c>
    </row>
    <row r="244" spans="1:30">
      <c r="A244" s="2">
        <v>243</v>
      </c>
      <c r="B244" s="2" t="s">
        <v>559</v>
      </c>
      <c r="C244" s="2" t="s">
        <v>670</v>
      </c>
      <c r="D244" s="2">
        <v>243</v>
      </c>
      <c r="E244" s="3" t="str">
        <f>D244&amp;"g"</f>
        <v>243g</v>
      </c>
      <c r="F244" t="s">
        <v>671</v>
      </c>
      <c r="G244" s="4">
        <v>44835</v>
      </c>
      <c r="H244" s="5">
        <v>0.23033564814814814</v>
      </c>
      <c r="I244" t="s">
        <v>9</v>
      </c>
      <c r="J244">
        <v>1.4059999999999999</v>
      </c>
      <c r="K244">
        <v>0.88139999999999996</v>
      </c>
      <c r="L244">
        <v>4.1302000000000003</v>
      </c>
      <c r="M244" t="s">
        <v>10</v>
      </c>
      <c r="N244" t="s">
        <v>11</v>
      </c>
      <c r="O244">
        <v>1.9330000000000001</v>
      </c>
      <c r="P244">
        <v>1217.2526</v>
      </c>
      <c r="Q244">
        <v>4289.0964000000004</v>
      </c>
      <c r="R244" t="s">
        <v>10</v>
      </c>
      <c r="S244" t="s">
        <v>672</v>
      </c>
      <c r="T244" s="4">
        <v>44835</v>
      </c>
      <c r="U244" s="5">
        <v>0.23033564814814814</v>
      </c>
      <c r="V244" t="s">
        <v>13</v>
      </c>
      <c r="W244">
        <v>1.163</v>
      </c>
      <c r="X244">
        <v>3536.8654999999999</v>
      </c>
      <c r="Y244">
        <v>176646.95170000001</v>
      </c>
      <c r="Z244" t="s">
        <v>1689</v>
      </c>
      <c r="AA244">
        <v>2.226</v>
      </c>
      <c r="AB244">
        <v>122.096</v>
      </c>
      <c r="AC244">
        <v>0.30170000000000002</v>
      </c>
      <c r="AD244" t="s">
        <v>10</v>
      </c>
    </row>
    <row r="245" spans="1:30">
      <c r="A245" s="2">
        <v>244</v>
      </c>
      <c r="B245" s="2" t="s">
        <v>196</v>
      </c>
      <c r="C245" s="2" t="s">
        <v>196</v>
      </c>
      <c r="D245" s="2">
        <v>244</v>
      </c>
      <c r="E245" s="2" t="s">
        <v>196</v>
      </c>
      <c r="F245" t="s">
        <v>673</v>
      </c>
      <c r="G245" s="4">
        <v>44835</v>
      </c>
      <c r="H245" s="5">
        <v>0.23408564814814814</v>
      </c>
      <c r="I245" t="s">
        <v>9</v>
      </c>
      <c r="J245">
        <v>1.403</v>
      </c>
      <c r="K245">
        <v>0.32</v>
      </c>
      <c r="L245">
        <v>1.702</v>
      </c>
      <c r="M245" t="s">
        <v>10</v>
      </c>
      <c r="N245" t="s">
        <v>11</v>
      </c>
      <c r="O245">
        <v>1.93</v>
      </c>
      <c r="P245">
        <v>97.825199999999995</v>
      </c>
      <c r="Q245">
        <v>151.97659999999999</v>
      </c>
      <c r="R245" t="s">
        <v>10</v>
      </c>
      <c r="S245" t="s">
        <v>674</v>
      </c>
      <c r="T245" s="4">
        <v>44835</v>
      </c>
      <c r="U245" s="5">
        <v>0.23408564814814814</v>
      </c>
      <c r="V245" t="s">
        <v>13</v>
      </c>
      <c r="W245">
        <v>1.163</v>
      </c>
      <c r="X245">
        <v>3081.7127</v>
      </c>
      <c r="Y245">
        <v>122411.29580000001</v>
      </c>
      <c r="Z245" t="s">
        <v>1689</v>
      </c>
      <c r="AA245">
        <v>2.23</v>
      </c>
      <c r="AB245">
        <v>61.448399999999999</v>
      </c>
      <c r="AC245">
        <v>5.3100000000000001E-2</v>
      </c>
      <c r="AD245" t="s">
        <v>10</v>
      </c>
    </row>
    <row r="246" spans="1:30">
      <c r="A246" s="2">
        <v>245</v>
      </c>
      <c r="B246" s="3" t="s">
        <v>5</v>
      </c>
      <c r="C246" s="2" t="s">
        <v>6</v>
      </c>
      <c r="D246" s="2">
        <v>245</v>
      </c>
      <c r="E246" s="2" t="s">
        <v>675</v>
      </c>
      <c r="F246" t="s">
        <v>676</v>
      </c>
      <c r="G246" s="4">
        <v>44835</v>
      </c>
      <c r="H246" s="5">
        <v>0.23784722222222221</v>
      </c>
      <c r="I246" t="s">
        <v>9</v>
      </c>
      <c r="J246">
        <v>1.403</v>
      </c>
      <c r="K246">
        <v>0.33360000000000001</v>
      </c>
      <c r="L246">
        <v>1.7607999999999999</v>
      </c>
      <c r="M246" t="s">
        <v>10</v>
      </c>
      <c r="N246" t="s">
        <v>11</v>
      </c>
      <c r="O246">
        <v>1.9259999999999999</v>
      </c>
      <c r="P246">
        <v>97.990700000000004</v>
      </c>
      <c r="Q246">
        <v>152.5883</v>
      </c>
      <c r="R246" t="s">
        <v>10</v>
      </c>
      <c r="S246" t="s">
        <v>677</v>
      </c>
      <c r="T246" s="4">
        <v>44835</v>
      </c>
      <c r="U246" s="5">
        <v>0.23784722222222221</v>
      </c>
      <c r="V246" t="s">
        <v>13</v>
      </c>
      <c r="W246">
        <v>1.1599999999999999</v>
      </c>
      <c r="X246">
        <v>3119.9901</v>
      </c>
      <c r="Y246">
        <v>125904.3751</v>
      </c>
      <c r="Z246" t="s">
        <v>1689</v>
      </c>
      <c r="AA246">
        <v>2.23</v>
      </c>
      <c r="AB246">
        <v>65.129099999999994</v>
      </c>
      <c r="AC246">
        <v>6.8199999999999997E-2</v>
      </c>
      <c r="AD246" t="s">
        <v>10</v>
      </c>
    </row>
    <row r="247" spans="1:30">
      <c r="A247" s="2">
        <v>246</v>
      </c>
      <c r="B247" s="2" t="s">
        <v>196</v>
      </c>
      <c r="C247" s="2" t="s">
        <v>196</v>
      </c>
      <c r="D247" s="2">
        <v>246</v>
      </c>
      <c r="E247" s="2" t="s">
        <v>678</v>
      </c>
      <c r="F247" t="s">
        <v>679</v>
      </c>
      <c r="G247" s="4">
        <v>44835</v>
      </c>
      <c r="H247" s="5">
        <v>0.24159722222222224</v>
      </c>
      <c r="I247" t="s">
        <v>9</v>
      </c>
      <c r="J247">
        <v>1.403</v>
      </c>
      <c r="K247">
        <v>0.32600000000000001</v>
      </c>
      <c r="L247">
        <v>1.7279</v>
      </c>
      <c r="M247" t="s">
        <v>10</v>
      </c>
      <c r="N247" t="s">
        <v>11</v>
      </c>
      <c r="O247">
        <v>1.9259999999999999</v>
      </c>
      <c r="P247">
        <v>96.201400000000007</v>
      </c>
      <c r="Q247">
        <v>145.97550000000001</v>
      </c>
      <c r="R247" t="s">
        <v>10</v>
      </c>
      <c r="S247" t="s">
        <v>680</v>
      </c>
      <c r="T247" s="4">
        <v>44835</v>
      </c>
      <c r="U247" s="5">
        <v>0.24159722222222224</v>
      </c>
      <c r="V247" t="s">
        <v>13</v>
      </c>
      <c r="W247">
        <v>1.1599999999999999</v>
      </c>
      <c r="X247">
        <v>3082.1822000000002</v>
      </c>
      <c r="Y247">
        <v>122454.1409</v>
      </c>
      <c r="Z247" t="s">
        <v>1689</v>
      </c>
      <c r="AA247">
        <v>2.2330000000000001</v>
      </c>
      <c r="AB247">
        <v>62.157400000000003</v>
      </c>
      <c r="AC247">
        <v>5.6000000000000001E-2</v>
      </c>
      <c r="AD247" t="s">
        <v>10</v>
      </c>
    </row>
    <row r="248" spans="1:30">
      <c r="A248" s="2">
        <v>247</v>
      </c>
      <c r="B248" s="3" t="s">
        <v>41</v>
      </c>
      <c r="C248" s="2" t="s">
        <v>6</v>
      </c>
      <c r="D248" s="2">
        <v>247</v>
      </c>
      <c r="E248" s="2" t="s">
        <v>681</v>
      </c>
      <c r="F248" t="s">
        <v>682</v>
      </c>
      <c r="G248" s="4">
        <v>44835</v>
      </c>
      <c r="H248" s="5">
        <v>0.24535879629629631</v>
      </c>
      <c r="I248" t="s">
        <v>9</v>
      </c>
      <c r="J248">
        <v>0</v>
      </c>
      <c r="K248">
        <v>0</v>
      </c>
      <c r="L248">
        <v>0</v>
      </c>
      <c r="M248" t="s">
        <v>10</v>
      </c>
      <c r="N248" t="s">
        <v>11</v>
      </c>
      <c r="O248">
        <v>1.9259999999999999</v>
      </c>
      <c r="P248">
        <v>50.495100000000001</v>
      </c>
      <c r="Q248">
        <v>0</v>
      </c>
      <c r="R248" t="s">
        <v>10</v>
      </c>
      <c r="S248" t="s">
        <v>683</v>
      </c>
      <c r="T248" s="4">
        <v>44835</v>
      </c>
      <c r="U248" s="5">
        <v>0.24535879629629631</v>
      </c>
      <c r="V248" t="s">
        <v>13</v>
      </c>
      <c r="W248">
        <v>1.1559999999999999</v>
      </c>
      <c r="X248">
        <v>1221.3876</v>
      </c>
      <c r="Y248">
        <v>11851.144200000001</v>
      </c>
      <c r="Z248" t="s">
        <v>1689</v>
      </c>
      <c r="AA248">
        <v>2.2330000000000001</v>
      </c>
      <c r="AB248">
        <v>20.720199999999998</v>
      </c>
      <c r="AC248">
        <v>0</v>
      </c>
      <c r="AD248" t="s">
        <v>10</v>
      </c>
    </row>
    <row r="249" spans="1:30">
      <c r="A249" s="2">
        <v>248</v>
      </c>
      <c r="B249" s="3" t="s">
        <v>5</v>
      </c>
      <c r="C249" s="2" t="s">
        <v>6</v>
      </c>
      <c r="D249" s="2">
        <v>248</v>
      </c>
      <c r="E249" s="2" t="s">
        <v>684</v>
      </c>
      <c r="F249" t="s">
        <v>685</v>
      </c>
      <c r="G249" s="4">
        <v>44835</v>
      </c>
      <c r="H249" s="5">
        <v>0.24912037037037038</v>
      </c>
      <c r="I249" t="s">
        <v>9</v>
      </c>
      <c r="J249">
        <v>1.41</v>
      </c>
      <c r="K249">
        <v>0.28160000000000002</v>
      </c>
      <c r="L249">
        <v>1.5359</v>
      </c>
      <c r="M249" t="s">
        <v>10</v>
      </c>
      <c r="N249" t="s">
        <v>11</v>
      </c>
      <c r="O249">
        <v>1.9359999999999999</v>
      </c>
      <c r="P249">
        <v>86.5304</v>
      </c>
      <c r="Q249">
        <v>110.23390000000001</v>
      </c>
      <c r="R249" t="s">
        <v>10</v>
      </c>
      <c r="S249" t="s">
        <v>686</v>
      </c>
      <c r="T249" s="4">
        <v>44835</v>
      </c>
      <c r="U249" s="5">
        <v>0.24912037037037038</v>
      </c>
      <c r="V249" t="s">
        <v>13</v>
      </c>
      <c r="W249">
        <v>1.1659999999999999</v>
      </c>
      <c r="X249">
        <v>3036.54</v>
      </c>
      <c r="Y249">
        <v>118391.19190000001</v>
      </c>
      <c r="Z249" t="s">
        <v>1689</v>
      </c>
      <c r="AA249">
        <v>2.2400000000000002</v>
      </c>
      <c r="AB249">
        <v>54.932600000000001</v>
      </c>
      <c r="AC249">
        <v>2.64E-2</v>
      </c>
      <c r="AD249" t="s">
        <v>10</v>
      </c>
    </row>
    <row r="250" spans="1:30">
      <c r="A250" s="2">
        <v>249</v>
      </c>
      <c r="B250" s="3" t="s">
        <v>48</v>
      </c>
      <c r="C250" s="2" t="s">
        <v>6</v>
      </c>
      <c r="D250" s="2">
        <v>249</v>
      </c>
      <c r="E250" s="2" t="s">
        <v>687</v>
      </c>
      <c r="F250" t="s">
        <v>688</v>
      </c>
      <c r="G250" s="4">
        <v>44835</v>
      </c>
      <c r="H250" s="5">
        <v>0.25288194444444445</v>
      </c>
      <c r="I250" t="s">
        <v>9</v>
      </c>
      <c r="J250">
        <v>1.403</v>
      </c>
      <c r="K250">
        <v>0.24460000000000001</v>
      </c>
      <c r="L250">
        <v>1.3758999999999999</v>
      </c>
      <c r="M250" t="s">
        <v>10</v>
      </c>
      <c r="N250" t="s">
        <v>11</v>
      </c>
      <c r="O250">
        <v>1.9259999999999999</v>
      </c>
      <c r="P250">
        <v>90.235799999999998</v>
      </c>
      <c r="Q250">
        <v>123.9281</v>
      </c>
      <c r="R250" t="s">
        <v>10</v>
      </c>
      <c r="S250" t="s">
        <v>689</v>
      </c>
      <c r="T250" s="4">
        <v>44835</v>
      </c>
      <c r="U250" s="5">
        <v>0.25288194444444445</v>
      </c>
      <c r="V250" t="s">
        <v>13</v>
      </c>
      <c r="W250">
        <v>1.1599999999999999</v>
      </c>
      <c r="X250">
        <v>3402.5841999999998</v>
      </c>
      <c r="Y250">
        <v>157137.26319999999</v>
      </c>
      <c r="Z250" t="s">
        <v>1689</v>
      </c>
      <c r="AA250">
        <v>2.226</v>
      </c>
      <c r="AB250">
        <v>64.072800000000001</v>
      </c>
      <c r="AC250">
        <v>6.3899999999999998E-2</v>
      </c>
      <c r="AD250" t="s">
        <v>10</v>
      </c>
    </row>
    <row r="251" spans="1:30">
      <c r="A251" s="2">
        <v>250</v>
      </c>
      <c r="B251" s="3" t="s">
        <v>5</v>
      </c>
      <c r="C251" s="2" t="s">
        <v>6</v>
      </c>
      <c r="D251" s="2">
        <v>250</v>
      </c>
      <c r="E251" s="2" t="s">
        <v>690</v>
      </c>
      <c r="F251" t="s">
        <v>691</v>
      </c>
      <c r="G251" s="4">
        <v>44835</v>
      </c>
      <c r="H251" s="5">
        <v>0.25663194444444443</v>
      </c>
      <c r="I251" t="s">
        <v>9</v>
      </c>
      <c r="J251">
        <v>1.4</v>
      </c>
      <c r="K251">
        <v>0.3841</v>
      </c>
      <c r="L251">
        <v>1.9792000000000001</v>
      </c>
      <c r="M251" t="s">
        <v>10</v>
      </c>
      <c r="N251" t="s">
        <v>11</v>
      </c>
      <c r="O251">
        <v>1.923</v>
      </c>
      <c r="P251">
        <v>102.1437</v>
      </c>
      <c r="Q251">
        <v>167.9367</v>
      </c>
      <c r="R251" t="s">
        <v>10</v>
      </c>
      <c r="S251" t="s">
        <v>692</v>
      </c>
      <c r="T251" s="4">
        <v>44835</v>
      </c>
      <c r="U251" s="5">
        <v>0.25663194444444443</v>
      </c>
      <c r="V251" t="s">
        <v>13</v>
      </c>
      <c r="W251">
        <v>1.1599999999999999</v>
      </c>
      <c r="X251">
        <v>3182.0819000000001</v>
      </c>
      <c r="Y251">
        <v>131903.4075</v>
      </c>
      <c r="Z251" t="s">
        <v>1689</v>
      </c>
      <c r="AA251">
        <v>2.226</v>
      </c>
      <c r="AB251">
        <v>65.806200000000004</v>
      </c>
      <c r="AC251">
        <v>7.0999999999999994E-2</v>
      </c>
      <c r="AD251" t="s">
        <v>10</v>
      </c>
    </row>
    <row r="252" spans="1:30">
      <c r="A252" s="2">
        <v>251</v>
      </c>
      <c r="B252" s="3" t="s">
        <v>55</v>
      </c>
      <c r="C252" s="2" t="s">
        <v>6</v>
      </c>
      <c r="D252" s="2">
        <v>251</v>
      </c>
      <c r="E252" s="2" t="s">
        <v>693</v>
      </c>
      <c r="F252" t="s">
        <v>694</v>
      </c>
      <c r="G252" s="4">
        <v>44835</v>
      </c>
      <c r="H252" s="5">
        <v>0.26038194444444446</v>
      </c>
      <c r="I252" t="s">
        <v>9</v>
      </c>
      <c r="J252">
        <v>1.403</v>
      </c>
      <c r="K252">
        <v>0.6472</v>
      </c>
      <c r="L252">
        <v>3.1172</v>
      </c>
      <c r="M252" t="s">
        <v>10</v>
      </c>
      <c r="N252" t="s">
        <v>11</v>
      </c>
      <c r="O252">
        <v>1.9259999999999999</v>
      </c>
      <c r="P252">
        <v>164.1139</v>
      </c>
      <c r="Q252">
        <v>396.96280000000002</v>
      </c>
      <c r="R252" t="s">
        <v>10</v>
      </c>
      <c r="S252" t="s">
        <v>695</v>
      </c>
      <c r="T252" s="4">
        <v>44835</v>
      </c>
      <c r="U252" s="5">
        <v>0.26038194444444446</v>
      </c>
      <c r="V252" t="s">
        <v>13</v>
      </c>
      <c r="W252">
        <v>1.163</v>
      </c>
      <c r="X252">
        <v>3833.5668999999998</v>
      </c>
      <c r="Y252">
        <v>220404.1042</v>
      </c>
      <c r="Z252" t="s">
        <v>1689</v>
      </c>
      <c r="AA252">
        <v>2.226</v>
      </c>
      <c r="AB252">
        <v>105.3364</v>
      </c>
      <c r="AC252">
        <v>0.23300000000000001</v>
      </c>
      <c r="AD252" t="s">
        <v>10</v>
      </c>
    </row>
    <row r="253" spans="1:30">
      <c r="A253" s="2">
        <v>252</v>
      </c>
      <c r="B253" s="3" t="s">
        <v>5</v>
      </c>
      <c r="C253" s="2" t="s">
        <v>6</v>
      </c>
      <c r="D253" s="2">
        <v>252</v>
      </c>
      <c r="E253" s="2" t="s">
        <v>696</v>
      </c>
      <c r="F253" t="s">
        <v>697</v>
      </c>
      <c r="G253" s="4">
        <v>44835</v>
      </c>
      <c r="H253" s="5">
        <v>0.26413194444444443</v>
      </c>
      <c r="I253" t="s">
        <v>9</v>
      </c>
      <c r="J253">
        <v>1.403</v>
      </c>
      <c r="K253">
        <v>0.29520000000000002</v>
      </c>
      <c r="L253">
        <v>1.5947</v>
      </c>
      <c r="M253" t="s">
        <v>10</v>
      </c>
      <c r="N253" t="s">
        <v>11</v>
      </c>
      <c r="O253">
        <v>1.923</v>
      </c>
      <c r="P253">
        <v>92.212800000000001</v>
      </c>
      <c r="Q253">
        <v>131.2346</v>
      </c>
      <c r="R253" t="s">
        <v>10</v>
      </c>
      <c r="S253" t="s">
        <v>698</v>
      </c>
      <c r="T253" s="4">
        <v>44835</v>
      </c>
      <c r="U253" s="5">
        <v>0.26413194444444443</v>
      </c>
      <c r="V253" t="s">
        <v>13</v>
      </c>
      <c r="W253">
        <v>1.1599999999999999</v>
      </c>
      <c r="X253">
        <v>3020.3643999999999</v>
      </c>
      <c r="Y253">
        <v>117003.2414</v>
      </c>
      <c r="Z253" t="s">
        <v>1689</v>
      </c>
      <c r="AA253">
        <v>2.226</v>
      </c>
      <c r="AB253">
        <v>58.524799999999999</v>
      </c>
      <c r="AC253">
        <v>4.1099999999999998E-2</v>
      </c>
      <c r="AD253" t="s">
        <v>10</v>
      </c>
    </row>
    <row r="254" spans="1:30">
      <c r="A254" s="2">
        <v>253</v>
      </c>
      <c r="B254" s="3" t="s">
        <v>62</v>
      </c>
      <c r="C254" s="2" t="s">
        <v>6</v>
      </c>
      <c r="D254" s="2">
        <v>253</v>
      </c>
      <c r="E254" s="2" t="s">
        <v>699</v>
      </c>
      <c r="F254" t="s">
        <v>700</v>
      </c>
      <c r="G254" s="4">
        <v>44835</v>
      </c>
      <c r="H254" s="5">
        <v>0.26788194444444441</v>
      </c>
      <c r="I254" t="s">
        <v>9</v>
      </c>
      <c r="J254">
        <v>1.4059999999999999</v>
      </c>
      <c r="K254">
        <v>4.7290999999999999</v>
      </c>
      <c r="L254">
        <v>20.772300000000001</v>
      </c>
      <c r="M254" t="s">
        <v>10</v>
      </c>
      <c r="N254" t="s">
        <v>11</v>
      </c>
      <c r="O254">
        <v>1.93</v>
      </c>
      <c r="P254">
        <v>603.43399999999997</v>
      </c>
      <c r="Q254">
        <v>2020.5785000000001</v>
      </c>
      <c r="R254" t="s">
        <v>10</v>
      </c>
      <c r="S254" t="s">
        <v>701</v>
      </c>
      <c r="T254" s="4">
        <v>44835</v>
      </c>
      <c r="U254" s="5">
        <v>0.26788194444444441</v>
      </c>
      <c r="V254" t="s">
        <v>13</v>
      </c>
      <c r="W254">
        <v>1.1599999999999999</v>
      </c>
      <c r="X254">
        <v>3536.6862000000001</v>
      </c>
      <c r="Y254">
        <v>176620.50880000001</v>
      </c>
      <c r="Z254" t="s">
        <v>1689</v>
      </c>
      <c r="AA254">
        <v>2.23</v>
      </c>
      <c r="AB254">
        <v>154.37979999999999</v>
      </c>
      <c r="AC254">
        <v>0.434</v>
      </c>
      <c r="AD254" t="s">
        <v>10</v>
      </c>
    </row>
    <row r="255" spans="1:30">
      <c r="A255" s="2">
        <v>254</v>
      </c>
      <c r="B255" s="3" t="s">
        <v>5</v>
      </c>
      <c r="C255" s="2" t="s">
        <v>6</v>
      </c>
      <c r="D255" s="2">
        <v>254</v>
      </c>
      <c r="E255" s="2" t="s">
        <v>702</v>
      </c>
      <c r="F255" t="s">
        <v>703</v>
      </c>
      <c r="G255" s="4">
        <v>44835</v>
      </c>
      <c r="H255" s="5">
        <v>0.27164351851851853</v>
      </c>
      <c r="I255" t="s">
        <v>9</v>
      </c>
      <c r="J255">
        <v>1.413</v>
      </c>
      <c r="K255">
        <v>0.33300000000000002</v>
      </c>
      <c r="L255">
        <v>1.7582</v>
      </c>
      <c r="M255" t="s">
        <v>10</v>
      </c>
      <c r="N255" t="s">
        <v>11</v>
      </c>
      <c r="O255">
        <v>1.9359999999999999</v>
      </c>
      <c r="P255">
        <v>94.879300000000001</v>
      </c>
      <c r="Q255">
        <v>141.08930000000001</v>
      </c>
      <c r="R255" t="s">
        <v>10</v>
      </c>
      <c r="S255" t="s">
        <v>704</v>
      </c>
      <c r="T255" s="4">
        <v>44835</v>
      </c>
      <c r="U255" s="5">
        <v>0.27164351851851853</v>
      </c>
      <c r="V255" t="s">
        <v>13</v>
      </c>
      <c r="W255">
        <v>1.17</v>
      </c>
      <c r="X255">
        <v>3170.4207999999999</v>
      </c>
      <c r="Y255">
        <v>130767.0506</v>
      </c>
      <c r="Z255" t="s">
        <v>1689</v>
      </c>
      <c r="AA255">
        <v>2.2400000000000002</v>
      </c>
      <c r="AB255">
        <v>59.436799999999998</v>
      </c>
      <c r="AC255">
        <v>4.4900000000000002E-2</v>
      </c>
      <c r="AD255" t="s">
        <v>10</v>
      </c>
    </row>
    <row r="256" spans="1:30">
      <c r="A256" s="2">
        <v>255</v>
      </c>
      <c r="B256" s="3" t="s">
        <v>69</v>
      </c>
      <c r="C256" s="2" t="s">
        <v>6</v>
      </c>
      <c r="D256" s="2">
        <v>255</v>
      </c>
      <c r="E256" s="2" t="s">
        <v>705</v>
      </c>
      <c r="F256" t="s">
        <v>706</v>
      </c>
      <c r="G256" s="4">
        <v>44835</v>
      </c>
      <c r="H256" s="5">
        <v>0.2754050925925926</v>
      </c>
      <c r="I256" t="s">
        <v>9</v>
      </c>
      <c r="J256">
        <v>1.4159999999999999</v>
      </c>
      <c r="K256">
        <v>45.567399999999999</v>
      </c>
      <c r="L256">
        <v>197.40700000000001</v>
      </c>
      <c r="M256" t="s">
        <v>10</v>
      </c>
      <c r="N256" t="s">
        <v>11</v>
      </c>
      <c r="O256">
        <v>1.946</v>
      </c>
      <c r="P256">
        <v>1410.9899</v>
      </c>
      <c r="Q256">
        <v>5005.1004000000003</v>
      </c>
      <c r="R256" t="s">
        <v>10</v>
      </c>
      <c r="S256" t="s">
        <v>707</v>
      </c>
      <c r="T256" s="4">
        <v>44835</v>
      </c>
      <c r="U256" s="5">
        <v>0.2754050925925926</v>
      </c>
      <c r="V256" t="s">
        <v>13</v>
      </c>
      <c r="W256">
        <v>1.17</v>
      </c>
      <c r="X256">
        <v>3656.2936</v>
      </c>
      <c r="Y256">
        <v>194260.05900000001</v>
      </c>
      <c r="Z256" t="s">
        <v>1689</v>
      </c>
      <c r="AA256">
        <v>2.2429999999999999</v>
      </c>
      <c r="AB256">
        <v>677.49480000000005</v>
      </c>
      <c r="AC256">
        <v>2.5781999999999998</v>
      </c>
      <c r="AD256" t="s">
        <v>10</v>
      </c>
    </row>
    <row r="257" spans="1:30">
      <c r="A257" s="2">
        <v>256</v>
      </c>
      <c r="B257" s="3" t="s">
        <v>5</v>
      </c>
      <c r="C257" s="2" t="s">
        <v>6</v>
      </c>
      <c r="D257" s="2">
        <v>256</v>
      </c>
      <c r="E257" s="2" t="s">
        <v>708</v>
      </c>
      <c r="F257" t="s">
        <v>709</v>
      </c>
      <c r="G257" s="4">
        <v>44835</v>
      </c>
      <c r="H257" s="5">
        <v>0.27915509259259258</v>
      </c>
      <c r="I257" t="s">
        <v>9</v>
      </c>
      <c r="J257">
        <v>1.3959999999999999</v>
      </c>
      <c r="K257">
        <v>0.26640000000000003</v>
      </c>
      <c r="L257">
        <v>1.4702</v>
      </c>
      <c r="M257" t="s">
        <v>10</v>
      </c>
      <c r="N257" t="s">
        <v>11</v>
      </c>
      <c r="O257">
        <v>1.923</v>
      </c>
      <c r="P257">
        <v>84.900599999999997</v>
      </c>
      <c r="Q257">
        <v>104.2106</v>
      </c>
      <c r="R257" t="s">
        <v>10</v>
      </c>
      <c r="S257" t="s">
        <v>710</v>
      </c>
      <c r="T257" s="4">
        <v>44835</v>
      </c>
      <c r="U257" s="5">
        <v>0.27915509259259258</v>
      </c>
      <c r="V257" t="s">
        <v>13</v>
      </c>
      <c r="W257">
        <v>1.1559999999999999</v>
      </c>
      <c r="X257">
        <v>2902.1556</v>
      </c>
      <c r="Y257">
        <v>107225.2176</v>
      </c>
      <c r="Z257" t="s">
        <v>1689</v>
      </c>
      <c r="AA257">
        <v>2.226</v>
      </c>
      <c r="AB257">
        <v>55.638599999999997</v>
      </c>
      <c r="AC257">
        <v>2.93E-2</v>
      </c>
      <c r="AD257" t="s">
        <v>10</v>
      </c>
    </row>
    <row r="258" spans="1:30">
      <c r="A258" s="2">
        <v>257</v>
      </c>
      <c r="B258" s="3" t="s">
        <v>76</v>
      </c>
      <c r="C258" s="2" t="s">
        <v>6</v>
      </c>
      <c r="D258" s="2">
        <v>257</v>
      </c>
      <c r="E258" s="2" t="s">
        <v>711</v>
      </c>
      <c r="F258" t="s">
        <v>712</v>
      </c>
      <c r="G258" s="4">
        <v>44835</v>
      </c>
      <c r="H258" s="5">
        <v>0.28290509259259261</v>
      </c>
      <c r="I258" t="s">
        <v>9</v>
      </c>
      <c r="J258">
        <v>1.4159999999999999</v>
      </c>
      <c r="K258">
        <v>1163.9217000000001</v>
      </c>
      <c r="L258">
        <v>5034.5361999999996</v>
      </c>
      <c r="M258" t="s">
        <v>10</v>
      </c>
      <c r="N258" t="s">
        <v>11</v>
      </c>
      <c r="O258">
        <v>1.95</v>
      </c>
      <c r="P258">
        <v>2625.9418999999998</v>
      </c>
      <c r="Q258">
        <v>9495.2548999999999</v>
      </c>
      <c r="R258" t="s">
        <v>10</v>
      </c>
      <c r="S258" t="s">
        <v>713</v>
      </c>
      <c r="T258" s="4">
        <v>44835</v>
      </c>
      <c r="U258" s="5">
        <v>0.28290509259259261</v>
      </c>
      <c r="V258" t="s">
        <v>13</v>
      </c>
      <c r="W258">
        <v>1.17</v>
      </c>
      <c r="X258">
        <v>3693.2806</v>
      </c>
      <c r="Y258">
        <v>199714.85560000001</v>
      </c>
      <c r="Z258" t="s">
        <v>1689</v>
      </c>
      <c r="AA258">
        <v>2.2429999999999999</v>
      </c>
      <c r="AB258">
        <v>1283.2793999999999</v>
      </c>
      <c r="AC258">
        <v>5.0612000000000004</v>
      </c>
      <c r="AD258" t="s">
        <v>10</v>
      </c>
    </row>
    <row r="259" spans="1:30">
      <c r="A259" s="2">
        <v>258</v>
      </c>
      <c r="B259" s="3" t="s">
        <v>5</v>
      </c>
      <c r="C259" s="2" t="s">
        <v>6</v>
      </c>
      <c r="D259" s="2">
        <v>258</v>
      </c>
      <c r="E259" s="2" t="s">
        <v>714</v>
      </c>
      <c r="F259" t="s">
        <v>715</v>
      </c>
      <c r="G259" s="4">
        <v>44835</v>
      </c>
      <c r="H259" s="5">
        <v>0.28665509259259259</v>
      </c>
      <c r="I259" t="s">
        <v>9</v>
      </c>
      <c r="J259">
        <v>1.4</v>
      </c>
      <c r="K259">
        <v>0.43809999999999999</v>
      </c>
      <c r="L259">
        <v>2.2128000000000001</v>
      </c>
      <c r="M259" t="s">
        <v>10</v>
      </c>
      <c r="N259" t="s">
        <v>11</v>
      </c>
      <c r="O259">
        <v>1.923</v>
      </c>
      <c r="P259">
        <v>89.296400000000006</v>
      </c>
      <c r="Q259">
        <v>120.4563</v>
      </c>
      <c r="R259" t="s">
        <v>10</v>
      </c>
      <c r="S259" t="s">
        <v>716</v>
      </c>
      <c r="T259" s="4">
        <v>44835</v>
      </c>
      <c r="U259" s="5">
        <v>0.28665509259259259</v>
      </c>
      <c r="V259" t="s">
        <v>13</v>
      </c>
      <c r="W259">
        <v>1.1599999999999999</v>
      </c>
      <c r="X259">
        <v>2937.9926</v>
      </c>
      <c r="Y259">
        <v>110126.8711</v>
      </c>
      <c r="Z259" t="s">
        <v>1689</v>
      </c>
      <c r="AA259">
        <v>2.23</v>
      </c>
      <c r="AB259">
        <v>56.549700000000001</v>
      </c>
      <c r="AC259">
        <v>3.3000000000000002E-2</v>
      </c>
      <c r="AD259" t="s">
        <v>10</v>
      </c>
    </row>
    <row r="260" spans="1:30">
      <c r="A260" s="2">
        <v>259</v>
      </c>
      <c r="B260" s="3" t="s">
        <v>83</v>
      </c>
      <c r="C260" s="2" t="s">
        <v>6</v>
      </c>
      <c r="D260" s="2">
        <v>259</v>
      </c>
      <c r="E260" s="2" t="s">
        <v>717</v>
      </c>
      <c r="F260" t="s">
        <v>718</v>
      </c>
      <c r="G260" s="4">
        <v>44835</v>
      </c>
      <c r="H260" s="5">
        <v>0.29041666666666666</v>
      </c>
      <c r="I260" t="s">
        <v>9</v>
      </c>
      <c r="J260">
        <v>1.3859999999999999</v>
      </c>
      <c r="K260">
        <v>9883.4383999999991</v>
      </c>
      <c r="L260">
        <v>42748.370300000002</v>
      </c>
      <c r="M260" t="s">
        <v>10</v>
      </c>
      <c r="N260" t="s">
        <v>11</v>
      </c>
      <c r="O260">
        <v>1.93</v>
      </c>
      <c r="P260">
        <v>11760.714400000001</v>
      </c>
      <c r="Q260">
        <v>43255.057999999997</v>
      </c>
      <c r="R260" t="s">
        <v>10</v>
      </c>
      <c r="S260" t="s">
        <v>719</v>
      </c>
      <c r="T260" s="4">
        <v>44835</v>
      </c>
      <c r="U260" s="5">
        <v>0.29041666666666666</v>
      </c>
      <c r="V260" t="s">
        <v>13</v>
      </c>
      <c r="W260">
        <v>1.1559999999999999</v>
      </c>
      <c r="X260">
        <v>1177.0642</v>
      </c>
      <c r="Y260">
        <v>9906.6339000000007</v>
      </c>
      <c r="Z260" t="s">
        <v>1689</v>
      </c>
      <c r="AA260">
        <v>2.2330000000000001</v>
      </c>
      <c r="AB260">
        <v>4851.2574999999997</v>
      </c>
      <c r="AC260">
        <v>19.686</v>
      </c>
      <c r="AD260" t="s">
        <v>10</v>
      </c>
    </row>
    <row r="261" spans="1:30">
      <c r="A261" s="2">
        <v>260</v>
      </c>
      <c r="B261" s="3" t="s">
        <v>5</v>
      </c>
      <c r="C261" s="2" t="s">
        <v>6</v>
      </c>
      <c r="D261" s="2">
        <v>260</v>
      </c>
      <c r="E261" s="2" t="s">
        <v>720</v>
      </c>
      <c r="F261" t="s">
        <v>721</v>
      </c>
      <c r="G261" s="4">
        <v>44835</v>
      </c>
      <c r="H261" s="5">
        <v>0.29416666666666663</v>
      </c>
      <c r="I261" t="s">
        <v>9</v>
      </c>
      <c r="J261">
        <v>1.4</v>
      </c>
      <c r="K261">
        <v>0.67600000000000005</v>
      </c>
      <c r="L261">
        <v>3.2418</v>
      </c>
      <c r="M261" t="s">
        <v>10</v>
      </c>
      <c r="N261" t="s">
        <v>11</v>
      </c>
      <c r="O261">
        <v>1.923</v>
      </c>
      <c r="P261">
        <v>87.363200000000006</v>
      </c>
      <c r="Q261">
        <v>113.3117</v>
      </c>
      <c r="R261" t="s">
        <v>10</v>
      </c>
      <c r="S261" t="s">
        <v>722</v>
      </c>
      <c r="T261" s="4">
        <v>44835</v>
      </c>
      <c r="U261" s="5">
        <v>0.29416666666666663</v>
      </c>
      <c r="V261" t="s">
        <v>13</v>
      </c>
      <c r="W261">
        <v>1.1599999999999999</v>
      </c>
      <c r="X261">
        <v>2930.2114000000001</v>
      </c>
      <c r="Y261">
        <v>109496.8422</v>
      </c>
      <c r="Z261" t="s">
        <v>1689</v>
      </c>
      <c r="AA261">
        <v>2.226</v>
      </c>
      <c r="AB261">
        <v>56.5456</v>
      </c>
      <c r="AC261">
        <v>3.3000000000000002E-2</v>
      </c>
      <c r="AD261" t="s">
        <v>10</v>
      </c>
    </row>
    <row r="262" spans="1:30">
      <c r="A262" s="2">
        <v>261</v>
      </c>
      <c r="B262" s="3" t="s">
        <v>5</v>
      </c>
      <c r="C262" s="2" t="s">
        <v>6</v>
      </c>
      <c r="D262" s="2">
        <v>261</v>
      </c>
      <c r="E262" s="2" t="s">
        <v>723</v>
      </c>
      <c r="F262" t="s">
        <v>724</v>
      </c>
      <c r="G262" s="4">
        <v>44835</v>
      </c>
      <c r="H262" s="5">
        <v>0.29791666666666666</v>
      </c>
      <c r="I262" t="s">
        <v>9</v>
      </c>
      <c r="J262">
        <v>1.4</v>
      </c>
      <c r="K262">
        <v>0.3614</v>
      </c>
      <c r="L262">
        <v>1.8811</v>
      </c>
      <c r="M262" t="s">
        <v>10</v>
      </c>
      <c r="N262" t="s">
        <v>11</v>
      </c>
      <c r="O262">
        <v>1.9259999999999999</v>
      </c>
      <c r="P262">
        <v>95.271600000000007</v>
      </c>
      <c r="Q262">
        <v>142.53909999999999</v>
      </c>
      <c r="R262" t="s">
        <v>10</v>
      </c>
      <c r="S262" t="s">
        <v>725</v>
      </c>
      <c r="T262" s="4">
        <v>44835</v>
      </c>
      <c r="U262" s="5">
        <v>0.29791666666666666</v>
      </c>
      <c r="V262" t="s">
        <v>13</v>
      </c>
      <c r="W262">
        <v>1.1599999999999999</v>
      </c>
      <c r="X262">
        <v>3071.5727999999999</v>
      </c>
      <c r="Y262">
        <v>121485.9592</v>
      </c>
      <c r="Z262" t="s">
        <v>1689</v>
      </c>
      <c r="AA262">
        <v>2.226</v>
      </c>
      <c r="AB262">
        <v>62.494799999999998</v>
      </c>
      <c r="AC262">
        <v>5.74E-2</v>
      </c>
      <c r="AD262" t="s">
        <v>10</v>
      </c>
    </row>
    <row r="263" spans="1:30">
      <c r="A263" s="2">
        <v>262</v>
      </c>
      <c r="B263" s="3" t="s">
        <v>5</v>
      </c>
      <c r="C263" s="2" t="s">
        <v>6</v>
      </c>
      <c r="D263" s="2">
        <v>262</v>
      </c>
      <c r="E263" s="2" t="s">
        <v>726</v>
      </c>
      <c r="F263" t="s">
        <v>727</v>
      </c>
      <c r="G263" s="4">
        <v>44835</v>
      </c>
      <c r="H263" s="5">
        <v>0.30166666666666669</v>
      </c>
      <c r="I263" t="s">
        <v>9</v>
      </c>
      <c r="J263">
        <v>1.4059999999999999</v>
      </c>
      <c r="K263">
        <v>0.33610000000000001</v>
      </c>
      <c r="L263">
        <v>1.7716000000000001</v>
      </c>
      <c r="M263" t="s">
        <v>10</v>
      </c>
      <c r="N263" t="s">
        <v>11</v>
      </c>
      <c r="O263">
        <v>1.923</v>
      </c>
      <c r="P263">
        <v>87.468500000000006</v>
      </c>
      <c r="Q263">
        <v>113.7009</v>
      </c>
      <c r="R263" t="s">
        <v>10</v>
      </c>
      <c r="S263" t="s">
        <v>728</v>
      </c>
      <c r="T263" s="4">
        <v>44835</v>
      </c>
      <c r="U263" s="5">
        <v>0.30166666666666669</v>
      </c>
      <c r="V263" t="s">
        <v>13</v>
      </c>
      <c r="W263">
        <v>1.1599999999999999</v>
      </c>
      <c r="X263">
        <v>2994.0944</v>
      </c>
      <c r="Y263">
        <v>114749.13890000001</v>
      </c>
      <c r="Z263" t="s">
        <v>1689</v>
      </c>
      <c r="AA263">
        <v>2.23</v>
      </c>
      <c r="AB263">
        <v>55.835299999999997</v>
      </c>
      <c r="AC263">
        <v>3.0099999999999998E-2</v>
      </c>
      <c r="AD263" t="s">
        <v>10</v>
      </c>
    </row>
    <row r="264" spans="1:30">
      <c r="A264" s="2">
        <v>263</v>
      </c>
      <c r="B264" s="3" t="s">
        <v>96</v>
      </c>
      <c r="C264" s="2" t="s">
        <v>6</v>
      </c>
      <c r="D264" s="2">
        <v>263</v>
      </c>
      <c r="E264" s="2" t="s">
        <v>729</v>
      </c>
      <c r="F264" t="s">
        <v>730</v>
      </c>
      <c r="G264" s="4">
        <v>44835</v>
      </c>
      <c r="H264" s="5">
        <v>0.30541666666666667</v>
      </c>
      <c r="I264" t="s">
        <v>9</v>
      </c>
      <c r="J264">
        <v>0</v>
      </c>
      <c r="K264">
        <v>0</v>
      </c>
      <c r="L264">
        <v>0</v>
      </c>
      <c r="M264" t="s">
        <v>10</v>
      </c>
      <c r="N264" t="s">
        <v>11</v>
      </c>
      <c r="O264">
        <v>1.923</v>
      </c>
      <c r="P264">
        <v>11.1068</v>
      </c>
      <c r="Q264">
        <v>0</v>
      </c>
      <c r="R264" t="s">
        <v>10</v>
      </c>
      <c r="S264" t="s">
        <v>731</v>
      </c>
      <c r="T264" s="4">
        <v>44835</v>
      </c>
      <c r="U264" s="5">
        <v>0.30541666666666667</v>
      </c>
      <c r="V264" t="s">
        <v>13</v>
      </c>
      <c r="W264">
        <v>1.153</v>
      </c>
      <c r="X264">
        <v>840.51319999999998</v>
      </c>
      <c r="Y264">
        <v>0</v>
      </c>
      <c r="Z264" t="s">
        <v>1689</v>
      </c>
      <c r="AA264">
        <v>2.2229999999999999</v>
      </c>
      <c r="AB264">
        <v>5.0726000000000004</v>
      </c>
      <c r="AC264">
        <v>0</v>
      </c>
      <c r="AD264" t="s">
        <v>10</v>
      </c>
    </row>
    <row r="265" spans="1:30">
      <c r="A265" s="2">
        <v>264</v>
      </c>
      <c r="B265" s="3" t="s">
        <v>5</v>
      </c>
      <c r="C265" s="2" t="s">
        <v>6</v>
      </c>
      <c r="D265" s="2">
        <v>264</v>
      </c>
      <c r="E265" s="2" t="s">
        <v>732</v>
      </c>
      <c r="F265" t="s">
        <v>733</v>
      </c>
      <c r="G265" s="4">
        <v>44835</v>
      </c>
      <c r="H265" s="5">
        <v>0.30916666666666665</v>
      </c>
      <c r="I265" t="s">
        <v>9</v>
      </c>
      <c r="J265">
        <v>1.41</v>
      </c>
      <c r="K265">
        <v>0.3352</v>
      </c>
      <c r="L265">
        <v>1.7677</v>
      </c>
      <c r="M265" t="s">
        <v>10</v>
      </c>
      <c r="N265" t="s">
        <v>11</v>
      </c>
      <c r="O265">
        <v>1.9359999999999999</v>
      </c>
      <c r="P265">
        <v>82.365200000000002</v>
      </c>
      <c r="Q265">
        <v>94.840400000000002</v>
      </c>
      <c r="R265" t="s">
        <v>10</v>
      </c>
      <c r="S265" t="s">
        <v>734</v>
      </c>
      <c r="T265" s="4">
        <v>44835</v>
      </c>
      <c r="U265" s="5">
        <v>0.30916666666666665</v>
      </c>
      <c r="V265" t="s">
        <v>13</v>
      </c>
      <c r="W265">
        <v>1.1659999999999999</v>
      </c>
      <c r="X265">
        <v>2964.8969000000002</v>
      </c>
      <c r="Y265">
        <v>112305.261</v>
      </c>
      <c r="Z265" t="s">
        <v>1689</v>
      </c>
      <c r="AA265">
        <v>2.2400000000000002</v>
      </c>
      <c r="AB265">
        <v>50.276200000000003</v>
      </c>
      <c r="AC265">
        <v>7.3000000000000001E-3</v>
      </c>
      <c r="AD265" t="s">
        <v>10</v>
      </c>
    </row>
    <row r="266" spans="1:30">
      <c r="A266" s="2">
        <v>265</v>
      </c>
      <c r="B266" s="3" t="s">
        <v>103</v>
      </c>
      <c r="C266" s="2" t="s">
        <v>6</v>
      </c>
      <c r="D266" s="2">
        <v>265</v>
      </c>
      <c r="E266" s="2" t="s">
        <v>735</v>
      </c>
      <c r="F266" t="s">
        <v>736</v>
      </c>
      <c r="G266" s="4">
        <v>44835</v>
      </c>
      <c r="H266" s="5">
        <v>0.31292824074074072</v>
      </c>
      <c r="I266" t="s">
        <v>9</v>
      </c>
      <c r="J266">
        <v>1.4</v>
      </c>
      <c r="K266">
        <v>0.14119999999999999</v>
      </c>
      <c r="L266">
        <v>0.92859999999999998</v>
      </c>
      <c r="M266" t="s">
        <v>10</v>
      </c>
      <c r="N266" t="s">
        <v>11</v>
      </c>
      <c r="O266">
        <v>1.9259999999999999</v>
      </c>
      <c r="P266">
        <v>32.392699999999998</v>
      </c>
      <c r="Q266">
        <v>0</v>
      </c>
      <c r="R266" t="s">
        <v>10</v>
      </c>
      <c r="S266" t="s">
        <v>737</v>
      </c>
      <c r="T266" s="4">
        <v>44835</v>
      </c>
      <c r="U266" s="5">
        <v>0.31292824074074072</v>
      </c>
      <c r="V266" t="s">
        <v>13</v>
      </c>
      <c r="W266">
        <v>1.1599999999999999</v>
      </c>
      <c r="X266">
        <v>1716.9177999999999</v>
      </c>
      <c r="Y266">
        <v>35018.168700000002</v>
      </c>
      <c r="Z266" t="s">
        <v>1689</v>
      </c>
      <c r="AA266">
        <v>2.2330000000000001</v>
      </c>
      <c r="AB266">
        <v>19.450900000000001</v>
      </c>
      <c r="AC266">
        <v>0</v>
      </c>
      <c r="AD266" t="s">
        <v>10</v>
      </c>
    </row>
    <row r="267" spans="1:30">
      <c r="A267" s="2">
        <v>266</v>
      </c>
      <c r="B267" s="3" t="s">
        <v>5</v>
      </c>
      <c r="C267" s="2" t="s">
        <v>6</v>
      </c>
      <c r="D267" s="2">
        <v>266</v>
      </c>
      <c r="E267" s="2" t="s">
        <v>738</v>
      </c>
      <c r="F267" t="s">
        <v>739</v>
      </c>
      <c r="G267" s="4">
        <v>44835</v>
      </c>
      <c r="H267" s="5">
        <v>0.31667824074074075</v>
      </c>
      <c r="I267" t="s">
        <v>9</v>
      </c>
      <c r="J267">
        <v>1.4</v>
      </c>
      <c r="K267">
        <v>0.35560000000000003</v>
      </c>
      <c r="L267">
        <v>1.8560000000000001</v>
      </c>
      <c r="M267" t="s">
        <v>10</v>
      </c>
      <c r="N267" t="s">
        <v>11</v>
      </c>
      <c r="O267">
        <v>1.9259999999999999</v>
      </c>
      <c r="P267">
        <v>99.606399999999994</v>
      </c>
      <c r="Q267">
        <v>158.55950000000001</v>
      </c>
      <c r="R267" t="s">
        <v>10</v>
      </c>
      <c r="S267" t="s">
        <v>740</v>
      </c>
      <c r="T267" s="4">
        <v>44835</v>
      </c>
      <c r="U267" s="5">
        <v>0.31667824074074075</v>
      </c>
      <c r="V267" t="s">
        <v>13</v>
      </c>
      <c r="W267">
        <v>1.163</v>
      </c>
      <c r="X267">
        <v>3128.1214</v>
      </c>
      <c r="Y267">
        <v>126646.4129</v>
      </c>
      <c r="Z267" t="s">
        <v>1689</v>
      </c>
      <c r="AA267">
        <v>2.23</v>
      </c>
      <c r="AB267">
        <v>63.4863</v>
      </c>
      <c r="AC267">
        <v>6.1499999999999999E-2</v>
      </c>
      <c r="AD267" t="s">
        <v>10</v>
      </c>
    </row>
    <row r="268" spans="1:30">
      <c r="A268" s="2">
        <v>267</v>
      </c>
      <c r="B268" s="3" t="s">
        <v>110</v>
      </c>
      <c r="C268" s="2" t="s">
        <v>6</v>
      </c>
      <c r="D268" s="2">
        <v>267</v>
      </c>
      <c r="E268" s="2" t="s">
        <v>741</v>
      </c>
      <c r="F268" t="s">
        <v>742</v>
      </c>
      <c r="G268" s="4">
        <v>44835</v>
      </c>
      <c r="H268" s="5">
        <v>0.32042824074074078</v>
      </c>
      <c r="I268" t="s">
        <v>9</v>
      </c>
      <c r="J268">
        <v>1.3959999999999999</v>
      </c>
      <c r="K268">
        <v>0.22639999999999999</v>
      </c>
      <c r="L268">
        <v>1.2970999999999999</v>
      </c>
      <c r="M268" t="s">
        <v>10</v>
      </c>
      <c r="N268" t="s">
        <v>11</v>
      </c>
      <c r="O268">
        <v>1.92</v>
      </c>
      <c r="P268">
        <v>53.274299999999997</v>
      </c>
      <c r="Q268">
        <v>0</v>
      </c>
      <c r="R268" t="s">
        <v>10</v>
      </c>
      <c r="S268" t="s">
        <v>743</v>
      </c>
      <c r="T268" s="4">
        <v>44835</v>
      </c>
      <c r="U268" s="5">
        <v>0.32042824074074078</v>
      </c>
      <c r="V268" t="s">
        <v>13</v>
      </c>
      <c r="W268">
        <v>1.1559999999999999</v>
      </c>
      <c r="X268">
        <v>2189.3793999999998</v>
      </c>
      <c r="Y268">
        <v>60025.865100000003</v>
      </c>
      <c r="Z268" t="s">
        <v>1689</v>
      </c>
      <c r="AA268">
        <v>2.2229999999999999</v>
      </c>
      <c r="AB268">
        <v>32.925199999999997</v>
      </c>
      <c r="AC268">
        <v>0</v>
      </c>
      <c r="AD268" t="s">
        <v>10</v>
      </c>
    </row>
    <row r="269" spans="1:30">
      <c r="A269" s="2">
        <v>268</v>
      </c>
      <c r="B269" s="3" t="s">
        <v>5</v>
      </c>
      <c r="C269" s="2" t="s">
        <v>6</v>
      </c>
      <c r="D269" s="2">
        <v>268</v>
      </c>
      <c r="E269" s="2" t="s">
        <v>744</v>
      </c>
      <c r="F269" t="s">
        <v>745</v>
      </c>
      <c r="G269" s="4">
        <v>44835</v>
      </c>
      <c r="H269" s="5">
        <v>0.32417824074074075</v>
      </c>
      <c r="I269" t="s">
        <v>9</v>
      </c>
      <c r="J269">
        <v>1.413</v>
      </c>
      <c r="K269">
        <v>0.35170000000000001</v>
      </c>
      <c r="L269">
        <v>1.8391</v>
      </c>
      <c r="M269" t="s">
        <v>10</v>
      </c>
      <c r="N269" t="s">
        <v>11</v>
      </c>
      <c r="O269">
        <v>1.9359999999999999</v>
      </c>
      <c r="P269">
        <v>101.24760000000001</v>
      </c>
      <c r="Q269">
        <v>164.6249</v>
      </c>
      <c r="R269" t="s">
        <v>10</v>
      </c>
      <c r="S269" t="s">
        <v>746</v>
      </c>
      <c r="T269" s="4">
        <v>44835</v>
      </c>
      <c r="U269" s="5">
        <v>0.32417824074074075</v>
      </c>
      <c r="V269" t="s">
        <v>13</v>
      </c>
      <c r="W269">
        <v>1.1659999999999999</v>
      </c>
      <c r="X269">
        <v>3255.1024000000002</v>
      </c>
      <c r="Y269">
        <v>139432.99059999999</v>
      </c>
      <c r="Z269" t="s">
        <v>1689</v>
      </c>
      <c r="AA269">
        <v>2.2400000000000002</v>
      </c>
      <c r="AB269">
        <v>64.050200000000004</v>
      </c>
      <c r="AC269">
        <v>6.3799999999999996E-2</v>
      </c>
      <c r="AD269" t="s">
        <v>10</v>
      </c>
    </row>
    <row r="270" spans="1:30">
      <c r="A270" s="2">
        <v>269</v>
      </c>
      <c r="B270" s="3" t="s">
        <v>117</v>
      </c>
      <c r="C270" s="2" t="s">
        <v>6</v>
      </c>
      <c r="D270" s="2">
        <v>269</v>
      </c>
      <c r="E270" s="2" t="s">
        <v>747</v>
      </c>
      <c r="F270" t="s">
        <v>748</v>
      </c>
      <c r="G270" s="4">
        <v>44835</v>
      </c>
      <c r="H270" s="5">
        <v>0.32792824074074073</v>
      </c>
      <c r="I270" t="s">
        <v>9</v>
      </c>
      <c r="J270">
        <v>1.41</v>
      </c>
      <c r="K270">
        <v>0.26960000000000001</v>
      </c>
      <c r="L270">
        <v>1.484</v>
      </c>
      <c r="M270" t="s">
        <v>10</v>
      </c>
      <c r="N270" t="s">
        <v>11</v>
      </c>
      <c r="O270">
        <v>1.9330000000000001</v>
      </c>
      <c r="P270">
        <v>74.690799999999996</v>
      </c>
      <c r="Q270">
        <v>66.477699999999999</v>
      </c>
      <c r="R270" t="s">
        <v>10</v>
      </c>
      <c r="S270" t="s">
        <v>749</v>
      </c>
      <c r="T270" s="4">
        <v>44835</v>
      </c>
      <c r="U270" s="5">
        <v>0.32792824074074073</v>
      </c>
      <c r="V270" t="s">
        <v>13</v>
      </c>
      <c r="W270">
        <v>1.1659999999999999</v>
      </c>
      <c r="X270">
        <v>2719.0419000000002</v>
      </c>
      <c r="Y270">
        <v>93506.761400000003</v>
      </c>
      <c r="Z270" t="s">
        <v>1689</v>
      </c>
      <c r="AA270">
        <v>2.2400000000000002</v>
      </c>
      <c r="AB270">
        <v>46.763199999999998</v>
      </c>
      <c r="AC270">
        <v>0</v>
      </c>
      <c r="AD270" t="s">
        <v>10</v>
      </c>
    </row>
    <row r="271" spans="1:30">
      <c r="A271" s="2">
        <v>270</v>
      </c>
      <c r="B271" s="3" t="s">
        <v>5</v>
      </c>
      <c r="C271" s="2" t="s">
        <v>6</v>
      </c>
      <c r="D271" s="2">
        <v>270</v>
      </c>
      <c r="E271" s="2" t="s">
        <v>750</v>
      </c>
      <c r="F271" t="s">
        <v>751</v>
      </c>
      <c r="G271" s="4">
        <v>44835</v>
      </c>
      <c r="H271" s="5">
        <v>0.33170138888888889</v>
      </c>
      <c r="I271" t="s">
        <v>9</v>
      </c>
      <c r="J271">
        <v>1.413</v>
      </c>
      <c r="K271">
        <v>0.30420000000000003</v>
      </c>
      <c r="L271">
        <v>1.6336999999999999</v>
      </c>
      <c r="M271" t="s">
        <v>10</v>
      </c>
      <c r="N271" t="s">
        <v>11</v>
      </c>
      <c r="O271">
        <v>1.9359999999999999</v>
      </c>
      <c r="P271">
        <v>84.588300000000004</v>
      </c>
      <c r="Q271">
        <v>103.0564</v>
      </c>
      <c r="R271" t="s">
        <v>10</v>
      </c>
      <c r="S271" t="s">
        <v>752</v>
      </c>
      <c r="T271" s="4">
        <v>44835</v>
      </c>
      <c r="U271" s="5">
        <v>0.33170138888888889</v>
      </c>
      <c r="V271" t="s">
        <v>13</v>
      </c>
      <c r="W271">
        <v>1.17</v>
      </c>
      <c r="X271">
        <v>3012.3308999999999</v>
      </c>
      <c r="Y271">
        <v>116313.92539999999</v>
      </c>
      <c r="Z271" t="s">
        <v>1689</v>
      </c>
      <c r="AA271">
        <v>2.2429999999999999</v>
      </c>
      <c r="AB271">
        <v>53.169800000000002</v>
      </c>
      <c r="AC271">
        <v>1.9199999999999998E-2</v>
      </c>
      <c r="AD271" t="s">
        <v>10</v>
      </c>
    </row>
    <row r="272" spans="1:30">
      <c r="A272" s="2">
        <v>271</v>
      </c>
      <c r="B272" s="3" t="s">
        <v>124</v>
      </c>
      <c r="C272" s="2" t="s">
        <v>6</v>
      </c>
      <c r="D272" s="2">
        <v>271</v>
      </c>
      <c r="E272" s="2" t="s">
        <v>753</v>
      </c>
      <c r="F272" t="s">
        <v>754</v>
      </c>
      <c r="G272" s="4">
        <v>44835</v>
      </c>
      <c r="H272" s="5">
        <v>0.33546296296296302</v>
      </c>
      <c r="I272" t="s">
        <v>9</v>
      </c>
      <c r="J272">
        <v>1.41</v>
      </c>
      <c r="K272">
        <v>0.41139999999999999</v>
      </c>
      <c r="L272">
        <v>2.0973000000000002</v>
      </c>
      <c r="M272" t="s">
        <v>10</v>
      </c>
      <c r="N272" t="s">
        <v>11</v>
      </c>
      <c r="O272">
        <v>1.93</v>
      </c>
      <c r="P272">
        <v>101.0642</v>
      </c>
      <c r="Q272">
        <v>163.94710000000001</v>
      </c>
      <c r="R272" t="s">
        <v>10</v>
      </c>
      <c r="S272" t="s">
        <v>755</v>
      </c>
      <c r="T272" s="4">
        <v>44835</v>
      </c>
      <c r="U272" s="5">
        <v>0.33546296296296302</v>
      </c>
      <c r="V272" t="s">
        <v>13</v>
      </c>
      <c r="W272">
        <v>1.17</v>
      </c>
      <c r="X272">
        <v>3117.893</v>
      </c>
      <c r="Y272">
        <v>125713.00019999999</v>
      </c>
      <c r="Z272" t="s">
        <v>1689</v>
      </c>
      <c r="AA272">
        <v>2.23</v>
      </c>
      <c r="AB272">
        <v>66.3155</v>
      </c>
      <c r="AC272">
        <v>7.2999999999999995E-2</v>
      </c>
      <c r="AD272" t="s">
        <v>10</v>
      </c>
    </row>
    <row r="273" spans="1:30">
      <c r="A273" s="2">
        <v>272</v>
      </c>
      <c r="B273" s="3" t="s">
        <v>5</v>
      </c>
      <c r="C273" s="2" t="s">
        <v>6</v>
      </c>
      <c r="D273" s="2">
        <v>272</v>
      </c>
      <c r="E273" s="2" t="s">
        <v>756</v>
      </c>
      <c r="F273" t="s">
        <v>757</v>
      </c>
      <c r="G273" s="4">
        <v>44835</v>
      </c>
      <c r="H273" s="5">
        <v>0.33921296296296299</v>
      </c>
      <c r="I273" t="s">
        <v>9</v>
      </c>
      <c r="J273">
        <v>1.4059999999999999</v>
      </c>
      <c r="K273">
        <v>0.39960000000000001</v>
      </c>
      <c r="L273">
        <v>2.0463</v>
      </c>
      <c r="M273" t="s">
        <v>10</v>
      </c>
      <c r="N273" t="s">
        <v>11</v>
      </c>
      <c r="O273">
        <v>1.9259999999999999</v>
      </c>
      <c r="P273">
        <v>105.9186</v>
      </c>
      <c r="Q273">
        <v>181.8878</v>
      </c>
      <c r="R273" t="s">
        <v>10</v>
      </c>
      <c r="S273" t="s">
        <v>758</v>
      </c>
      <c r="T273" s="4">
        <v>44835</v>
      </c>
      <c r="U273" s="5">
        <v>0.33921296296296299</v>
      </c>
      <c r="V273" t="s">
        <v>13</v>
      </c>
      <c r="W273">
        <v>1.163</v>
      </c>
      <c r="X273">
        <v>3231.3038000000001</v>
      </c>
      <c r="Y273">
        <v>136945.05230000001</v>
      </c>
      <c r="Z273" t="s">
        <v>1689</v>
      </c>
      <c r="AA273">
        <v>2.23</v>
      </c>
      <c r="AB273">
        <v>66.080299999999994</v>
      </c>
      <c r="AC273">
        <v>7.2099999999999997E-2</v>
      </c>
      <c r="AD273" t="s">
        <v>10</v>
      </c>
    </row>
    <row r="274" spans="1:30">
      <c r="A274" s="2">
        <v>273</v>
      </c>
      <c r="B274" s="3" t="s">
        <v>131</v>
      </c>
      <c r="C274" s="2" t="s">
        <v>6</v>
      </c>
      <c r="D274" s="2">
        <v>273</v>
      </c>
      <c r="E274" s="2" t="s">
        <v>759</v>
      </c>
      <c r="F274" t="s">
        <v>760</v>
      </c>
      <c r="G274" s="4">
        <v>44835</v>
      </c>
      <c r="H274" s="5">
        <v>0.34296296296296297</v>
      </c>
      <c r="I274" t="s">
        <v>9</v>
      </c>
      <c r="J274">
        <v>1.413</v>
      </c>
      <c r="K274">
        <v>0.39800000000000002</v>
      </c>
      <c r="L274">
        <v>2.0394000000000001</v>
      </c>
      <c r="M274" t="s">
        <v>10</v>
      </c>
      <c r="N274" t="s">
        <v>11</v>
      </c>
      <c r="O274">
        <v>1.9359999999999999</v>
      </c>
      <c r="P274">
        <v>113.26860000000001</v>
      </c>
      <c r="Q274">
        <v>209.0515</v>
      </c>
      <c r="R274" t="s">
        <v>10</v>
      </c>
      <c r="S274" t="s">
        <v>761</v>
      </c>
      <c r="T274" s="4">
        <v>44835</v>
      </c>
      <c r="U274" s="5">
        <v>0.34296296296296297</v>
      </c>
      <c r="V274" t="s">
        <v>13</v>
      </c>
      <c r="W274">
        <v>1.17</v>
      </c>
      <c r="X274">
        <v>3400.2833999999998</v>
      </c>
      <c r="Y274">
        <v>156829.5411</v>
      </c>
      <c r="Z274" t="s">
        <v>1689</v>
      </c>
      <c r="AA274">
        <v>2.2400000000000002</v>
      </c>
      <c r="AB274">
        <v>78.841200000000001</v>
      </c>
      <c r="AC274">
        <v>0.1244</v>
      </c>
      <c r="AD274" t="s">
        <v>10</v>
      </c>
    </row>
    <row r="275" spans="1:30">
      <c r="A275" s="2">
        <v>274</v>
      </c>
      <c r="B275" s="3" t="s">
        <v>5</v>
      </c>
      <c r="C275" s="2" t="s">
        <v>6</v>
      </c>
      <c r="D275" s="2">
        <v>274</v>
      </c>
      <c r="E275" s="2" t="s">
        <v>762</v>
      </c>
      <c r="F275" t="s">
        <v>763</v>
      </c>
      <c r="G275" s="4">
        <v>44835</v>
      </c>
      <c r="H275" s="5">
        <v>0.34672453703703704</v>
      </c>
      <c r="I275" t="s">
        <v>9</v>
      </c>
      <c r="J275">
        <v>1.393</v>
      </c>
      <c r="K275">
        <v>0.33119999999999999</v>
      </c>
      <c r="L275">
        <v>1.7504</v>
      </c>
      <c r="M275" t="s">
        <v>10</v>
      </c>
      <c r="N275" t="s">
        <v>11</v>
      </c>
      <c r="O275">
        <v>1.9159999999999999</v>
      </c>
      <c r="P275">
        <v>97.705699999999993</v>
      </c>
      <c r="Q275">
        <v>151.535</v>
      </c>
      <c r="R275" t="s">
        <v>10</v>
      </c>
      <c r="S275" t="s">
        <v>764</v>
      </c>
      <c r="T275" s="4">
        <v>44835</v>
      </c>
      <c r="U275" s="5">
        <v>0.34672453703703704</v>
      </c>
      <c r="V275" t="s">
        <v>13</v>
      </c>
      <c r="W275">
        <v>1.1559999999999999</v>
      </c>
      <c r="X275">
        <v>2960.1529999999998</v>
      </c>
      <c r="Y275">
        <v>111921.15640000001</v>
      </c>
      <c r="Z275" t="s">
        <v>1689</v>
      </c>
      <c r="AA275">
        <v>2.2160000000000002</v>
      </c>
      <c r="AB275">
        <v>63.328299999999999</v>
      </c>
      <c r="AC275">
        <v>6.08E-2</v>
      </c>
      <c r="AD275" t="s">
        <v>10</v>
      </c>
    </row>
    <row r="276" spans="1:30">
      <c r="A276" s="2">
        <v>275</v>
      </c>
      <c r="B276" s="3" t="s">
        <v>138</v>
      </c>
      <c r="C276" s="2" t="s">
        <v>6</v>
      </c>
      <c r="D276" s="2">
        <v>275</v>
      </c>
      <c r="E276" s="2" t="s">
        <v>765</v>
      </c>
      <c r="F276" t="s">
        <v>766</v>
      </c>
      <c r="G276" s="4">
        <v>44835</v>
      </c>
      <c r="H276" s="5">
        <v>0.35047453703703701</v>
      </c>
      <c r="I276" t="s">
        <v>9</v>
      </c>
      <c r="J276">
        <v>1.403</v>
      </c>
      <c r="K276">
        <v>0.50319999999999998</v>
      </c>
      <c r="L276">
        <v>2.4944000000000002</v>
      </c>
      <c r="M276" t="s">
        <v>10</v>
      </c>
      <c r="N276" t="s">
        <v>11</v>
      </c>
      <c r="O276">
        <v>1.9259999999999999</v>
      </c>
      <c r="P276">
        <v>140.21950000000001</v>
      </c>
      <c r="Q276">
        <v>308.65519999999998</v>
      </c>
      <c r="R276" t="s">
        <v>10</v>
      </c>
      <c r="S276" t="s">
        <v>767</v>
      </c>
      <c r="T276" s="4">
        <v>44835</v>
      </c>
      <c r="U276" s="5">
        <v>0.35047453703703701</v>
      </c>
      <c r="V276" t="s">
        <v>13</v>
      </c>
      <c r="W276">
        <v>1.163</v>
      </c>
      <c r="X276">
        <v>3609.48</v>
      </c>
      <c r="Y276">
        <v>187356.04759999999</v>
      </c>
      <c r="Z276" t="s">
        <v>1689</v>
      </c>
      <c r="AA276">
        <v>2.23</v>
      </c>
      <c r="AB276">
        <v>90.102199999999996</v>
      </c>
      <c r="AC276">
        <v>0.17050000000000001</v>
      </c>
      <c r="AD276" t="s">
        <v>10</v>
      </c>
    </row>
    <row r="277" spans="1:30">
      <c r="A277" s="2">
        <v>276</v>
      </c>
      <c r="B277" s="3" t="s">
        <v>5</v>
      </c>
      <c r="C277" s="2" t="s">
        <v>6</v>
      </c>
      <c r="D277" s="2">
        <v>276</v>
      </c>
      <c r="E277" s="2" t="s">
        <v>768</v>
      </c>
      <c r="F277" t="s">
        <v>769</v>
      </c>
      <c r="G277" s="4">
        <v>44835</v>
      </c>
      <c r="H277" s="5">
        <v>0.35423611111111114</v>
      </c>
      <c r="I277" t="s">
        <v>9</v>
      </c>
      <c r="J277">
        <v>1.403</v>
      </c>
      <c r="K277">
        <v>0.33069999999999999</v>
      </c>
      <c r="L277">
        <v>1.7483</v>
      </c>
      <c r="M277" t="s">
        <v>10</v>
      </c>
      <c r="N277" t="s">
        <v>11</v>
      </c>
      <c r="O277">
        <v>1.923</v>
      </c>
      <c r="P277">
        <v>88.958399999999997</v>
      </c>
      <c r="Q277">
        <v>119.2072</v>
      </c>
      <c r="R277" t="s">
        <v>10</v>
      </c>
      <c r="S277" t="s">
        <v>770</v>
      </c>
      <c r="T277" s="4">
        <v>44835</v>
      </c>
      <c r="U277" s="5">
        <v>0.35423611111111114</v>
      </c>
      <c r="V277" t="s">
        <v>13</v>
      </c>
      <c r="W277">
        <v>1.1599999999999999</v>
      </c>
      <c r="X277">
        <v>2980.2979999999998</v>
      </c>
      <c r="Y277">
        <v>113565.3361</v>
      </c>
      <c r="Z277" t="s">
        <v>1689</v>
      </c>
      <c r="AA277">
        <v>2.226</v>
      </c>
      <c r="AB277">
        <v>60.299100000000003</v>
      </c>
      <c r="AC277">
        <v>4.8399999999999999E-2</v>
      </c>
      <c r="AD277" t="s">
        <v>10</v>
      </c>
    </row>
    <row r="278" spans="1:30">
      <c r="A278" s="2">
        <v>277</v>
      </c>
      <c r="B278" s="3" t="s">
        <v>5</v>
      </c>
      <c r="C278" s="2" t="s">
        <v>6</v>
      </c>
      <c r="D278" s="2">
        <v>277</v>
      </c>
      <c r="E278" s="2" t="s">
        <v>771</v>
      </c>
      <c r="F278" t="s">
        <v>772</v>
      </c>
      <c r="G278" s="4">
        <v>44835</v>
      </c>
      <c r="H278" s="5">
        <v>0.35798611111111112</v>
      </c>
      <c r="I278" t="s">
        <v>9</v>
      </c>
      <c r="J278">
        <v>1.4159999999999999</v>
      </c>
      <c r="K278">
        <v>0.35699999999999998</v>
      </c>
      <c r="L278">
        <v>1.8620000000000001</v>
      </c>
      <c r="M278" t="s">
        <v>10</v>
      </c>
      <c r="N278" t="s">
        <v>11</v>
      </c>
      <c r="O278">
        <v>1.94</v>
      </c>
      <c r="P278">
        <v>94.448999999999998</v>
      </c>
      <c r="Q278">
        <v>139.499</v>
      </c>
      <c r="R278" t="s">
        <v>10</v>
      </c>
      <c r="S278" t="s">
        <v>773</v>
      </c>
      <c r="T278" s="4">
        <v>44835</v>
      </c>
      <c r="U278" s="5">
        <v>0.35798611111111112</v>
      </c>
      <c r="V278" t="s">
        <v>13</v>
      </c>
      <c r="W278">
        <v>1.17</v>
      </c>
      <c r="X278">
        <v>3164.739</v>
      </c>
      <c r="Y278">
        <v>130213.3677</v>
      </c>
      <c r="Z278" t="s">
        <v>1689</v>
      </c>
      <c r="AA278">
        <v>2.2400000000000002</v>
      </c>
      <c r="AB278">
        <v>59.729300000000002</v>
      </c>
      <c r="AC278">
        <v>4.6100000000000002E-2</v>
      </c>
      <c r="AD278" t="s">
        <v>10</v>
      </c>
    </row>
    <row r="279" spans="1:30">
      <c r="A279" s="2">
        <v>278</v>
      </c>
      <c r="B279" s="3" t="s">
        <v>5</v>
      </c>
      <c r="C279" s="2" t="s">
        <v>6</v>
      </c>
      <c r="D279" s="2">
        <v>278</v>
      </c>
      <c r="E279" s="2" t="s">
        <v>774</v>
      </c>
      <c r="F279" t="s">
        <v>775</v>
      </c>
      <c r="G279" s="4">
        <v>44835</v>
      </c>
      <c r="H279" s="5">
        <v>0.36173611111111109</v>
      </c>
      <c r="I279" t="s">
        <v>9</v>
      </c>
      <c r="J279">
        <v>1.413</v>
      </c>
      <c r="K279">
        <v>0.3054</v>
      </c>
      <c r="L279">
        <v>1.6388</v>
      </c>
      <c r="M279" t="s">
        <v>10</v>
      </c>
      <c r="N279" t="s">
        <v>11</v>
      </c>
      <c r="O279">
        <v>1.94</v>
      </c>
      <c r="P279">
        <v>87.213999999999999</v>
      </c>
      <c r="Q279">
        <v>112.7603</v>
      </c>
      <c r="R279" t="s">
        <v>10</v>
      </c>
      <c r="S279" t="s">
        <v>776</v>
      </c>
      <c r="T279" s="4">
        <v>44835</v>
      </c>
      <c r="U279" s="5">
        <v>0.36173611111111109</v>
      </c>
      <c r="V279" t="s">
        <v>13</v>
      </c>
      <c r="W279">
        <v>1.17</v>
      </c>
      <c r="X279">
        <v>3081.5513999999998</v>
      </c>
      <c r="Y279">
        <v>122396.576</v>
      </c>
      <c r="Z279" t="s">
        <v>1689</v>
      </c>
      <c r="AA279">
        <v>2.2400000000000002</v>
      </c>
      <c r="AB279">
        <v>56.320300000000003</v>
      </c>
      <c r="AC279">
        <v>3.2099999999999997E-2</v>
      </c>
      <c r="AD279" t="s">
        <v>10</v>
      </c>
    </row>
    <row r="280" spans="1:30">
      <c r="A280" s="2">
        <v>279</v>
      </c>
      <c r="B280" s="3" t="s">
        <v>151</v>
      </c>
      <c r="C280" s="2" t="s">
        <v>6</v>
      </c>
      <c r="D280" s="2">
        <v>279</v>
      </c>
      <c r="E280" s="2" t="s">
        <v>777</v>
      </c>
      <c r="F280" t="s">
        <v>778</v>
      </c>
      <c r="G280" s="4">
        <v>44835</v>
      </c>
      <c r="H280" s="5">
        <v>0.36549768518518522</v>
      </c>
      <c r="I280" t="s">
        <v>9</v>
      </c>
      <c r="J280">
        <v>0</v>
      </c>
      <c r="K280">
        <v>0</v>
      </c>
      <c r="L280">
        <v>0</v>
      </c>
      <c r="M280" t="s">
        <v>10</v>
      </c>
      <c r="N280" t="s">
        <v>11</v>
      </c>
      <c r="O280">
        <v>1.923</v>
      </c>
      <c r="P280">
        <v>17.921199999999999</v>
      </c>
      <c r="Q280">
        <v>0</v>
      </c>
      <c r="R280" t="s">
        <v>10</v>
      </c>
      <c r="S280" t="s">
        <v>779</v>
      </c>
      <c r="T280" s="4">
        <v>44835</v>
      </c>
      <c r="U280" s="5">
        <v>0.36549768518518522</v>
      </c>
      <c r="V280" t="s">
        <v>13</v>
      </c>
      <c r="W280">
        <v>1.153</v>
      </c>
      <c r="X280">
        <v>836.04700000000003</v>
      </c>
      <c r="Y280">
        <v>0</v>
      </c>
      <c r="Z280" t="s">
        <v>1689</v>
      </c>
      <c r="AA280">
        <v>2.2360000000000002</v>
      </c>
      <c r="AB280">
        <v>6.3548999999999998</v>
      </c>
      <c r="AC280">
        <v>0</v>
      </c>
      <c r="AD280" t="s">
        <v>10</v>
      </c>
    </row>
    <row r="281" spans="1:30">
      <c r="A281" s="2">
        <v>280</v>
      </c>
      <c r="B281" s="3" t="s">
        <v>5</v>
      </c>
      <c r="C281" s="2" t="s">
        <v>6</v>
      </c>
      <c r="D281" s="2">
        <v>280</v>
      </c>
      <c r="E281" s="2" t="s">
        <v>780</v>
      </c>
      <c r="F281" t="s">
        <v>781</v>
      </c>
      <c r="G281" s="4">
        <v>44835</v>
      </c>
      <c r="H281" s="5">
        <v>0.36924768518518519</v>
      </c>
      <c r="I281" t="s">
        <v>9</v>
      </c>
      <c r="J281">
        <v>1.413</v>
      </c>
      <c r="K281">
        <v>0.35580000000000001</v>
      </c>
      <c r="L281">
        <v>1.8568</v>
      </c>
      <c r="M281" t="s">
        <v>10</v>
      </c>
      <c r="N281" t="s">
        <v>11</v>
      </c>
      <c r="O281">
        <v>1.9359999999999999</v>
      </c>
      <c r="P281">
        <v>106.1198</v>
      </c>
      <c r="Q281">
        <v>182.63130000000001</v>
      </c>
      <c r="R281" t="s">
        <v>10</v>
      </c>
      <c r="S281" t="s">
        <v>782</v>
      </c>
      <c r="T281" s="4">
        <v>44835</v>
      </c>
      <c r="U281" s="5">
        <v>0.36924768518518519</v>
      </c>
      <c r="V281" t="s">
        <v>13</v>
      </c>
      <c r="W281">
        <v>1.17</v>
      </c>
      <c r="X281">
        <v>3317.1448</v>
      </c>
      <c r="Y281">
        <v>146383.6226</v>
      </c>
      <c r="Z281" t="s">
        <v>1689</v>
      </c>
      <c r="AA281">
        <v>2.2400000000000002</v>
      </c>
      <c r="AB281">
        <v>66.504199999999997</v>
      </c>
      <c r="AC281">
        <v>7.3800000000000004E-2</v>
      </c>
      <c r="AD281" t="s">
        <v>10</v>
      </c>
    </row>
    <row r="282" spans="1:30">
      <c r="A282" s="2">
        <v>281</v>
      </c>
      <c r="B282" s="3" t="s">
        <v>158</v>
      </c>
      <c r="C282" s="2" t="s">
        <v>6</v>
      </c>
      <c r="D282" s="2">
        <v>281</v>
      </c>
      <c r="E282" s="2" t="s">
        <v>783</v>
      </c>
      <c r="F282" t="s">
        <v>784</v>
      </c>
      <c r="G282" s="4">
        <v>44835</v>
      </c>
      <c r="H282" s="5">
        <v>0.37300925925925926</v>
      </c>
      <c r="I282" t="s">
        <v>9</v>
      </c>
      <c r="J282">
        <v>0</v>
      </c>
      <c r="K282">
        <v>0</v>
      </c>
      <c r="L282">
        <v>0</v>
      </c>
      <c r="M282" t="s">
        <v>10</v>
      </c>
      <c r="N282" t="s">
        <v>11</v>
      </c>
      <c r="O282">
        <v>1.923</v>
      </c>
      <c r="P282">
        <v>20.567</v>
      </c>
      <c r="Q282">
        <v>0</v>
      </c>
      <c r="R282" t="s">
        <v>10</v>
      </c>
      <c r="S282" t="s">
        <v>785</v>
      </c>
      <c r="T282" s="4">
        <v>44835</v>
      </c>
      <c r="U282" s="5">
        <v>0.37300925925925926</v>
      </c>
      <c r="V282" t="s">
        <v>13</v>
      </c>
      <c r="W282">
        <v>1.1559999999999999</v>
      </c>
      <c r="X282">
        <v>1639.7929999999999</v>
      </c>
      <c r="Y282">
        <v>31236.651399999999</v>
      </c>
      <c r="Z282" t="s">
        <v>1689</v>
      </c>
      <c r="AA282">
        <v>2.23</v>
      </c>
      <c r="AB282">
        <v>6.9696999999999996</v>
      </c>
      <c r="AC282">
        <v>0</v>
      </c>
      <c r="AD282" t="s">
        <v>10</v>
      </c>
    </row>
    <row r="283" spans="1:30">
      <c r="A283" s="2">
        <v>282</v>
      </c>
      <c r="B283" s="3" t="s">
        <v>5</v>
      </c>
      <c r="C283" s="2" t="s">
        <v>6</v>
      </c>
      <c r="D283" s="2">
        <v>282</v>
      </c>
      <c r="E283" s="2" t="s">
        <v>786</v>
      </c>
      <c r="F283" t="s">
        <v>787</v>
      </c>
      <c r="G283" s="4">
        <v>44835</v>
      </c>
      <c r="H283" s="5">
        <v>0.37677083333333333</v>
      </c>
      <c r="I283" t="s">
        <v>9</v>
      </c>
      <c r="J283">
        <v>1.4059999999999999</v>
      </c>
      <c r="K283">
        <v>0.36180000000000001</v>
      </c>
      <c r="L283">
        <v>1.8828</v>
      </c>
      <c r="M283" t="s">
        <v>10</v>
      </c>
      <c r="N283" t="s">
        <v>11</v>
      </c>
      <c r="O283">
        <v>1.9259999999999999</v>
      </c>
      <c r="P283">
        <v>98.303700000000006</v>
      </c>
      <c r="Q283">
        <v>153.745</v>
      </c>
      <c r="R283" t="s">
        <v>10</v>
      </c>
      <c r="S283" t="s">
        <v>788</v>
      </c>
      <c r="T283" s="4">
        <v>44835</v>
      </c>
      <c r="U283" s="5">
        <v>0.37677083333333333</v>
      </c>
      <c r="V283" t="s">
        <v>13</v>
      </c>
      <c r="W283">
        <v>1.163</v>
      </c>
      <c r="X283">
        <v>3134.6559999999999</v>
      </c>
      <c r="Y283">
        <v>127281.8241</v>
      </c>
      <c r="Z283" t="s">
        <v>1689</v>
      </c>
      <c r="AA283">
        <v>2.226</v>
      </c>
      <c r="AB283">
        <v>62.6066</v>
      </c>
      <c r="AC283">
        <v>5.7799999999999997E-2</v>
      </c>
      <c r="AD283" t="s">
        <v>10</v>
      </c>
    </row>
    <row r="284" spans="1:30">
      <c r="A284" s="2">
        <v>283</v>
      </c>
      <c r="B284" s="3" t="s">
        <v>165</v>
      </c>
      <c r="C284" s="2" t="s">
        <v>6</v>
      </c>
      <c r="D284" s="2">
        <v>283</v>
      </c>
      <c r="E284" s="2" t="s">
        <v>789</v>
      </c>
      <c r="F284" t="s">
        <v>790</v>
      </c>
      <c r="G284" s="4">
        <v>44835</v>
      </c>
      <c r="H284" s="5">
        <v>0.38052083333333336</v>
      </c>
      <c r="I284" t="s">
        <v>9</v>
      </c>
      <c r="J284">
        <v>0</v>
      </c>
      <c r="K284">
        <v>0</v>
      </c>
      <c r="L284">
        <v>0</v>
      </c>
      <c r="M284" t="s">
        <v>10</v>
      </c>
      <c r="N284" t="s">
        <v>11</v>
      </c>
      <c r="O284">
        <v>1.923</v>
      </c>
      <c r="P284">
        <v>10.5108</v>
      </c>
      <c r="Q284">
        <v>0</v>
      </c>
      <c r="R284" t="s">
        <v>10</v>
      </c>
      <c r="S284" t="s">
        <v>791</v>
      </c>
      <c r="T284" s="4">
        <v>44835</v>
      </c>
      <c r="U284" s="5">
        <v>0.38052083333333336</v>
      </c>
      <c r="V284" t="s">
        <v>13</v>
      </c>
      <c r="W284">
        <v>1.1559999999999999</v>
      </c>
      <c r="X284">
        <v>2026.193</v>
      </c>
      <c r="Y284">
        <v>51009.0098</v>
      </c>
      <c r="Z284" t="s">
        <v>1689</v>
      </c>
      <c r="AA284">
        <v>2.23</v>
      </c>
      <c r="AB284">
        <v>6.2000999999999999</v>
      </c>
      <c r="AC284">
        <v>0</v>
      </c>
      <c r="AD284" t="s">
        <v>10</v>
      </c>
    </row>
    <row r="285" spans="1:30">
      <c r="A285" s="2">
        <v>284</v>
      </c>
      <c r="B285" s="3" t="s">
        <v>5</v>
      </c>
      <c r="C285" s="2" t="s">
        <v>6</v>
      </c>
      <c r="D285" s="2">
        <v>284</v>
      </c>
      <c r="E285" s="2" t="s">
        <v>792</v>
      </c>
      <c r="F285" t="s">
        <v>793</v>
      </c>
      <c r="G285" s="4">
        <v>44835</v>
      </c>
      <c r="H285" s="5">
        <v>0.38427083333333334</v>
      </c>
      <c r="I285" t="s">
        <v>9</v>
      </c>
      <c r="J285">
        <v>1.393</v>
      </c>
      <c r="K285">
        <v>0.37219999999999998</v>
      </c>
      <c r="L285">
        <v>1.9278</v>
      </c>
      <c r="M285" t="s">
        <v>10</v>
      </c>
      <c r="N285" t="s">
        <v>11</v>
      </c>
      <c r="O285">
        <v>1.9159999999999999</v>
      </c>
      <c r="P285">
        <v>99.922899999999998</v>
      </c>
      <c r="Q285">
        <v>159.72919999999999</v>
      </c>
      <c r="R285" t="s">
        <v>10</v>
      </c>
      <c r="S285" t="s">
        <v>794</v>
      </c>
      <c r="T285" s="4">
        <v>44835</v>
      </c>
      <c r="U285" s="5">
        <v>0.38427083333333334</v>
      </c>
      <c r="V285" t="s">
        <v>13</v>
      </c>
      <c r="W285">
        <v>1.1599999999999999</v>
      </c>
      <c r="X285">
        <v>2980.4605999999999</v>
      </c>
      <c r="Y285">
        <v>113579.288</v>
      </c>
      <c r="Z285" t="s">
        <v>1689</v>
      </c>
      <c r="AA285">
        <v>2.2200000000000002</v>
      </c>
      <c r="AB285">
        <v>65.514099999999999</v>
      </c>
      <c r="AC285">
        <v>6.9800000000000001E-2</v>
      </c>
      <c r="AD285" t="s">
        <v>10</v>
      </c>
    </row>
    <row r="286" spans="1:30">
      <c r="A286" s="2">
        <v>285</v>
      </c>
      <c r="B286" s="3" t="s">
        <v>172</v>
      </c>
      <c r="C286" s="2" t="s">
        <v>6</v>
      </c>
      <c r="D286" s="2">
        <v>285</v>
      </c>
      <c r="E286" s="2" t="s">
        <v>795</v>
      </c>
      <c r="F286" t="s">
        <v>796</v>
      </c>
      <c r="G286" s="4">
        <v>44835</v>
      </c>
      <c r="H286" s="5">
        <v>0.38803240740740735</v>
      </c>
      <c r="I286" t="s">
        <v>9</v>
      </c>
      <c r="J286">
        <v>0</v>
      </c>
      <c r="K286">
        <v>0</v>
      </c>
      <c r="L286">
        <v>0</v>
      </c>
      <c r="M286" t="s">
        <v>10</v>
      </c>
      <c r="N286" t="s">
        <v>11</v>
      </c>
      <c r="O286">
        <v>1.9259999999999999</v>
      </c>
      <c r="P286">
        <v>11.102600000000001</v>
      </c>
      <c r="Q286">
        <v>0</v>
      </c>
      <c r="R286" t="s">
        <v>10</v>
      </c>
      <c r="S286" t="s">
        <v>797</v>
      </c>
      <c r="T286" s="4">
        <v>44835</v>
      </c>
      <c r="U286" s="5">
        <v>0.38803240740740735</v>
      </c>
      <c r="V286" t="s">
        <v>13</v>
      </c>
      <c r="W286">
        <v>1.1599999999999999</v>
      </c>
      <c r="X286">
        <v>2753.8782000000001</v>
      </c>
      <c r="Y286">
        <v>96041.597099999999</v>
      </c>
      <c r="Z286" t="s">
        <v>1689</v>
      </c>
      <c r="AA286">
        <v>2.23</v>
      </c>
      <c r="AB286">
        <v>6.3875999999999999</v>
      </c>
      <c r="AC286">
        <v>0</v>
      </c>
      <c r="AD286" t="s">
        <v>10</v>
      </c>
    </row>
    <row r="287" spans="1:30">
      <c r="A287" s="2">
        <v>286</v>
      </c>
      <c r="B287" s="3" t="s">
        <v>5</v>
      </c>
      <c r="C287" s="2" t="s">
        <v>6</v>
      </c>
      <c r="D287" s="2">
        <v>286</v>
      </c>
      <c r="E287" s="2" t="s">
        <v>798</v>
      </c>
      <c r="F287" t="s">
        <v>799</v>
      </c>
      <c r="G287" s="4">
        <v>44835</v>
      </c>
      <c r="H287" s="5">
        <v>0.39178240740740744</v>
      </c>
      <c r="I287" t="s">
        <v>9</v>
      </c>
      <c r="J287">
        <v>1.41</v>
      </c>
      <c r="K287">
        <v>0.311</v>
      </c>
      <c r="L287">
        <v>1.6631</v>
      </c>
      <c r="M287" t="s">
        <v>10</v>
      </c>
      <c r="N287" t="s">
        <v>11</v>
      </c>
      <c r="O287">
        <v>1.93</v>
      </c>
      <c r="P287">
        <v>78.779399999999995</v>
      </c>
      <c r="Q287">
        <v>81.588200000000001</v>
      </c>
      <c r="R287" t="s">
        <v>10</v>
      </c>
      <c r="S287" t="s">
        <v>800</v>
      </c>
      <c r="T287" s="4">
        <v>44835</v>
      </c>
      <c r="U287" s="5">
        <v>0.39178240740740744</v>
      </c>
      <c r="V287" t="s">
        <v>13</v>
      </c>
      <c r="W287">
        <v>1.1659999999999999</v>
      </c>
      <c r="X287">
        <v>2864.2564000000002</v>
      </c>
      <c r="Y287">
        <v>104290.54240000001</v>
      </c>
      <c r="Z287" t="s">
        <v>1689</v>
      </c>
      <c r="AA287">
        <v>2.2330000000000001</v>
      </c>
      <c r="AB287">
        <v>53.826999999999998</v>
      </c>
      <c r="AC287">
        <v>2.1899999999999999E-2</v>
      </c>
      <c r="AD287" t="s">
        <v>10</v>
      </c>
    </row>
    <row r="288" spans="1:30">
      <c r="A288" s="2">
        <v>287</v>
      </c>
      <c r="B288" s="3" t="s">
        <v>179</v>
      </c>
      <c r="C288" s="2" t="s">
        <v>6</v>
      </c>
      <c r="D288" s="2">
        <v>287</v>
      </c>
      <c r="E288" s="2" t="s">
        <v>801</v>
      </c>
      <c r="F288" t="s">
        <v>802</v>
      </c>
      <c r="G288" s="4">
        <v>44835</v>
      </c>
      <c r="H288" s="5">
        <v>0.39553240740740742</v>
      </c>
      <c r="I288" t="s">
        <v>9</v>
      </c>
      <c r="J288">
        <v>0</v>
      </c>
      <c r="K288">
        <v>0</v>
      </c>
      <c r="L288">
        <v>0</v>
      </c>
      <c r="M288" t="s">
        <v>10</v>
      </c>
      <c r="N288" t="s">
        <v>11</v>
      </c>
      <c r="O288">
        <v>1.923</v>
      </c>
      <c r="P288">
        <v>13.2797</v>
      </c>
      <c r="Q288">
        <v>0</v>
      </c>
      <c r="R288" t="s">
        <v>10</v>
      </c>
      <c r="S288" t="s">
        <v>803</v>
      </c>
      <c r="T288" s="4">
        <v>44835</v>
      </c>
      <c r="U288" s="5">
        <v>0.39553240740740742</v>
      </c>
      <c r="V288" t="s">
        <v>13</v>
      </c>
      <c r="W288">
        <v>1.1599999999999999</v>
      </c>
      <c r="X288">
        <v>3394.9783000000002</v>
      </c>
      <c r="Y288">
        <v>156120.0068</v>
      </c>
      <c r="Z288" t="s">
        <v>1689</v>
      </c>
      <c r="AA288">
        <v>2.2160000000000002</v>
      </c>
      <c r="AB288">
        <v>6.2514000000000003</v>
      </c>
      <c r="AC288">
        <v>0</v>
      </c>
      <c r="AD288" t="s">
        <v>10</v>
      </c>
    </row>
    <row r="289" spans="1:30">
      <c r="A289" s="2">
        <v>288</v>
      </c>
      <c r="B289" s="3" t="s">
        <v>5</v>
      </c>
      <c r="C289" s="2" t="s">
        <v>6</v>
      </c>
      <c r="D289" s="2">
        <v>288</v>
      </c>
      <c r="E289" s="2" t="s">
        <v>804</v>
      </c>
      <c r="F289" t="s">
        <v>805</v>
      </c>
      <c r="G289" s="4">
        <v>44835</v>
      </c>
      <c r="H289" s="5">
        <v>0.39929398148148149</v>
      </c>
      <c r="I289" t="s">
        <v>9</v>
      </c>
      <c r="J289">
        <v>1.4059999999999999</v>
      </c>
      <c r="K289">
        <v>0.39960000000000001</v>
      </c>
      <c r="L289">
        <v>2.0463</v>
      </c>
      <c r="M289" t="s">
        <v>10</v>
      </c>
      <c r="N289" t="s">
        <v>11</v>
      </c>
      <c r="O289">
        <v>1.923</v>
      </c>
      <c r="P289">
        <v>109.82810000000001</v>
      </c>
      <c r="Q289">
        <v>196.33629999999999</v>
      </c>
      <c r="R289" t="s">
        <v>10</v>
      </c>
      <c r="S289" t="s">
        <v>806</v>
      </c>
      <c r="T289" s="4">
        <v>44835</v>
      </c>
      <c r="U289" s="5">
        <v>0.39929398148148149</v>
      </c>
      <c r="V289" t="s">
        <v>13</v>
      </c>
      <c r="W289">
        <v>1.1599999999999999</v>
      </c>
      <c r="X289">
        <v>3299.4834000000001</v>
      </c>
      <c r="Y289">
        <v>144392.33869999999</v>
      </c>
      <c r="Z289" t="s">
        <v>1689</v>
      </c>
      <c r="AA289">
        <v>2.226</v>
      </c>
      <c r="AB289">
        <v>69.6614</v>
      </c>
      <c r="AC289">
        <v>8.6800000000000002E-2</v>
      </c>
      <c r="AD289" t="s">
        <v>10</v>
      </c>
    </row>
    <row r="290" spans="1:30">
      <c r="A290" s="2">
        <v>289</v>
      </c>
      <c r="B290" s="3" t="s">
        <v>5</v>
      </c>
      <c r="C290" s="2" t="s">
        <v>6</v>
      </c>
      <c r="D290" s="2">
        <v>289</v>
      </c>
      <c r="E290" s="2" t="s">
        <v>807</v>
      </c>
      <c r="F290" t="s">
        <v>808</v>
      </c>
      <c r="G290" s="4">
        <v>44835</v>
      </c>
      <c r="H290" s="5">
        <v>0.40304398148148146</v>
      </c>
      <c r="I290" t="s">
        <v>9</v>
      </c>
      <c r="J290">
        <v>1.4</v>
      </c>
      <c r="K290">
        <v>0.3337</v>
      </c>
      <c r="L290">
        <v>1.7612000000000001</v>
      </c>
      <c r="M290" t="s">
        <v>10</v>
      </c>
      <c r="N290" t="s">
        <v>11</v>
      </c>
      <c r="O290">
        <v>1.9159999999999999</v>
      </c>
      <c r="P290">
        <v>86.935599999999994</v>
      </c>
      <c r="Q290">
        <v>111.73139999999999</v>
      </c>
      <c r="R290" t="s">
        <v>10</v>
      </c>
      <c r="S290" t="s">
        <v>809</v>
      </c>
      <c r="T290" s="4">
        <v>44835</v>
      </c>
      <c r="U290" s="5">
        <v>0.40304398148148146</v>
      </c>
      <c r="V290" t="s">
        <v>13</v>
      </c>
      <c r="W290">
        <v>1.1599999999999999</v>
      </c>
      <c r="X290">
        <v>2851.2806</v>
      </c>
      <c r="Y290">
        <v>103295.98299999999</v>
      </c>
      <c r="Z290" t="s">
        <v>1689</v>
      </c>
      <c r="AA290">
        <v>2.2160000000000002</v>
      </c>
      <c r="AB290">
        <v>54.069899999999997</v>
      </c>
      <c r="AC290">
        <v>2.29E-2</v>
      </c>
      <c r="AD290" t="s">
        <v>10</v>
      </c>
    </row>
    <row r="291" spans="1:30">
      <c r="A291" s="2">
        <v>290</v>
      </c>
      <c r="B291" s="3" t="s">
        <v>5</v>
      </c>
      <c r="C291" s="2" t="s">
        <v>6</v>
      </c>
      <c r="D291" s="2">
        <v>290</v>
      </c>
      <c r="E291" s="2" t="s">
        <v>810</v>
      </c>
      <c r="F291" t="s">
        <v>811</v>
      </c>
      <c r="G291" s="4">
        <v>44835</v>
      </c>
      <c r="H291" s="5">
        <v>0.40680555555555559</v>
      </c>
      <c r="I291" t="s">
        <v>9</v>
      </c>
      <c r="J291">
        <v>1.413</v>
      </c>
      <c r="K291">
        <v>0.35539999999999999</v>
      </c>
      <c r="L291">
        <v>1.8551</v>
      </c>
      <c r="M291" t="s">
        <v>10</v>
      </c>
      <c r="N291" t="s">
        <v>11</v>
      </c>
      <c r="O291">
        <v>1.9359999999999999</v>
      </c>
      <c r="P291">
        <v>99.642200000000003</v>
      </c>
      <c r="Q291">
        <v>158.6918</v>
      </c>
      <c r="R291" t="s">
        <v>10</v>
      </c>
      <c r="S291" t="s">
        <v>812</v>
      </c>
      <c r="T291" s="4">
        <v>44835</v>
      </c>
      <c r="U291" s="5">
        <v>0.40680555555555559</v>
      </c>
      <c r="V291" t="s">
        <v>13</v>
      </c>
      <c r="W291">
        <v>1.17</v>
      </c>
      <c r="X291">
        <v>3258.3261000000002</v>
      </c>
      <c r="Y291">
        <v>139770.0006</v>
      </c>
      <c r="Z291" t="s">
        <v>1689</v>
      </c>
      <c r="AA291">
        <v>2.2400000000000002</v>
      </c>
      <c r="AB291">
        <v>62.866399999999999</v>
      </c>
      <c r="AC291">
        <v>5.8900000000000001E-2</v>
      </c>
      <c r="AD291" t="s">
        <v>10</v>
      </c>
    </row>
    <row r="292" spans="1:30">
      <c r="A292" s="2">
        <v>1</v>
      </c>
      <c r="B292" s="3" t="s">
        <v>5</v>
      </c>
      <c r="C292" s="2" t="s">
        <v>6</v>
      </c>
      <c r="D292" s="2">
        <v>291</v>
      </c>
      <c r="E292" s="2" t="s">
        <v>813</v>
      </c>
      <c r="F292" t="s">
        <v>814</v>
      </c>
      <c r="G292" s="4">
        <v>44837</v>
      </c>
      <c r="H292" s="5">
        <v>0.4644212962962963</v>
      </c>
      <c r="I292" t="s">
        <v>9</v>
      </c>
      <c r="J292">
        <v>1.41</v>
      </c>
      <c r="K292">
        <v>0.30759999999999998</v>
      </c>
      <c r="L292">
        <v>1.6484000000000001</v>
      </c>
      <c r="M292" t="s">
        <v>10</v>
      </c>
      <c r="N292" t="s">
        <v>11</v>
      </c>
      <c r="O292">
        <v>1.9630000000000001</v>
      </c>
      <c r="P292">
        <v>97.270200000000003</v>
      </c>
      <c r="Q292">
        <v>149.9255</v>
      </c>
      <c r="R292" t="s">
        <v>10</v>
      </c>
      <c r="S292" t="s">
        <v>815</v>
      </c>
      <c r="T292" s="4">
        <v>44837</v>
      </c>
      <c r="U292" s="5">
        <v>0.4644212962962963</v>
      </c>
      <c r="V292" t="s">
        <v>13</v>
      </c>
      <c r="W292">
        <v>1.1599999999999999</v>
      </c>
      <c r="X292">
        <v>3160.2440999999999</v>
      </c>
      <c r="Y292">
        <v>129775.34639999999</v>
      </c>
      <c r="Z292" t="s">
        <v>1689</v>
      </c>
      <c r="AA292">
        <v>2.2829999999999999</v>
      </c>
      <c r="AB292">
        <v>52.201500000000003</v>
      </c>
      <c r="AC292">
        <v>1.52E-2</v>
      </c>
      <c r="AD292" t="s">
        <v>10</v>
      </c>
    </row>
    <row r="293" spans="1:30">
      <c r="A293" s="2">
        <v>2</v>
      </c>
      <c r="B293" s="3" t="s">
        <v>5</v>
      </c>
      <c r="C293" s="2" t="s">
        <v>6</v>
      </c>
      <c r="D293" s="2">
        <v>292</v>
      </c>
      <c r="E293" s="2" t="s">
        <v>816</v>
      </c>
      <c r="F293" t="s">
        <v>817</v>
      </c>
      <c r="G293" s="4">
        <v>44837</v>
      </c>
      <c r="H293" s="5">
        <v>0.46815972222222224</v>
      </c>
      <c r="I293" t="s">
        <v>9</v>
      </c>
      <c r="J293">
        <v>1.403</v>
      </c>
      <c r="K293">
        <v>0.31559999999999999</v>
      </c>
      <c r="L293">
        <v>1.6830000000000001</v>
      </c>
      <c r="M293" t="s">
        <v>10</v>
      </c>
      <c r="N293" t="s">
        <v>11</v>
      </c>
      <c r="O293">
        <v>1.9630000000000001</v>
      </c>
      <c r="P293">
        <v>88.338200000000001</v>
      </c>
      <c r="Q293">
        <v>116.9151</v>
      </c>
      <c r="R293" t="s">
        <v>10</v>
      </c>
      <c r="S293" t="s">
        <v>818</v>
      </c>
      <c r="T293" s="4">
        <v>44837</v>
      </c>
      <c r="U293" s="5">
        <v>0.46815972222222224</v>
      </c>
      <c r="V293" t="s">
        <v>13</v>
      </c>
      <c r="W293">
        <v>1.1559999999999999</v>
      </c>
      <c r="X293">
        <v>3044.3778000000002</v>
      </c>
      <c r="Y293">
        <v>119063.7159</v>
      </c>
      <c r="Z293" t="s">
        <v>1689</v>
      </c>
      <c r="AA293">
        <v>2.2829999999999999</v>
      </c>
      <c r="AB293">
        <v>51.236699999999999</v>
      </c>
      <c r="AC293">
        <v>1.12E-2</v>
      </c>
      <c r="AD293" t="s">
        <v>10</v>
      </c>
    </row>
    <row r="294" spans="1:30">
      <c r="A294" s="2">
        <v>3</v>
      </c>
      <c r="B294" s="3" t="s">
        <v>5</v>
      </c>
      <c r="C294" s="2" t="s">
        <v>6</v>
      </c>
      <c r="D294" s="2">
        <v>293</v>
      </c>
      <c r="E294" s="2" t="s">
        <v>819</v>
      </c>
      <c r="F294" t="s">
        <v>820</v>
      </c>
      <c r="G294" s="4">
        <v>44837</v>
      </c>
      <c r="H294" s="5">
        <v>0.47190972222222222</v>
      </c>
      <c r="I294" t="s">
        <v>9</v>
      </c>
      <c r="J294">
        <v>1.413</v>
      </c>
      <c r="K294">
        <v>0.31259999999999999</v>
      </c>
      <c r="L294">
        <v>1.67</v>
      </c>
      <c r="M294" t="s">
        <v>10</v>
      </c>
      <c r="N294" t="s">
        <v>11</v>
      </c>
      <c r="O294">
        <v>1.966</v>
      </c>
      <c r="P294">
        <v>98.940700000000007</v>
      </c>
      <c r="Q294">
        <v>156.0992</v>
      </c>
      <c r="R294" t="s">
        <v>10</v>
      </c>
      <c r="S294" t="s">
        <v>821</v>
      </c>
      <c r="T294" s="4">
        <v>44837</v>
      </c>
      <c r="U294" s="5">
        <v>0.47190972222222222</v>
      </c>
      <c r="V294" t="s">
        <v>13</v>
      </c>
      <c r="W294">
        <v>1.163</v>
      </c>
      <c r="X294">
        <v>3031.8935999999999</v>
      </c>
      <c r="Y294">
        <v>117992.5067</v>
      </c>
      <c r="Z294" t="s">
        <v>1689</v>
      </c>
      <c r="AA294">
        <v>2.286</v>
      </c>
      <c r="AB294">
        <v>50.114800000000002</v>
      </c>
      <c r="AC294">
        <v>6.6E-3</v>
      </c>
      <c r="AD294" t="s">
        <v>10</v>
      </c>
    </row>
    <row r="295" spans="1:30">
      <c r="A295" s="2">
        <v>4</v>
      </c>
      <c r="B295" s="3" t="s">
        <v>5</v>
      </c>
      <c r="C295" s="2" t="s">
        <v>6</v>
      </c>
      <c r="D295" s="2">
        <v>294</v>
      </c>
      <c r="E295" s="2" t="s">
        <v>822</v>
      </c>
      <c r="F295" t="s">
        <v>823</v>
      </c>
      <c r="G295" s="4">
        <v>44837</v>
      </c>
      <c r="H295" s="5">
        <v>0.4756481481481481</v>
      </c>
      <c r="I295" t="s">
        <v>9</v>
      </c>
      <c r="J295">
        <v>1.413</v>
      </c>
      <c r="K295">
        <v>0.35</v>
      </c>
      <c r="L295">
        <v>1.8317000000000001</v>
      </c>
      <c r="M295" t="s">
        <v>10</v>
      </c>
      <c r="N295" t="s">
        <v>11</v>
      </c>
      <c r="O295">
        <v>1.9630000000000001</v>
      </c>
      <c r="P295">
        <v>114.44880000000001</v>
      </c>
      <c r="Q295">
        <v>213.41319999999999</v>
      </c>
      <c r="R295" t="s">
        <v>10</v>
      </c>
      <c r="S295" t="s">
        <v>824</v>
      </c>
      <c r="T295" s="4">
        <v>44837</v>
      </c>
      <c r="U295" s="5">
        <v>0.4756481481481481</v>
      </c>
      <c r="V295" t="s">
        <v>13</v>
      </c>
      <c r="W295">
        <v>1.1559999999999999</v>
      </c>
      <c r="X295">
        <v>3182.085</v>
      </c>
      <c r="Y295">
        <v>131903.7096</v>
      </c>
      <c r="Z295" t="s">
        <v>1689</v>
      </c>
      <c r="AA295">
        <v>2.2829999999999999</v>
      </c>
      <c r="AB295">
        <v>59.204500000000003</v>
      </c>
      <c r="AC295">
        <v>4.3900000000000002E-2</v>
      </c>
      <c r="AD295" t="s">
        <v>10</v>
      </c>
    </row>
    <row r="296" spans="1:30">
      <c r="A296" s="2">
        <v>5</v>
      </c>
      <c r="B296" s="3" t="s">
        <v>5</v>
      </c>
      <c r="C296" s="2" t="s">
        <v>6</v>
      </c>
      <c r="D296" s="2">
        <v>295</v>
      </c>
      <c r="E296" s="2" t="s">
        <v>825</v>
      </c>
      <c r="F296" t="s">
        <v>826</v>
      </c>
      <c r="G296" s="4">
        <v>44837</v>
      </c>
      <c r="H296" s="5">
        <v>0.47939814814814818</v>
      </c>
      <c r="I296" t="s">
        <v>9</v>
      </c>
      <c r="J296">
        <v>1.42</v>
      </c>
      <c r="K296">
        <v>0.3498</v>
      </c>
      <c r="L296">
        <v>1.8309</v>
      </c>
      <c r="M296" t="s">
        <v>10</v>
      </c>
      <c r="N296" t="s">
        <v>11</v>
      </c>
      <c r="O296">
        <v>1.976</v>
      </c>
      <c r="P296">
        <v>109.86199999999999</v>
      </c>
      <c r="Q296">
        <v>196.4616</v>
      </c>
      <c r="R296" t="s">
        <v>10</v>
      </c>
      <c r="S296" t="s">
        <v>827</v>
      </c>
      <c r="T296" s="4">
        <v>44837</v>
      </c>
      <c r="U296" s="5">
        <v>0.47939814814814818</v>
      </c>
      <c r="V296" t="s">
        <v>13</v>
      </c>
      <c r="W296">
        <v>1.1659999999999999</v>
      </c>
      <c r="X296">
        <v>3262.5335</v>
      </c>
      <c r="Y296">
        <v>140226.3187</v>
      </c>
      <c r="Z296" t="s">
        <v>1689</v>
      </c>
      <c r="AA296">
        <v>2.2999999999999998</v>
      </c>
      <c r="AB296">
        <v>60.204900000000002</v>
      </c>
      <c r="AC296">
        <v>4.8000000000000001E-2</v>
      </c>
      <c r="AD296" t="s">
        <v>10</v>
      </c>
    </row>
    <row r="297" spans="1:30">
      <c r="A297" s="2">
        <v>6</v>
      </c>
      <c r="B297" s="3" t="s">
        <v>5</v>
      </c>
      <c r="C297" s="2" t="s">
        <v>6</v>
      </c>
      <c r="D297" s="2">
        <v>296</v>
      </c>
      <c r="E297" s="2" t="s">
        <v>828</v>
      </c>
      <c r="F297" t="s">
        <v>829</v>
      </c>
      <c r="G297" s="4">
        <v>44837</v>
      </c>
      <c r="H297" s="5">
        <v>0.48314814814814816</v>
      </c>
      <c r="I297" t="s">
        <v>9</v>
      </c>
      <c r="J297">
        <v>1.4159999999999999</v>
      </c>
      <c r="K297">
        <v>0.27200000000000002</v>
      </c>
      <c r="L297">
        <v>1.4944</v>
      </c>
      <c r="M297" t="s">
        <v>10</v>
      </c>
      <c r="N297" t="s">
        <v>11</v>
      </c>
      <c r="O297">
        <v>1.97</v>
      </c>
      <c r="P297">
        <v>87.529799999999994</v>
      </c>
      <c r="Q297">
        <v>113.92740000000001</v>
      </c>
      <c r="R297" t="s">
        <v>10</v>
      </c>
      <c r="S297" t="s">
        <v>830</v>
      </c>
      <c r="T297" s="4">
        <v>44837</v>
      </c>
      <c r="U297" s="5">
        <v>0.48314814814814816</v>
      </c>
      <c r="V297" t="s">
        <v>13</v>
      </c>
      <c r="W297">
        <v>1.163</v>
      </c>
      <c r="X297">
        <v>2967.3470000000002</v>
      </c>
      <c r="Y297">
        <v>112503.6409</v>
      </c>
      <c r="Z297" t="s">
        <v>1689</v>
      </c>
      <c r="AA297">
        <v>2.29</v>
      </c>
      <c r="AB297">
        <v>46.564999999999998</v>
      </c>
      <c r="AC297">
        <v>0</v>
      </c>
      <c r="AD297" t="s">
        <v>10</v>
      </c>
    </row>
    <row r="298" spans="1:30">
      <c r="A298" s="2">
        <v>7</v>
      </c>
      <c r="B298" s="3" t="s">
        <v>5</v>
      </c>
      <c r="C298" s="2" t="s">
        <v>6</v>
      </c>
      <c r="D298" s="2">
        <v>297</v>
      </c>
      <c r="E298" s="2" t="s">
        <v>831</v>
      </c>
      <c r="F298" t="s">
        <v>832</v>
      </c>
      <c r="G298" s="4">
        <v>44837</v>
      </c>
      <c r="H298" s="5">
        <v>0.48689814814814819</v>
      </c>
      <c r="I298" t="s">
        <v>9</v>
      </c>
      <c r="J298">
        <v>1.423</v>
      </c>
      <c r="K298">
        <v>0.30509999999999998</v>
      </c>
      <c r="L298">
        <v>1.6375</v>
      </c>
      <c r="M298" t="s">
        <v>10</v>
      </c>
      <c r="N298" t="s">
        <v>11</v>
      </c>
      <c r="O298">
        <v>1.98</v>
      </c>
      <c r="P298">
        <v>91.555099999999996</v>
      </c>
      <c r="Q298">
        <v>128.8039</v>
      </c>
      <c r="R298" t="s">
        <v>10</v>
      </c>
      <c r="S298" t="s">
        <v>833</v>
      </c>
      <c r="T298" s="4">
        <v>44837</v>
      </c>
      <c r="U298" s="5">
        <v>0.48689814814814819</v>
      </c>
      <c r="V298" t="s">
        <v>13</v>
      </c>
      <c r="W298">
        <v>1.1659999999999999</v>
      </c>
      <c r="X298">
        <v>3090.4366</v>
      </c>
      <c r="Y298">
        <v>123207.4124</v>
      </c>
      <c r="Z298" t="s">
        <v>1689</v>
      </c>
      <c r="AA298">
        <v>2.2999999999999998</v>
      </c>
      <c r="AB298">
        <v>50.246400000000001</v>
      </c>
      <c r="AC298">
        <v>7.1999999999999998E-3</v>
      </c>
      <c r="AD298" t="s">
        <v>10</v>
      </c>
    </row>
    <row r="299" spans="1:30">
      <c r="A299" s="2">
        <v>8</v>
      </c>
      <c r="B299" s="3" t="s">
        <v>5</v>
      </c>
      <c r="C299" s="2" t="s">
        <v>6</v>
      </c>
      <c r="D299" s="2">
        <v>298</v>
      </c>
      <c r="E299" s="2" t="s">
        <v>834</v>
      </c>
      <c r="F299" t="s">
        <v>835</v>
      </c>
      <c r="G299" s="4">
        <v>44837</v>
      </c>
      <c r="H299" s="5">
        <v>0.49064814814814817</v>
      </c>
      <c r="I299" t="s">
        <v>9</v>
      </c>
      <c r="J299">
        <v>1.42</v>
      </c>
      <c r="K299">
        <v>0.32579999999999998</v>
      </c>
      <c r="L299">
        <v>1.7271000000000001</v>
      </c>
      <c r="M299" t="s">
        <v>10</v>
      </c>
      <c r="N299" t="s">
        <v>11</v>
      </c>
      <c r="O299">
        <v>1.9730000000000001</v>
      </c>
      <c r="P299">
        <v>110.2364</v>
      </c>
      <c r="Q299">
        <v>197.84530000000001</v>
      </c>
      <c r="R299" t="s">
        <v>10</v>
      </c>
      <c r="S299" t="s">
        <v>836</v>
      </c>
      <c r="T299" s="4">
        <v>44837</v>
      </c>
      <c r="U299" s="5">
        <v>0.49064814814814817</v>
      </c>
      <c r="V299" t="s">
        <v>13</v>
      </c>
      <c r="W299">
        <v>1.1659999999999999</v>
      </c>
      <c r="X299">
        <v>3227.6073000000001</v>
      </c>
      <c r="Y299">
        <v>136558.6151</v>
      </c>
      <c r="Z299" t="s">
        <v>1689</v>
      </c>
      <c r="AA299">
        <v>2.2930000000000001</v>
      </c>
      <c r="AB299">
        <v>63.269399999999997</v>
      </c>
      <c r="AC299">
        <v>6.0600000000000001E-2</v>
      </c>
      <c r="AD299" t="s">
        <v>10</v>
      </c>
    </row>
    <row r="300" spans="1:30">
      <c r="A300" s="2">
        <v>9</v>
      </c>
      <c r="B300" s="3" t="s">
        <v>5</v>
      </c>
      <c r="C300" s="2" t="s">
        <v>6</v>
      </c>
      <c r="D300" s="2">
        <v>299</v>
      </c>
      <c r="E300" s="2" t="s">
        <v>837</v>
      </c>
      <c r="F300" t="s">
        <v>838</v>
      </c>
      <c r="G300" s="4">
        <v>44837</v>
      </c>
      <c r="H300" s="5">
        <v>0.49438657407407405</v>
      </c>
      <c r="I300" t="s">
        <v>9</v>
      </c>
      <c r="J300">
        <v>1.42</v>
      </c>
      <c r="K300">
        <v>0.30130000000000001</v>
      </c>
      <c r="L300">
        <v>1.6211</v>
      </c>
      <c r="M300" t="s">
        <v>10</v>
      </c>
      <c r="N300" t="s">
        <v>11</v>
      </c>
      <c r="O300">
        <v>1.976</v>
      </c>
      <c r="P300">
        <v>89.327399999999997</v>
      </c>
      <c r="Q300">
        <v>120.57089999999999</v>
      </c>
      <c r="R300" t="s">
        <v>10</v>
      </c>
      <c r="S300" t="s">
        <v>839</v>
      </c>
      <c r="T300" s="4">
        <v>44837</v>
      </c>
      <c r="U300" s="5">
        <v>0.49438657407407405</v>
      </c>
      <c r="V300" t="s">
        <v>13</v>
      </c>
      <c r="W300">
        <v>1.163</v>
      </c>
      <c r="X300">
        <v>3018.9292</v>
      </c>
      <c r="Y300">
        <v>116880.0938</v>
      </c>
      <c r="Z300" t="s">
        <v>1689</v>
      </c>
      <c r="AA300">
        <v>2.2959999999999998</v>
      </c>
      <c r="AB300">
        <v>50.294600000000003</v>
      </c>
      <c r="AC300">
        <v>7.4000000000000003E-3</v>
      </c>
      <c r="AD300" t="s">
        <v>10</v>
      </c>
    </row>
    <row r="301" spans="1:30">
      <c r="A301" s="2">
        <v>10</v>
      </c>
      <c r="B301" s="3" t="s">
        <v>5</v>
      </c>
      <c r="C301" s="2" t="s">
        <v>6</v>
      </c>
      <c r="D301" s="2">
        <v>300</v>
      </c>
      <c r="E301" s="2" t="s">
        <v>840</v>
      </c>
      <c r="F301" t="s">
        <v>841</v>
      </c>
      <c r="G301" s="4">
        <v>44837</v>
      </c>
      <c r="H301" s="5">
        <v>0.49812499999999998</v>
      </c>
      <c r="I301" t="s">
        <v>9</v>
      </c>
      <c r="J301">
        <v>1.4059999999999999</v>
      </c>
      <c r="K301">
        <v>0.32740000000000002</v>
      </c>
      <c r="L301">
        <v>1.734</v>
      </c>
      <c r="M301" t="s">
        <v>10</v>
      </c>
      <c r="N301" t="s">
        <v>11</v>
      </c>
      <c r="O301">
        <v>1.9630000000000001</v>
      </c>
      <c r="P301">
        <v>97.526899999999998</v>
      </c>
      <c r="Q301">
        <v>150.8742</v>
      </c>
      <c r="R301" t="s">
        <v>10</v>
      </c>
      <c r="S301" t="s">
        <v>842</v>
      </c>
      <c r="T301" s="4">
        <v>44837</v>
      </c>
      <c r="U301" s="5">
        <v>0.49812499999999998</v>
      </c>
      <c r="V301" t="s">
        <v>13</v>
      </c>
      <c r="W301">
        <v>1.1559999999999999</v>
      </c>
      <c r="X301">
        <v>3034.0111999999999</v>
      </c>
      <c r="Y301">
        <v>118174.2077</v>
      </c>
      <c r="Z301" t="s">
        <v>1689</v>
      </c>
      <c r="AA301">
        <v>2.2829999999999999</v>
      </c>
      <c r="AB301">
        <v>56.320599999999999</v>
      </c>
      <c r="AC301">
        <v>3.2099999999999997E-2</v>
      </c>
      <c r="AD301" t="s">
        <v>10</v>
      </c>
    </row>
    <row r="302" spans="1:30">
      <c r="A302" s="2">
        <v>11</v>
      </c>
      <c r="B302" s="3" t="s">
        <v>41</v>
      </c>
      <c r="C302" s="2" t="s">
        <v>6</v>
      </c>
      <c r="D302" s="2">
        <v>301</v>
      </c>
      <c r="E302" s="2" t="s">
        <v>843</v>
      </c>
      <c r="F302" t="s">
        <v>844</v>
      </c>
      <c r="G302" s="4">
        <v>44837</v>
      </c>
      <c r="H302" s="5">
        <v>0.50188657407407411</v>
      </c>
      <c r="I302" t="s">
        <v>9</v>
      </c>
      <c r="J302">
        <v>0</v>
      </c>
      <c r="K302">
        <v>0</v>
      </c>
      <c r="L302">
        <v>0</v>
      </c>
      <c r="M302" t="s">
        <v>10</v>
      </c>
      <c r="N302" t="s">
        <v>11</v>
      </c>
      <c r="O302">
        <v>1.9730000000000001</v>
      </c>
      <c r="P302">
        <v>47.130099999999999</v>
      </c>
      <c r="Q302">
        <v>0</v>
      </c>
      <c r="R302" t="s">
        <v>10</v>
      </c>
      <c r="S302" t="s">
        <v>845</v>
      </c>
      <c r="T302" s="4">
        <v>44837</v>
      </c>
      <c r="U302" s="5">
        <v>0.50188657407407411</v>
      </c>
      <c r="V302" t="s">
        <v>13</v>
      </c>
      <c r="W302">
        <v>1.163</v>
      </c>
      <c r="X302">
        <v>1244.2501999999999</v>
      </c>
      <c r="Y302">
        <v>12854.1486</v>
      </c>
      <c r="Z302" t="s">
        <v>1689</v>
      </c>
      <c r="AA302">
        <v>2.29</v>
      </c>
      <c r="AB302">
        <v>19.007999999999999</v>
      </c>
      <c r="AC302">
        <v>0</v>
      </c>
      <c r="AD302" t="s">
        <v>10</v>
      </c>
    </row>
    <row r="303" spans="1:30">
      <c r="A303" s="2">
        <v>12</v>
      </c>
      <c r="B303" s="3" t="s">
        <v>5</v>
      </c>
      <c r="C303" s="2" t="s">
        <v>6</v>
      </c>
      <c r="D303" s="2">
        <v>302</v>
      </c>
      <c r="E303" s="2" t="s">
        <v>846</v>
      </c>
      <c r="F303" t="s">
        <v>847</v>
      </c>
      <c r="G303" s="4">
        <v>44837</v>
      </c>
      <c r="H303" s="5">
        <v>0.50563657407407414</v>
      </c>
      <c r="I303" t="s">
        <v>9</v>
      </c>
      <c r="J303">
        <v>1.413</v>
      </c>
      <c r="K303">
        <v>0.35</v>
      </c>
      <c r="L303">
        <v>1.8317000000000001</v>
      </c>
      <c r="M303" t="s">
        <v>10</v>
      </c>
      <c r="N303" t="s">
        <v>11</v>
      </c>
      <c r="O303">
        <v>1.9730000000000001</v>
      </c>
      <c r="P303">
        <v>96.7958</v>
      </c>
      <c r="Q303">
        <v>148.1722</v>
      </c>
      <c r="R303" t="s">
        <v>10</v>
      </c>
      <c r="S303" t="s">
        <v>848</v>
      </c>
      <c r="T303" s="4">
        <v>44837</v>
      </c>
      <c r="U303" s="5">
        <v>0.50563657407407414</v>
      </c>
      <c r="V303" t="s">
        <v>13</v>
      </c>
      <c r="W303">
        <v>1.163</v>
      </c>
      <c r="X303">
        <v>3047.4212000000002</v>
      </c>
      <c r="Y303">
        <v>119324.8554</v>
      </c>
      <c r="Z303" t="s">
        <v>1689</v>
      </c>
      <c r="AA303">
        <v>2.2930000000000001</v>
      </c>
      <c r="AB303">
        <v>56.365600000000001</v>
      </c>
      <c r="AC303">
        <v>3.2300000000000002E-2</v>
      </c>
      <c r="AD303" t="s">
        <v>10</v>
      </c>
    </row>
    <row r="304" spans="1:30">
      <c r="A304" s="2">
        <v>13</v>
      </c>
      <c r="B304" s="3" t="s">
        <v>48</v>
      </c>
      <c r="C304" s="2" t="s">
        <v>6</v>
      </c>
      <c r="D304" s="2">
        <v>303</v>
      </c>
      <c r="E304" s="2" t="s">
        <v>849</v>
      </c>
      <c r="F304" t="s">
        <v>850</v>
      </c>
      <c r="G304" s="4">
        <v>44837</v>
      </c>
      <c r="H304" s="5">
        <v>0.50938657407407406</v>
      </c>
      <c r="I304" t="s">
        <v>9</v>
      </c>
      <c r="J304">
        <v>1.403</v>
      </c>
      <c r="K304">
        <v>0.251</v>
      </c>
      <c r="L304">
        <v>1.4035</v>
      </c>
      <c r="M304" t="s">
        <v>10</v>
      </c>
      <c r="N304" t="s">
        <v>11</v>
      </c>
      <c r="O304">
        <v>1.96</v>
      </c>
      <c r="P304">
        <v>88.7624</v>
      </c>
      <c r="Q304">
        <v>118.4828</v>
      </c>
      <c r="R304" t="s">
        <v>10</v>
      </c>
      <c r="S304" t="s">
        <v>851</v>
      </c>
      <c r="T304" s="4">
        <v>44837</v>
      </c>
      <c r="U304" s="5">
        <v>0.50938657407407406</v>
      </c>
      <c r="V304" t="s">
        <v>13</v>
      </c>
      <c r="W304">
        <v>1.1559999999999999</v>
      </c>
      <c r="X304">
        <v>3247.2718</v>
      </c>
      <c r="Y304">
        <v>138614.3689</v>
      </c>
      <c r="Z304" t="s">
        <v>1689</v>
      </c>
      <c r="AA304">
        <v>2.2799999999999998</v>
      </c>
      <c r="AB304">
        <v>58.491799999999998</v>
      </c>
      <c r="AC304">
        <v>4.1000000000000002E-2</v>
      </c>
      <c r="AD304" t="s">
        <v>10</v>
      </c>
    </row>
    <row r="305" spans="1:30">
      <c r="A305" s="2">
        <v>14</v>
      </c>
      <c r="B305" s="3" t="s">
        <v>5</v>
      </c>
      <c r="C305" s="2" t="s">
        <v>6</v>
      </c>
      <c r="D305" s="2">
        <v>304</v>
      </c>
      <c r="E305" s="2" t="s">
        <v>852</v>
      </c>
      <c r="F305" t="s">
        <v>853</v>
      </c>
      <c r="G305" s="4">
        <v>44837</v>
      </c>
      <c r="H305" s="5">
        <v>0.51312499999999994</v>
      </c>
      <c r="I305" t="s">
        <v>9</v>
      </c>
      <c r="J305">
        <v>1.4159999999999999</v>
      </c>
      <c r="K305">
        <v>0.32700000000000001</v>
      </c>
      <c r="L305">
        <v>1.7323</v>
      </c>
      <c r="M305" t="s">
        <v>10</v>
      </c>
      <c r="N305" t="s">
        <v>11</v>
      </c>
      <c r="O305">
        <v>1.97</v>
      </c>
      <c r="P305">
        <v>101.4419</v>
      </c>
      <c r="Q305">
        <v>165.34299999999999</v>
      </c>
      <c r="R305" t="s">
        <v>10</v>
      </c>
      <c r="S305" t="s">
        <v>854</v>
      </c>
      <c r="T305" s="4">
        <v>44837</v>
      </c>
      <c r="U305" s="5">
        <v>0.51312499999999994</v>
      </c>
      <c r="V305" t="s">
        <v>13</v>
      </c>
      <c r="W305">
        <v>1.163</v>
      </c>
      <c r="X305">
        <v>3055.6819999999998</v>
      </c>
      <c r="Y305">
        <v>120035.8131</v>
      </c>
      <c r="Z305" t="s">
        <v>1689</v>
      </c>
      <c r="AA305">
        <v>2.29</v>
      </c>
      <c r="AB305">
        <v>60.294800000000002</v>
      </c>
      <c r="AC305">
        <v>4.8399999999999999E-2</v>
      </c>
      <c r="AD305" t="s">
        <v>10</v>
      </c>
    </row>
    <row r="306" spans="1:30">
      <c r="A306" s="2">
        <v>15</v>
      </c>
      <c r="B306" s="3" t="s">
        <v>55</v>
      </c>
      <c r="C306" s="2" t="s">
        <v>6</v>
      </c>
      <c r="D306" s="2">
        <v>305</v>
      </c>
      <c r="E306" s="2" t="s">
        <v>855</v>
      </c>
      <c r="F306" t="s">
        <v>856</v>
      </c>
      <c r="G306" s="4">
        <v>44837</v>
      </c>
      <c r="H306" s="5">
        <v>0.51687499999999997</v>
      </c>
      <c r="I306" t="s">
        <v>9</v>
      </c>
      <c r="J306">
        <v>1.41</v>
      </c>
      <c r="K306">
        <v>0.71160000000000001</v>
      </c>
      <c r="L306">
        <v>3.3957000000000002</v>
      </c>
      <c r="M306" t="s">
        <v>10</v>
      </c>
      <c r="N306" t="s">
        <v>11</v>
      </c>
      <c r="O306">
        <v>1.966</v>
      </c>
      <c r="P306">
        <v>172.0549</v>
      </c>
      <c r="Q306">
        <v>426.31079999999997</v>
      </c>
      <c r="R306" t="s">
        <v>10</v>
      </c>
      <c r="S306" t="s">
        <v>857</v>
      </c>
      <c r="T306" s="4">
        <v>44837</v>
      </c>
      <c r="U306" s="5">
        <v>0.51687499999999997</v>
      </c>
      <c r="V306" t="s">
        <v>13</v>
      </c>
      <c r="W306">
        <v>1.1559999999999999</v>
      </c>
      <c r="X306">
        <v>3804.6948000000002</v>
      </c>
      <c r="Y306">
        <v>216146.08290000001</v>
      </c>
      <c r="Z306" t="s">
        <v>1689</v>
      </c>
      <c r="AA306">
        <v>2.286</v>
      </c>
      <c r="AB306">
        <v>96.941800000000001</v>
      </c>
      <c r="AC306">
        <v>0.1986</v>
      </c>
      <c r="AD306" t="s">
        <v>10</v>
      </c>
    </row>
    <row r="307" spans="1:30">
      <c r="A307" s="2">
        <v>16</v>
      </c>
      <c r="B307" s="3" t="s">
        <v>5</v>
      </c>
      <c r="C307" s="2" t="s">
        <v>6</v>
      </c>
      <c r="D307" s="2">
        <v>306</v>
      </c>
      <c r="E307" s="2" t="s">
        <v>858</v>
      </c>
      <c r="F307" t="s">
        <v>859</v>
      </c>
      <c r="G307" s="4">
        <v>44837</v>
      </c>
      <c r="H307" s="5">
        <v>0.52061342592592597</v>
      </c>
      <c r="I307" t="s">
        <v>9</v>
      </c>
      <c r="J307">
        <v>1.413</v>
      </c>
      <c r="K307">
        <v>0.32640000000000002</v>
      </c>
      <c r="L307">
        <v>1.7297</v>
      </c>
      <c r="M307" t="s">
        <v>10</v>
      </c>
      <c r="N307" t="s">
        <v>11</v>
      </c>
      <c r="O307">
        <v>1.97</v>
      </c>
      <c r="P307">
        <v>92.198400000000007</v>
      </c>
      <c r="Q307">
        <v>131.1814</v>
      </c>
      <c r="R307" t="s">
        <v>10</v>
      </c>
      <c r="S307" t="s">
        <v>860</v>
      </c>
      <c r="T307" s="4">
        <v>44837</v>
      </c>
      <c r="U307" s="5">
        <v>0.52061342592592597</v>
      </c>
      <c r="V307" t="s">
        <v>13</v>
      </c>
      <c r="W307">
        <v>1.1559999999999999</v>
      </c>
      <c r="X307">
        <v>2957.9041000000002</v>
      </c>
      <c r="Y307">
        <v>111739.0673</v>
      </c>
      <c r="Z307" t="s">
        <v>1689</v>
      </c>
      <c r="AA307">
        <v>2.29</v>
      </c>
      <c r="AB307">
        <v>54.469200000000001</v>
      </c>
      <c r="AC307">
        <v>2.4500000000000001E-2</v>
      </c>
      <c r="AD307" t="s">
        <v>10</v>
      </c>
    </row>
    <row r="308" spans="1:30">
      <c r="A308" s="2">
        <v>17</v>
      </c>
      <c r="B308" s="3" t="s">
        <v>62</v>
      </c>
      <c r="C308" s="2" t="s">
        <v>6</v>
      </c>
      <c r="D308" s="2">
        <v>307</v>
      </c>
      <c r="E308" s="2" t="s">
        <v>861</v>
      </c>
      <c r="F308" t="s">
        <v>862</v>
      </c>
      <c r="G308" s="4">
        <v>44837</v>
      </c>
      <c r="H308" s="5">
        <v>0.52435185185185185</v>
      </c>
      <c r="I308" t="s">
        <v>9</v>
      </c>
      <c r="J308">
        <v>1.41</v>
      </c>
      <c r="K308">
        <v>4.3674999999999997</v>
      </c>
      <c r="L308">
        <v>19.208300000000001</v>
      </c>
      <c r="M308" t="s">
        <v>10</v>
      </c>
      <c r="N308" t="s">
        <v>11</v>
      </c>
      <c r="O308">
        <v>1.966</v>
      </c>
      <c r="P308">
        <v>563.38480000000004</v>
      </c>
      <c r="Q308">
        <v>1872.5668000000001</v>
      </c>
      <c r="R308" t="s">
        <v>10</v>
      </c>
      <c r="S308" t="s">
        <v>863</v>
      </c>
      <c r="T308" s="4">
        <v>44837</v>
      </c>
      <c r="U308" s="5">
        <v>0.52435185185185185</v>
      </c>
      <c r="V308" t="s">
        <v>13</v>
      </c>
      <c r="W308">
        <v>1.1599999999999999</v>
      </c>
      <c r="X308">
        <v>3264.3742000000002</v>
      </c>
      <c r="Y308">
        <v>140433.8536</v>
      </c>
      <c r="Z308" t="s">
        <v>1689</v>
      </c>
      <c r="AA308">
        <v>2.2829999999999999</v>
      </c>
      <c r="AB308">
        <v>138.792</v>
      </c>
      <c r="AC308">
        <v>0.37009999999999998</v>
      </c>
      <c r="AD308" t="s">
        <v>10</v>
      </c>
    </row>
    <row r="309" spans="1:30">
      <c r="A309" s="2">
        <v>18</v>
      </c>
      <c r="B309" s="3" t="s">
        <v>5</v>
      </c>
      <c r="C309" s="2" t="s">
        <v>6</v>
      </c>
      <c r="D309" s="2">
        <v>308</v>
      </c>
      <c r="E309" s="2" t="s">
        <v>864</v>
      </c>
      <c r="F309" t="s">
        <v>865</v>
      </c>
      <c r="G309" s="4">
        <v>44837</v>
      </c>
      <c r="H309" s="5">
        <v>0.52810185185185188</v>
      </c>
      <c r="I309" t="s">
        <v>9</v>
      </c>
      <c r="J309">
        <v>1.42</v>
      </c>
      <c r="K309">
        <v>0.34399999999999997</v>
      </c>
      <c r="L309">
        <v>1.8058000000000001</v>
      </c>
      <c r="M309" t="s">
        <v>10</v>
      </c>
      <c r="N309" t="s">
        <v>11</v>
      </c>
      <c r="O309">
        <v>1.976</v>
      </c>
      <c r="P309">
        <v>94.563400000000001</v>
      </c>
      <c r="Q309">
        <v>139.92179999999999</v>
      </c>
      <c r="R309" t="s">
        <v>10</v>
      </c>
      <c r="S309" t="s">
        <v>866</v>
      </c>
      <c r="T309" s="4">
        <v>44837</v>
      </c>
      <c r="U309" s="5">
        <v>0.52810185185185188</v>
      </c>
      <c r="V309" t="s">
        <v>13</v>
      </c>
      <c r="W309">
        <v>1.1659999999999999</v>
      </c>
      <c r="X309">
        <v>3069.6862999999998</v>
      </c>
      <c r="Y309">
        <v>121313.803</v>
      </c>
      <c r="Z309" t="s">
        <v>1689</v>
      </c>
      <c r="AA309">
        <v>2.2999999999999998</v>
      </c>
      <c r="AB309">
        <v>57.817500000000003</v>
      </c>
      <c r="AC309">
        <v>3.8199999999999998E-2</v>
      </c>
      <c r="AD309" t="s">
        <v>10</v>
      </c>
    </row>
    <row r="310" spans="1:30">
      <c r="A310" s="2">
        <v>19</v>
      </c>
      <c r="B310" s="3" t="s">
        <v>69</v>
      </c>
      <c r="C310" s="2" t="s">
        <v>6</v>
      </c>
      <c r="D310" s="2">
        <v>309</v>
      </c>
      <c r="E310" s="2" t="s">
        <v>867</v>
      </c>
      <c r="F310" t="s">
        <v>868</v>
      </c>
      <c r="G310" s="4">
        <v>44837</v>
      </c>
      <c r="H310" s="5">
        <v>0.53185185185185191</v>
      </c>
      <c r="I310" t="s">
        <v>9</v>
      </c>
      <c r="J310">
        <v>1.413</v>
      </c>
      <c r="K310">
        <v>46.5869</v>
      </c>
      <c r="L310">
        <v>201.81649999999999</v>
      </c>
      <c r="M310" t="s">
        <v>10</v>
      </c>
      <c r="N310" t="s">
        <v>11</v>
      </c>
      <c r="O310">
        <v>1.9730000000000001</v>
      </c>
      <c r="P310">
        <v>1427.5335</v>
      </c>
      <c r="Q310">
        <v>5066.2412999999997</v>
      </c>
      <c r="R310" t="s">
        <v>10</v>
      </c>
      <c r="S310" t="s">
        <v>869</v>
      </c>
      <c r="T310" s="4">
        <v>44837</v>
      </c>
      <c r="U310" s="5">
        <v>0.53185185185185191</v>
      </c>
      <c r="V310" t="s">
        <v>13</v>
      </c>
      <c r="W310">
        <v>1.1599999999999999</v>
      </c>
      <c r="X310">
        <v>3523.7631999999999</v>
      </c>
      <c r="Y310">
        <v>174714.64079999999</v>
      </c>
      <c r="Z310" t="s">
        <v>1689</v>
      </c>
      <c r="AA310">
        <v>2.286</v>
      </c>
      <c r="AB310">
        <v>665.67139999999995</v>
      </c>
      <c r="AC310">
        <v>2.5297000000000001</v>
      </c>
      <c r="AD310" t="s">
        <v>10</v>
      </c>
    </row>
    <row r="311" spans="1:30">
      <c r="A311" s="2">
        <v>20</v>
      </c>
      <c r="B311" s="3" t="s">
        <v>5</v>
      </c>
      <c r="C311" s="2" t="s">
        <v>6</v>
      </c>
      <c r="D311" s="2">
        <v>310</v>
      </c>
      <c r="E311" s="2" t="s">
        <v>870</v>
      </c>
      <c r="F311" t="s">
        <v>871</v>
      </c>
      <c r="G311" s="4">
        <v>44837</v>
      </c>
      <c r="H311" s="5">
        <v>0.53559027777777779</v>
      </c>
      <c r="I311" t="s">
        <v>9</v>
      </c>
      <c r="J311">
        <v>1.41</v>
      </c>
      <c r="K311">
        <v>0.39529999999999998</v>
      </c>
      <c r="L311">
        <v>2.0276999999999998</v>
      </c>
      <c r="M311" t="s">
        <v>10</v>
      </c>
      <c r="N311" t="s">
        <v>11</v>
      </c>
      <c r="O311">
        <v>1.966</v>
      </c>
      <c r="P311">
        <v>103.41459999999999</v>
      </c>
      <c r="Q311">
        <v>172.6336</v>
      </c>
      <c r="R311" t="s">
        <v>10</v>
      </c>
      <c r="S311" t="s">
        <v>872</v>
      </c>
      <c r="T311" s="4">
        <v>44837</v>
      </c>
      <c r="U311" s="5">
        <v>0.53559027777777779</v>
      </c>
      <c r="V311" t="s">
        <v>13</v>
      </c>
      <c r="W311">
        <v>1.1559999999999999</v>
      </c>
      <c r="X311">
        <v>3166.4353999999998</v>
      </c>
      <c r="Y311">
        <v>130378.6793</v>
      </c>
      <c r="Z311" t="s">
        <v>1689</v>
      </c>
      <c r="AA311">
        <v>2.29</v>
      </c>
      <c r="AB311">
        <v>64.468900000000005</v>
      </c>
      <c r="AC311">
        <v>6.5500000000000003E-2</v>
      </c>
      <c r="AD311" t="s">
        <v>10</v>
      </c>
    </row>
    <row r="312" spans="1:30">
      <c r="A312" s="2">
        <v>21</v>
      </c>
      <c r="B312" s="3" t="s">
        <v>76</v>
      </c>
      <c r="C312" s="2" t="s">
        <v>6</v>
      </c>
      <c r="D312" s="2">
        <v>311</v>
      </c>
      <c r="E312" s="2" t="s">
        <v>873</v>
      </c>
      <c r="F312" t="s">
        <v>874</v>
      </c>
      <c r="G312" s="4">
        <v>44837</v>
      </c>
      <c r="H312" s="5">
        <v>0.53932870370370367</v>
      </c>
      <c r="I312" t="s">
        <v>9</v>
      </c>
      <c r="J312">
        <v>1.42</v>
      </c>
      <c r="K312">
        <v>1164.5968</v>
      </c>
      <c r="L312">
        <v>5037.4561000000003</v>
      </c>
      <c r="M312" t="s">
        <v>10</v>
      </c>
      <c r="N312" t="s">
        <v>11</v>
      </c>
      <c r="O312">
        <v>1.99</v>
      </c>
      <c r="P312">
        <v>2729.0637999999999</v>
      </c>
      <c r="Q312">
        <v>9876.3672999999999</v>
      </c>
      <c r="R312" t="s">
        <v>10</v>
      </c>
      <c r="S312" t="s">
        <v>875</v>
      </c>
      <c r="T312" s="4">
        <v>44837</v>
      </c>
      <c r="U312" s="5">
        <v>0.53932870370370367</v>
      </c>
      <c r="V312" t="s">
        <v>13</v>
      </c>
      <c r="W312">
        <v>1.163</v>
      </c>
      <c r="X312">
        <v>3646.9351999999999</v>
      </c>
      <c r="Y312">
        <v>192879.89379999999</v>
      </c>
      <c r="Z312" t="s">
        <v>1689</v>
      </c>
      <c r="AA312">
        <v>2.2999999999999998</v>
      </c>
      <c r="AB312">
        <v>1298.6855</v>
      </c>
      <c r="AC312">
        <v>5.1243999999999996</v>
      </c>
      <c r="AD312" t="s">
        <v>10</v>
      </c>
    </row>
    <row r="313" spans="1:30">
      <c r="A313" s="2">
        <v>22</v>
      </c>
      <c r="B313" s="3" t="s">
        <v>5</v>
      </c>
      <c r="C313" s="2" t="s">
        <v>6</v>
      </c>
      <c r="D313" s="2">
        <v>312</v>
      </c>
      <c r="E313" s="2" t="s">
        <v>876</v>
      </c>
      <c r="F313" t="s">
        <v>877</v>
      </c>
      <c r="G313" s="4">
        <v>44837</v>
      </c>
      <c r="H313" s="5">
        <v>0.54306712962962966</v>
      </c>
      <c r="I313" t="s">
        <v>9</v>
      </c>
      <c r="J313">
        <v>1.413</v>
      </c>
      <c r="K313">
        <v>2.9539</v>
      </c>
      <c r="L313">
        <v>13.094200000000001</v>
      </c>
      <c r="M313" t="s">
        <v>10</v>
      </c>
      <c r="N313" t="s">
        <v>11</v>
      </c>
      <c r="O313">
        <v>1.966</v>
      </c>
      <c r="P313">
        <v>107.20659999999999</v>
      </c>
      <c r="Q313">
        <v>186.64789999999999</v>
      </c>
      <c r="R313" t="s">
        <v>10</v>
      </c>
      <c r="S313" t="s">
        <v>878</v>
      </c>
      <c r="T313" s="4">
        <v>44837</v>
      </c>
      <c r="U313" s="5">
        <v>0.54306712962962966</v>
      </c>
      <c r="V313" t="s">
        <v>13</v>
      </c>
      <c r="W313">
        <v>1.1559999999999999</v>
      </c>
      <c r="X313">
        <v>3093.3515000000002</v>
      </c>
      <c r="Y313">
        <v>123473.4173</v>
      </c>
      <c r="Z313" t="s">
        <v>1689</v>
      </c>
      <c r="AA313">
        <v>2.286</v>
      </c>
      <c r="AB313">
        <v>64.531800000000004</v>
      </c>
      <c r="AC313">
        <v>6.5699999999999995E-2</v>
      </c>
      <c r="AD313" t="s">
        <v>10</v>
      </c>
    </row>
    <row r="314" spans="1:30">
      <c r="A314" s="2">
        <v>23</v>
      </c>
      <c r="B314" s="3" t="s">
        <v>83</v>
      </c>
      <c r="C314" s="2" t="s">
        <v>6</v>
      </c>
      <c r="D314" s="2">
        <v>313</v>
      </c>
      <c r="E314" s="2" t="s">
        <v>879</v>
      </c>
      <c r="F314" t="s">
        <v>880</v>
      </c>
      <c r="G314" s="4">
        <v>44837</v>
      </c>
      <c r="H314" s="5">
        <v>0.54680555555555554</v>
      </c>
      <c r="I314" t="s">
        <v>9</v>
      </c>
      <c r="J314">
        <v>1.403</v>
      </c>
      <c r="K314">
        <v>10319.3935</v>
      </c>
      <c r="L314">
        <v>44633.972300000001</v>
      </c>
      <c r="M314" t="s">
        <v>10</v>
      </c>
      <c r="N314" t="s">
        <v>11</v>
      </c>
      <c r="O314">
        <v>1.98</v>
      </c>
      <c r="P314">
        <v>12025.6731</v>
      </c>
      <c r="Q314">
        <v>44234.278100000003</v>
      </c>
      <c r="R314" t="s">
        <v>10</v>
      </c>
      <c r="S314" t="s">
        <v>881</v>
      </c>
      <c r="T314" s="4">
        <v>44837</v>
      </c>
      <c r="U314" s="5">
        <v>0.54680555555555554</v>
      </c>
      <c r="V314" t="s">
        <v>13</v>
      </c>
      <c r="W314">
        <v>1.163</v>
      </c>
      <c r="X314">
        <v>1154.3547000000001</v>
      </c>
      <c r="Y314">
        <v>8910.3462</v>
      </c>
      <c r="Z314" t="s">
        <v>1689</v>
      </c>
      <c r="AA314">
        <v>2.2999999999999998</v>
      </c>
      <c r="AB314">
        <v>4967.3581999999997</v>
      </c>
      <c r="AC314">
        <v>20.161899999999999</v>
      </c>
      <c r="AD314" t="s">
        <v>10</v>
      </c>
    </row>
    <row r="315" spans="1:30">
      <c r="A315" s="2">
        <v>24</v>
      </c>
      <c r="B315" s="3" t="s">
        <v>5</v>
      </c>
      <c r="C315" s="2" t="s">
        <v>6</v>
      </c>
      <c r="D315" s="2">
        <v>314</v>
      </c>
      <c r="E315" s="2" t="s">
        <v>882</v>
      </c>
      <c r="F315" t="s">
        <v>883</v>
      </c>
      <c r="G315" s="4">
        <v>44837</v>
      </c>
      <c r="H315" s="5">
        <v>0.55055555555555558</v>
      </c>
      <c r="I315" t="s">
        <v>9</v>
      </c>
      <c r="J315">
        <v>1.4159999999999999</v>
      </c>
      <c r="K315">
        <v>38.463000000000001</v>
      </c>
      <c r="L315">
        <v>166.6789</v>
      </c>
      <c r="M315" t="s">
        <v>10</v>
      </c>
      <c r="N315" t="s">
        <v>11</v>
      </c>
      <c r="O315">
        <v>1.97</v>
      </c>
      <c r="P315">
        <v>148.691</v>
      </c>
      <c r="Q315">
        <v>339.96370000000002</v>
      </c>
      <c r="R315" t="s">
        <v>10</v>
      </c>
      <c r="S315" t="s">
        <v>884</v>
      </c>
      <c r="T315" s="4">
        <v>44837</v>
      </c>
      <c r="U315" s="5">
        <v>0.55055555555555558</v>
      </c>
      <c r="V315" t="s">
        <v>13</v>
      </c>
      <c r="W315">
        <v>1.1599999999999999</v>
      </c>
      <c r="X315">
        <v>3016.7849999999999</v>
      </c>
      <c r="Y315">
        <v>116696.1103</v>
      </c>
      <c r="Z315" t="s">
        <v>1689</v>
      </c>
      <c r="AA315">
        <v>2.29</v>
      </c>
      <c r="AB315">
        <v>77.434799999999996</v>
      </c>
      <c r="AC315">
        <v>0.1186</v>
      </c>
      <c r="AD315" t="s">
        <v>10</v>
      </c>
    </row>
    <row r="316" spans="1:30">
      <c r="A316" s="2">
        <v>25</v>
      </c>
      <c r="B316" s="3" t="s">
        <v>5</v>
      </c>
      <c r="C316" s="2" t="s">
        <v>6</v>
      </c>
      <c r="D316" s="2">
        <v>315</v>
      </c>
      <c r="E316" s="2" t="s">
        <v>885</v>
      </c>
      <c r="F316" t="s">
        <v>886</v>
      </c>
      <c r="G316" s="4">
        <v>44837</v>
      </c>
      <c r="H316" s="5">
        <v>0.55429398148148146</v>
      </c>
      <c r="I316" t="s">
        <v>9</v>
      </c>
      <c r="J316">
        <v>1.413</v>
      </c>
      <c r="K316">
        <v>0.49659999999999999</v>
      </c>
      <c r="L316">
        <v>2.4658000000000002</v>
      </c>
      <c r="M316" t="s">
        <v>10</v>
      </c>
      <c r="N316" t="s">
        <v>11</v>
      </c>
      <c r="O316">
        <v>1.97</v>
      </c>
      <c r="P316">
        <v>108.48699999999999</v>
      </c>
      <c r="Q316">
        <v>191.37989999999999</v>
      </c>
      <c r="R316" t="s">
        <v>10</v>
      </c>
      <c r="S316" t="s">
        <v>887</v>
      </c>
      <c r="T316" s="4">
        <v>44837</v>
      </c>
      <c r="U316" s="5">
        <v>0.55429398148148146</v>
      </c>
      <c r="V316" t="s">
        <v>13</v>
      </c>
      <c r="W316">
        <v>1.1599999999999999</v>
      </c>
      <c r="X316">
        <v>3129.1060000000002</v>
      </c>
      <c r="Y316">
        <v>126740.98480000001</v>
      </c>
      <c r="Z316" t="s">
        <v>1689</v>
      </c>
      <c r="AA316">
        <v>2.2930000000000001</v>
      </c>
      <c r="AB316">
        <v>63.678800000000003</v>
      </c>
      <c r="AC316">
        <v>6.2199999999999998E-2</v>
      </c>
      <c r="AD316" t="s">
        <v>10</v>
      </c>
    </row>
    <row r="317" spans="1:30">
      <c r="A317" s="2">
        <v>26</v>
      </c>
      <c r="B317" s="3" t="s">
        <v>5</v>
      </c>
      <c r="C317" s="2" t="s">
        <v>6</v>
      </c>
      <c r="D317" s="2">
        <v>316</v>
      </c>
      <c r="E317" s="2" t="s">
        <v>888</v>
      </c>
      <c r="F317" t="s">
        <v>889</v>
      </c>
      <c r="G317" s="4">
        <v>44837</v>
      </c>
      <c r="H317" s="5">
        <v>0.55803240740740734</v>
      </c>
      <c r="I317" t="s">
        <v>9</v>
      </c>
      <c r="J317">
        <v>1.42</v>
      </c>
      <c r="K317">
        <v>0.31240000000000001</v>
      </c>
      <c r="L317">
        <v>1.6691</v>
      </c>
      <c r="M317" t="s">
        <v>10</v>
      </c>
      <c r="N317" t="s">
        <v>11</v>
      </c>
      <c r="O317">
        <v>1.976</v>
      </c>
      <c r="P317">
        <v>86.390900000000002</v>
      </c>
      <c r="Q317">
        <v>109.7183</v>
      </c>
      <c r="R317" t="s">
        <v>10</v>
      </c>
      <c r="S317" t="s">
        <v>890</v>
      </c>
      <c r="T317" s="4">
        <v>44837</v>
      </c>
      <c r="U317" s="5">
        <v>0.55803240740740734</v>
      </c>
      <c r="V317" t="s">
        <v>13</v>
      </c>
      <c r="W317">
        <v>1.1659999999999999</v>
      </c>
      <c r="X317">
        <v>2869.0320000000002</v>
      </c>
      <c r="Y317">
        <v>104656.579</v>
      </c>
      <c r="Z317" t="s">
        <v>1689</v>
      </c>
      <c r="AA317">
        <v>2.2999999999999998</v>
      </c>
      <c r="AB317">
        <v>53.165399999999998</v>
      </c>
      <c r="AC317">
        <v>1.9099999999999999E-2</v>
      </c>
      <c r="AD317" t="s">
        <v>10</v>
      </c>
    </row>
    <row r="318" spans="1:30">
      <c r="A318" s="2">
        <v>27</v>
      </c>
      <c r="B318" s="3" t="s">
        <v>96</v>
      </c>
      <c r="C318" s="2" t="s">
        <v>6</v>
      </c>
      <c r="D318" s="2">
        <v>317</v>
      </c>
      <c r="E318" s="2" t="s">
        <v>891</v>
      </c>
      <c r="F318" t="s">
        <v>892</v>
      </c>
      <c r="G318" s="4">
        <v>44837</v>
      </c>
      <c r="H318" s="5">
        <v>0.56177083333333333</v>
      </c>
      <c r="I318" t="s">
        <v>9</v>
      </c>
      <c r="J318">
        <v>0</v>
      </c>
      <c r="K318">
        <v>0</v>
      </c>
      <c r="L318">
        <v>0</v>
      </c>
      <c r="M318" t="s">
        <v>10</v>
      </c>
      <c r="N318" t="s">
        <v>11</v>
      </c>
      <c r="O318">
        <v>1.9730000000000001</v>
      </c>
      <c r="P318">
        <v>10.325900000000001</v>
      </c>
      <c r="Q318">
        <v>0</v>
      </c>
      <c r="R318" t="s">
        <v>10</v>
      </c>
      <c r="S318" t="s">
        <v>893</v>
      </c>
      <c r="T318" s="4">
        <v>44837</v>
      </c>
      <c r="U318" s="5">
        <v>0.56177083333333333</v>
      </c>
      <c r="V318" t="s">
        <v>13</v>
      </c>
      <c r="W318">
        <v>1.1599999999999999</v>
      </c>
      <c r="X318">
        <v>784.15049999999997</v>
      </c>
      <c r="Y318">
        <v>0</v>
      </c>
      <c r="Z318" t="s">
        <v>1689</v>
      </c>
      <c r="AA318">
        <v>2.2930000000000001</v>
      </c>
      <c r="AB318">
        <v>4.6650999999999998</v>
      </c>
      <c r="AC318">
        <v>0</v>
      </c>
      <c r="AD318" t="s">
        <v>10</v>
      </c>
    </row>
    <row r="319" spans="1:30">
      <c r="A319" s="2">
        <v>28</v>
      </c>
      <c r="B319" s="3" t="s">
        <v>5</v>
      </c>
      <c r="C319" s="2" t="s">
        <v>6</v>
      </c>
      <c r="D319" s="2">
        <v>318</v>
      </c>
      <c r="E319" s="2" t="s">
        <v>894</v>
      </c>
      <c r="F319" t="s">
        <v>895</v>
      </c>
      <c r="G319" s="4">
        <v>44837</v>
      </c>
      <c r="H319" s="5">
        <v>0.56552083333333336</v>
      </c>
      <c r="I319" t="s">
        <v>9</v>
      </c>
      <c r="J319">
        <v>1.4259999999999999</v>
      </c>
      <c r="K319">
        <v>0.36070000000000002</v>
      </c>
      <c r="L319">
        <v>1.8779999999999999</v>
      </c>
      <c r="M319" t="s">
        <v>10</v>
      </c>
      <c r="N319" t="s">
        <v>11</v>
      </c>
      <c r="O319">
        <v>1.9830000000000001</v>
      </c>
      <c r="P319">
        <v>97.576599999999999</v>
      </c>
      <c r="Q319">
        <v>151.05779999999999</v>
      </c>
      <c r="R319" t="s">
        <v>10</v>
      </c>
      <c r="S319" t="s">
        <v>896</v>
      </c>
      <c r="T319" s="4">
        <v>44837</v>
      </c>
      <c r="U319" s="5">
        <v>0.56552083333333336</v>
      </c>
      <c r="V319" t="s">
        <v>13</v>
      </c>
      <c r="W319">
        <v>1.17</v>
      </c>
      <c r="X319">
        <v>3145.9016000000001</v>
      </c>
      <c r="Y319">
        <v>128377.6911</v>
      </c>
      <c r="Z319" t="s">
        <v>1689</v>
      </c>
      <c r="AA319">
        <v>2.3029999999999999</v>
      </c>
      <c r="AB319">
        <v>58.899700000000003</v>
      </c>
      <c r="AC319">
        <v>4.2700000000000002E-2</v>
      </c>
      <c r="AD319" t="s">
        <v>10</v>
      </c>
    </row>
    <row r="320" spans="1:30">
      <c r="A320" s="2">
        <v>29</v>
      </c>
      <c r="B320" s="3" t="s">
        <v>103</v>
      </c>
      <c r="C320" s="2" t="s">
        <v>6</v>
      </c>
      <c r="D320" s="2">
        <v>319</v>
      </c>
      <c r="E320" s="2" t="s">
        <v>897</v>
      </c>
      <c r="F320" t="s">
        <v>898</v>
      </c>
      <c r="G320" s="4">
        <v>44837</v>
      </c>
      <c r="H320" s="5">
        <v>0.56925925925925924</v>
      </c>
      <c r="I320" t="s">
        <v>9</v>
      </c>
      <c r="J320">
        <v>1.41</v>
      </c>
      <c r="K320">
        <v>0.16289999999999999</v>
      </c>
      <c r="L320">
        <v>1.0225</v>
      </c>
      <c r="M320" t="s">
        <v>10</v>
      </c>
      <c r="N320" t="s">
        <v>11</v>
      </c>
      <c r="O320">
        <v>1.97</v>
      </c>
      <c r="P320">
        <v>54.559399999999997</v>
      </c>
      <c r="Q320">
        <v>0</v>
      </c>
      <c r="R320" t="s">
        <v>10</v>
      </c>
      <c r="S320" t="s">
        <v>899</v>
      </c>
      <c r="T320" s="4">
        <v>44837</v>
      </c>
      <c r="U320" s="5">
        <v>0.56925925925925924</v>
      </c>
      <c r="V320" t="s">
        <v>13</v>
      </c>
      <c r="W320">
        <v>1.1559999999999999</v>
      </c>
      <c r="X320">
        <v>1734.4616000000001</v>
      </c>
      <c r="Y320">
        <v>35894.956899999997</v>
      </c>
      <c r="Z320" t="s">
        <v>1689</v>
      </c>
      <c r="AA320">
        <v>2.2930000000000001</v>
      </c>
      <c r="AB320">
        <v>21.6128</v>
      </c>
      <c r="AC320">
        <v>0</v>
      </c>
      <c r="AD320" t="s">
        <v>10</v>
      </c>
    </row>
    <row r="321" spans="1:30">
      <c r="A321" s="2">
        <v>30</v>
      </c>
      <c r="B321" s="3" t="s">
        <v>5</v>
      </c>
      <c r="C321" s="2" t="s">
        <v>6</v>
      </c>
      <c r="D321" s="2">
        <v>320</v>
      </c>
      <c r="E321" s="2" t="s">
        <v>900</v>
      </c>
      <c r="F321" t="s">
        <v>901</v>
      </c>
      <c r="G321" s="4">
        <v>44837</v>
      </c>
      <c r="H321" s="5">
        <v>0.57300925925925927</v>
      </c>
      <c r="I321" t="s">
        <v>9</v>
      </c>
      <c r="J321">
        <v>1.41</v>
      </c>
      <c r="K321">
        <v>0.4052</v>
      </c>
      <c r="L321">
        <v>2.0705</v>
      </c>
      <c r="M321" t="s">
        <v>10</v>
      </c>
      <c r="N321" t="s">
        <v>11</v>
      </c>
      <c r="O321">
        <v>1.966</v>
      </c>
      <c r="P321">
        <v>105.7148</v>
      </c>
      <c r="Q321">
        <v>181.13460000000001</v>
      </c>
      <c r="R321" t="s">
        <v>10</v>
      </c>
      <c r="S321" t="s">
        <v>902</v>
      </c>
      <c r="T321" s="4">
        <v>44837</v>
      </c>
      <c r="U321" s="5">
        <v>0.57300925925925927</v>
      </c>
      <c r="V321" t="s">
        <v>13</v>
      </c>
      <c r="W321">
        <v>1.1599999999999999</v>
      </c>
      <c r="X321">
        <v>3068.7096999999999</v>
      </c>
      <c r="Y321">
        <v>121224.6814</v>
      </c>
      <c r="Z321" t="s">
        <v>1689</v>
      </c>
      <c r="AA321">
        <v>2.286</v>
      </c>
      <c r="AB321">
        <v>65.418999999999997</v>
      </c>
      <c r="AC321">
        <v>6.9400000000000003E-2</v>
      </c>
      <c r="AD321" t="s">
        <v>10</v>
      </c>
    </row>
    <row r="322" spans="1:30">
      <c r="A322" s="2">
        <v>31</v>
      </c>
      <c r="B322" s="3" t="s">
        <v>110</v>
      </c>
      <c r="C322" s="2" t="s">
        <v>6</v>
      </c>
      <c r="D322" s="2">
        <v>321</v>
      </c>
      <c r="E322" s="2" t="s">
        <v>903</v>
      </c>
      <c r="F322" t="s">
        <v>904</v>
      </c>
      <c r="G322" s="4">
        <v>44837</v>
      </c>
      <c r="H322" s="5">
        <v>0.57674768518518515</v>
      </c>
      <c r="I322" t="s">
        <v>9</v>
      </c>
      <c r="J322">
        <v>1.4059999999999999</v>
      </c>
      <c r="K322">
        <v>0.26340000000000002</v>
      </c>
      <c r="L322">
        <v>1.4572000000000001</v>
      </c>
      <c r="M322" t="s">
        <v>10</v>
      </c>
      <c r="N322" t="s">
        <v>11</v>
      </c>
      <c r="O322">
        <v>1.966</v>
      </c>
      <c r="P322">
        <v>54.325600000000001</v>
      </c>
      <c r="Q322">
        <v>0</v>
      </c>
      <c r="R322" t="s">
        <v>10</v>
      </c>
      <c r="S322" t="s">
        <v>905</v>
      </c>
      <c r="T322" s="4">
        <v>44837</v>
      </c>
      <c r="U322" s="5">
        <v>0.57674768518518515</v>
      </c>
      <c r="V322" t="s">
        <v>13</v>
      </c>
      <c r="W322">
        <v>1.1559999999999999</v>
      </c>
      <c r="X322">
        <v>2168.2258000000002</v>
      </c>
      <c r="Y322">
        <v>58844.443899999998</v>
      </c>
      <c r="Z322" t="s">
        <v>1689</v>
      </c>
      <c r="AA322">
        <v>2.29</v>
      </c>
      <c r="AB322">
        <v>29.943000000000001</v>
      </c>
      <c r="AC322">
        <v>0</v>
      </c>
      <c r="AD322" t="s">
        <v>10</v>
      </c>
    </row>
    <row r="323" spans="1:30">
      <c r="A323" s="2">
        <v>32</v>
      </c>
      <c r="B323" s="3" t="s">
        <v>5</v>
      </c>
      <c r="C323" s="2" t="s">
        <v>6</v>
      </c>
      <c r="D323" s="2">
        <v>322</v>
      </c>
      <c r="E323" s="2" t="s">
        <v>906</v>
      </c>
      <c r="F323" t="s">
        <v>907</v>
      </c>
      <c r="G323" s="4">
        <v>44837</v>
      </c>
      <c r="H323" s="5">
        <v>0.58048611111111115</v>
      </c>
      <c r="I323" t="s">
        <v>9</v>
      </c>
      <c r="J323">
        <v>1.41</v>
      </c>
      <c r="K323">
        <v>0.32840000000000003</v>
      </c>
      <c r="L323">
        <v>1.7383</v>
      </c>
      <c r="M323" t="s">
        <v>10</v>
      </c>
      <c r="N323" t="s">
        <v>11</v>
      </c>
      <c r="O323">
        <v>1.966</v>
      </c>
      <c r="P323">
        <v>88.414000000000001</v>
      </c>
      <c r="Q323">
        <v>117.1952</v>
      </c>
      <c r="R323" t="s">
        <v>10</v>
      </c>
      <c r="S323" t="s">
        <v>908</v>
      </c>
      <c r="T323" s="4">
        <v>44837</v>
      </c>
      <c r="U323" s="5">
        <v>0.58048611111111115</v>
      </c>
      <c r="V323" t="s">
        <v>13</v>
      </c>
      <c r="W323">
        <v>1.1559999999999999</v>
      </c>
      <c r="X323">
        <v>2926.0484000000001</v>
      </c>
      <c r="Y323">
        <v>109159.7721</v>
      </c>
      <c r="Z323" t="s">
        <v>1689</v>
      </c>
      <c r="AA323">
        <v>2.286</v>
      </c>
      <c r="AB323">
        <v>53.081400000000002</v>
      </c>
      <c r="AC323">
        <v>1.8800000000000001E-2</v>
      </c>
      <c r="AD323" t="s">
        <v>10</v>
      </c>
    </row>
    <row r="324" spans="1:30">
      <c r="A324" s="2">
        <v>33</v>
      </c>
      <c r="B324" s="3" t="s">
        <v>117</v>
      </c>
      <c r="C324" s="2" t="s">
        <v>6</v>
      </c>
      <c r="D324" s="2">
        <v>323</v>
      </c>
      <c r="E324" s="2" t="s">
        <v>909</v>
      </c>
      <c r="F324" t="s">
        <v>910</v>
      </c>
      <c r="G324" s="4">
        <v>44837</v>
      </c>
      <c r="H324" s="5">
        <v>0.58423611111111107</v>
      </c>
      <c r="I324" t="s">
        <v>9</v>
      </c>
      <c r="J324">
        <v>1.413</v>
      </c>
      <c r="K324">
        <v>0.31909999999999999</v>
      </c>
      <c r="L324">
        <v>1.6980999999999999</v>
      </c>
      <c r="M324" t="s">
        <v>10</v>
      </c>
      <c r="N324" t="s">
        <v>11</v>
      </c>
      <c r="O324">
        <v>1.966</v>
      </c>
      <c r="P324">
        <v>76.502600000000001</v>
      </c>
      <c r="Q324">
        <v>73.173699999999997</v>
      </c>
      <c r="R324" t="s">
        <v>10</v>
      </c>
      <c r="S324" t="s">
        <v>911</v>
      </c>
      <c r="T324" s="4">
        <v>44837</v>
      </c>
      <c r="U324" s="5">
        <v>0.58423611111111107</v>
      </c>
      <c r="V324" t="s">
        <v>13</v>
      </c>
      <c r="W324">
        <v>1.1559999999999999</v>
      </c>
      <c r="X324">
        <v>2566.8768</v>
      </c>
      <c r="Y324">
        <v>83130.613599999997</v>
      </c>
      <c r="Z324" t="s">
        <v>1689</v>
      </c>
      <c r="AA324">
        <v>2.29</v>
      </c>
      <c r="AB324">
        <v>45.047699999999999</v>
      </c>
      <c r="AC324">
        <v>0</v>
      </c>
      <c r="AD324" t="s">
        <v>10</v>
      </c>
    </row>
    <row r="325" spans="1:30">
      <c r="A325" s="2">
        <v>34</v>
      </c>
      <c r="B325" s="3" t="s">
        <v>5</v>
      </c>
      <c r="C325" s="2" t="s">
        <v>6</v>
      </c>
      <c r="D325" s="2">
        <v>324</v>
      </c>
      <c r="E325" s="2" t="s">
        <v>912</v>
      </c>
      <c r="F325" t="s">
        <v>913</v>
      </c>
      <c r="G325" s="4">
        <v>44837</v>
      </c>
      <c r="H325" s="5">
        <v>0.5879861111111111</v>
      </c>
      <c r="I325" t="s">
        <v>9</v>
      </c>
      <c r="J325">
        <v>1.41</v>
      </c>
      <c r="K325">
        <v>0.3926</v>
      </c>
      <c r="L325">
        <v>2.016</v>
      </c>
      <c r="M325" t="s">
        <v>10</v>
      </c>
      <c r="N325" t="s">
        <v>11</v>
      </c>
      <c r="O325">
        <v>1.9630000000000001</v>
      </c>
      <c r="P325">
        <v>106.7978</v>
      </c>
      <c r="Q325">
        <v>185.1371</v>
      </c>
      <c r="R325" t="s">
        <v>10</v>
      </c>
      <c r="S325" t="s">
        <v>914</v>
      </c>
      <c r="T325" s="4">
        <v>44837</v>
      </c>
      <c r="U325" s="5">
        <v>0.5879861111111111</v>
      </c>
      <c r="V325" t="s">
        <v>13</v>
      </c>
      <c r="W325">
        <v>1.1559999999999999</v>
      </c>
      <c r="X325">
        <v>3189.2759999999998</v>
      </c>
      <c r="Y325">
        <v>132604.46179999999</v>
      </c>
      <c r="Z325" t="s">
        <v>1689</v>
      </c>
      <c r="AA325">
        <v>2.2829999999999999</v>
      </c>
      <c r="AB325">
        <v>62.592300000000002</v>
      </c>
      <c r="AC325">
        <v>5.7799999999999997E-2</v>
      </c>
      <c r="AD325" t="s">
        <v>10</v>
      </c>
    </row>
    <row r="326" spans="1:30">
      <c r="A326" s="2">
        <v>35</v>
      </c>
      <c r="B326" s="3" t="s">
        <v>124</v>
      </c>
      <c r="C326" s="2" t="s">
        <v>6</v>
      </c>
      <c r="D326" s="2">
        <v>325</v>
      </c>
      <c r="E326" s="2" t="s">
        <v>915</v>
      </c>
      <c r="F326" t="s">
        <v>916</v>
      </c>
      <c r="G326" s="4">
        <v>44837</v>
      </c>
      <c r="H326" s="5">
        <v>0.59173611111111113</v>
      </c>
      <c r="I326" t="s">
        <v>9</v>
      </c>
      <c r="J326">
        <v>1.41</v>
      </c>
      <c r="K326">
        <v>0.42830000000000001</v>
      </c>
      <c r="L326">
        <v>2.1703999999999999</v>
      </c>
      <c r="M326" t="s">
        <v>10</v>
      </c>
      <c r="N326" t="s">
        <v>11</v>
      </c>
      <c r="O326">
        <v>1.9630000000000001</v>
      </c>
      <c r="P326">
        <v>101.5818</v>
      </c>
      <c r="Q326">
        <v>165.86</v>
      </c>
      <c r="R326" t="s">
        <v>10</v>
      </c>
      <c r="S326" t="s">
        <v>917</v>
      </c>
      <c r="T326" s="4">
        <v>44837</v>
      </c>
      <c r="U326" s="5">
        <v>0.59173611111111113</v>
      </c>
      <c r="V326" t="s">
        <v>13</v>
      </c>
      <c r="W326">
        <v>1.1559999999999999</v>
      </c>
      <c r="X326">
        <v>3038.759</v>
      </c>
      <c r="Y326">
        <v>118581.5937</v>
      </c>
      <c r="Z326" t="s">
        <v>1689</v>
      </c>
      <c r="AA326">
        <v>2.2799999999999998</v>
      </c>
      <c r="AB326">
        <v>60.057499999999997</v>
      </c>
      <c r="AC326">
        <v>4.7399999999999998E-2</v>
      </c>
      <c r="AD326" t="s">
        <v>10</v>
      </c>
    </row>
    <row r="327" spans="1:30">
      <c r="A327" s="2">
        <v>36</v>
      </c>
      <c r="B327" s="3" t="s">
        <v>5</v>
      </c>
      <c r="C327" s="2" t="s">
        <v>6</v>
      </c>
      <c r="D327" s="2">
        <v>326</v>
      </c>
      <c r="E327" s="2" t="s">
        <v>918</v>
      </c>
      <c r="F327" t="s">
        <v>919</v>
      </c>
      <c r="G327" s="4">
        <v>44837</v>
      </c>
      <c r="H327" s="5">
        <v>0.59548611111111105</v>
      </c>
      <c r="I327" t="s">
        <v>9</v>
      </c>
      <c r="J327">
        <v>1.4159999999999999</v>
      </c>
      <c r="K327">
        <v>0.39279999999999998</v>
      </c>
      <c r="L327">
        <v>2.0169000000000001</v>
      </c>
      <c r="M327" t="s">
        <v>10</v>
      </c>
      <c r="N327" t="s">
        <v>11</v>
      </c>
      <c r="O327">
        <v>1.9730000000000001</v>
      </c>
      <c r="P327">
        <v>107.4804</v>
      </c>
      <c r="Q327">
        <v>187.65979999999999</v>
      </c>
      <c r="R327" t="s">
        <v>10</v>
      </c>
      <c r="S327" t="s">
        <v>920</v>
      </c>
      <c r="T327" s="4">
        <v>44837</v>
      </c>
      <c r="U327" s="5">
        <v>0.59548611111111105</v>
      </c>
      <c r="V327" t="s">
        <v>13</v>
      </c>
      <c r="W327">
        <v>1.1659999999999999</v>
      </c>
      <c r="X327">
        <v>3300.8130000000001</v>
      </c>
      <c r="Y327">
        <v>144542.2481</v>
      </c>
      <c r="Z327" t="s">
        <v>1689</v>
      </c>
      <c r="AA327">
        <v>2.2930000000000001</v>
      </c>
      <c r="AB327">
        <v>65.894199999999998</v>
      </c>
      <c r="AC327">
        <v>7.1300000000000002E-2</v>
      </c>
      <c r="AD327" t="s">
        <v>10</v>
      </c>
    </row>
    <row r="328" spans="1:30">
      <c r="A328" s="2">
        <v>37</v>
      </c>
      <c r="B328" s="3" t="s">
        <v>131</v>
      </c>
      <c r="C328" s="2" t="s">
        <v>6</v>
      </c>
      <c r="D328" s="2">
        <v>327</v>
      </c>
      <c r="E328" s="2" t="s">
        <v>921</v>
      </c>
      <c r="F328" t="s">
        <v>922</v>
      </c>
      <c r="G328" s="4">
        <v>44837</v>
      </c>
      <c r="H328" s="5">
        <v>0.59923611111111108</v>
      </c>
      <c r="I328" t="s">
        <v>9</v>
      </c>
      <c r="J328">
        <v>1.42</v>
      </c>
      <c r="K328">
        <v>0.43690000000000001</v>
      </c>
      <c r="L328">
        <v>2.2075999999999998</v>
      </c>
      <c r="M328" t="s">
        <v>10</v>
      </c>
      <c r="N328" t="s">
        <v>11</v>
      </c>
      <c r="O328">
        <v>1.9730000000000001</v>
      </c>
      <c r="P328">
        <v>114.4376</v>
      </c>
      <c r="Q328">
        <v>213.37180000000001</v>
      </c>
      <c r="R328" t="s">
        <v>10</v>
      </c>
      <c r="S328" t="s">
        <v>923</v>
      </c>
      <c r="T328" s="4">
        <v>44837</v>
      </c>
      <c r="U328" s="5">
        <v>0.59923611111111108</v>
      </c>
      <c r="V328" t="s">
        <v>13</v>
      </c>
      <c r="W328">
        <v>1.1659999999999999</v>
      </c>
      <c r="X328">
        <v>3343.4483</v>
      </c>
      <c r="Y328">
        <v>149577.8045</v>
      </c>
      <c r="Z328" t="s">
        <v>1689</v>
      </c>
      <c r="AA328">
        <v>2.29</v>
      </c>
      <c r="AB328">
        <v>68.832099999999997</v>
      </c>
      <c r="AC328">
        <v>8.3400000000000002E-2</v>
      </c>
      <c r="AD328" t="s">
        <v>10</v>
      </c>
    </row>
    <row r="329" spans="1:30">
      <c r="A329" s="2">
        <v>38</v>
      </c>
      <c r="B329" s="3" t="s">
        <v>5</v>
      </c>
      <c r="C329" s="2" t="s">
        <v>6</v>
      </c>
      <c r="D329" s="2">
        <v>328</v>
      </c>
      <c r="E329" s="2" t="s">
        <v>924</v>
      </c>
      <c r="F329" t="s">
        <v>925</v>
      </c>
      <c r="G329" s="4">
        <v>44837</v>
      </c>
      <c r="H329" s="5">
        <v>0.60297453703703707</v>
      </c>
      <c r="I329" t="s">
        <v>9</v>
      </c>
      <c r="J329">
        <v>1.41</v>
      </c>
      <c r="K329">
        <v>0.35399999999999998</v>
      </c>
      <c r="L329">
        <v>1.849</v>
      </c>
      <c r="M329" t="s">
        <v>10</v>
      </c>
      <c r="N329" t="s">
        <v>11</v>
      </c>
      <c r="O329">
        <v>1.96</v>
      </c>
      <c r="P329">
        <v>96.170100000000005</v>
      </c>
      <c r="Q329">
        <v>145.85980000000001</v>
      </c>
      <c r="R329" t="s">
        <v>10</v>
      </c>
      <c r="S329" t="s">
        <v>926</v>
      </c>
      <c r="T329" s="4">
        <v>44837</v>
      </c>
      <c r="U329" s="5">
        <v>0.60297453703703707</v>
      </c>
      <c r="V329" t="s">
        <v>13</v>
      </c>
      <c r="W329">
        <v>1.1599999999999999</v>
      </c>
      <c r="X329">
        <v>3055.7973000000002</v>
      </c>
      <c r="Y329">
        <v>120046.33500000001</v>
      </c>
      <c r="Z329" t="s">
        <v>1689</v>
      </c>
      <c r="AA329">
        <v>2.2759999999999998</v>
      </c>
      <c r="AB329">
        <v>57.473399999999998</v>
      </c>
      <c r="AC329">
        <v>3.6799999999999999E-2</v>
      </c>
      <c r="AD329" t="s">
        <v>10</v>
      </c>
    </row>
    <row r="330" spans="1:30">
      <c r="A330" s="2">
        <v>39</v>
      </c>
      <c r="B330" s="3" t="s">
        <v>138</v>
      </c>
      <c r="C330" s="2" t="s">
        <v>6</v>
      </c>
      <c r="D330" s="2">
        <v>329</v>
      </c>
      <c r="E330" s="2" t="s">
        <v>927</v>
      </c>
      <c r="F330" t="s">
        <v>928</v>
      </c>
      <c r="G330" s="4">
        <v>44837</v>
      </c>
      <c r="H330" s="5">
        <v>0.60672453703703699</v>
      </c>
      <c r="I330" t="s">
        <v>9</v>
      </c>
      <c r="J330">
        <v>1.423</v>
      </c>
      <c r="K330">
        <v>0.54120000000000001</v>
      </c>
      <c r="L330">
        <v>2.6587000000000001</v>
      </c>
      <c r="M330" t="s">
        <v>10</v>
      </c>
      <c r="N330" t="s">
        <v>11</v>
      </c>
      <c r="O330">
        <v>1.9730000000000001</v>
      </c>
      <c r="P330">
        <v>143.0805</v>
      </c>
      <c r="Q330">
        <v>319.2287</v>
      </c>
      <c r="R330" t="s">
        <v>10</v>
      </c>
      <c r="S330" t="s">
        <v>929</v>
      </c>
      <c r="T330" s="4">
        <v>44837</v>
      </c>
      <c r="U330" s="5">
        <v>0.60672453703703699</v>
      </c>
      <c r="V330" t="s">
        <v>13</v>
      </c>
      <c r="W330">
        <v>1.17</v>
      </c>
      <c r="X330">
        <v>3671.4819000000002</v>
      </c>
      <c r="Y330">
        <v>196500.0105</v>
      </c>
      <c r="Z330" t="s">
        <v>1689</v>
      </c>
      <c r="AA330">
        <v>2.29</v>
      </c>
      <c r="AB330">
        <v>83.499600000000001</v>
      </c>
      <c r="AC330">
        <v>0.14349999999999999</v>
      </c>
      <c r="AD330" t="s">
        <v>10</v>
      </c>
    </row>
    <row r="331" spans="1:30">
      <c r="A331" s="2">
        <v>40</v>
      </c>
      <c r="B331" s="3" t="s">
        <v>5</v>
      </c>
      <c r="C331" s="2" t="s">
        <v>6</v>
      </c>
      <c r="D331" s="2">
        <v>330</v>
      </c>
      <c r="E331" s="2" t="s">
        <v>930</v>
      </c>
      <c r="F331" t="s">
        <v>931</v>
      </c>
      <c r="G331" s="4">
        <v>44837</v>
      </c>
      <c r="H331" s="5">
        <v>0.61048611111111117</v>
      </c>
      <c r="I331" t="s">
        <v>9</v>
      </c>
      <c r="J331">
        <v>1.4059999999999999</v>
      </c>
      <c r="K331">
        <v>0.36259999999999998</v>
      </c>
      <c r="L331">
        <v>1.8862000000000001</v>
      </c>
      <c r="M331" t="s">
        <v>10</v>
      </c>
      <c r="N331" t="s">
        <v>11</v>
      </c>
      <c r="O331">
        <v>1.956</v>
      </c>
      <c r="P331">
        <v>96.943399999999997</v>
      </c>
      <c r="Q331">
        <v>148.71770000000001</v>
      </c>
      <c r="R331" t="s">
        <v>10</v>
      </c>
      <c r="S331" t="s">
        <v>932</v>
      </c>
      <c r="T331" s="4">
        <v>44837</v>
      </c>
      <c r="U331" s="5">
        <v>0.61048611111111117</v>
      </c>
      <c r="V331" t="s">
        <v>13</v>
      </c>
      <c r="W331">
        <v>1.1559999999999999</v>
      </c>
      <c r="X331">
        <v>3098.2125999999998</v>
      </c>
      <c r="Y331">
        <v>123917.0266</v>
      </c>
      <c r="Z331" t="s">
        <v>1689</v>
      </c>
      <c r="AA331">
        <v>2.2730000000000001</v>
      </c>
      <c r="AB331">
        <v>58.347000000000001</v>
      </c>
      <c r="AC331">
        <v>4.0399999999999998E-2</v>
      </c>
      <c r="AD331" t="s">
        <v>10</v>
      </c>
    </row>
    <row r="332" spans="1:30">
      <c r="A332" s="2">
        <v>41</v>
      </c>
      <c r="B332" s="3" t="s">
        <v>5</v>
      </c>
      <c r="C332" s="2" t="s">
        <v>6</v>
      </c>
      <c r="D332" s="2">
        <v>331</v>
      </c>
      <c r="E332" s="2" t="s">
        <v>933</v>
      </c>
      <c r="F332" t="s">
        <v>934</v>
      </c>
      <c r="G332" s="4">
        <v>44837</v>
      </c>
      <c r="H332" s="5">
        <v>0.61423611111111109</v>
      </c>
      <c r="I332" t="s">
        <v>9</v>
      </c>
      <c r="J332">
        <v>1.42</v>
      </c>
      <c r="K332">
        <v>0.35010000000000002</v>
      </c>
      <c r="L332">
        <v>1.8322000000000001</v>
      </c>
      <c r="M332" t="s">
        <v>10</v>
      </c>
      <c r="N332" t="s">
        <v>11</v>
      </c>
      <c r="O332">
        <v>1.966</v>
      </c>
      <c r="P332">
        <v>98.545199999999994</v>
      </c>
      <c r="Q332">
        <v>154.63749999999999</v>
      </c>
      <c r="R332" t="s">
        <v>10</v>
      </c>
      <c r="S332" t="s">
        <v>935</v>
      </c>
      <c r="T332" s="4">
        <v>44837</v>
      </c>
      <c r="U332" s="5">
        <v>0.61423611111111109</v>
      </c>
      <c r="V332" t="s">
        <v>13</v>
      </c>
      <c r="W332">
        <v>1.163</v>
      </c>
      <c r="X332">
        <v>3204.9684000000002</v>
      </c>
      <c r="Y332">
        <v>134191.9135</v>
      </c>
      <c r="Z332" t="s">
        <v>1689</v>
      </c>
      <c r="AA332">
        <v>2.2829999999999999</v>
      </c>
      <c r="AB332">
        <v>60.008600000000001</v>
      </c>
      <c r="AC332">
        <v>4.7199999999999999E-2</v>
      </c>
      <c r="AD332" t="s">
        <v>10</v>
      </c>
    </row>
    <row r="333" spans="1:30">
      <c r="A333" s="2">
        <v>42</v>
      </c>
      <c r="B333" s="3" t="s">
        <v>5</v>
      </c>
      <c r="C333" s="2" t="s">
        <v>6</v>
      </c>
      <c r="D333" s="2">
        <v>332</v>
      </c>
      <c r="E333" s="2" t="s">
        <v>936</v>
      </c>
      <c r="F333" t="s">
        <v>937</v>
      </c>
      <c r="G333" s="4">
        <v>44837</v>
      </c>
      <c r="H333" s="5">
        <v>0.61798611111111112</v>
      </c>
      <c r="I333" t="s">
        <v>9</v>
      </c>
      <c r="J333">
        <v>1.413</v>
      </c>
      <c r="K333">
        <v>0.31019999999999998</v>
      </c>
      <c r="L333">
        <v>1.6596</v>
      </c>
      <c r="M333" t="s">
        <v>10</v>
      </c>
      <c r="N333" t="s">
        <v>11</v>
      </c>
      <c r="O333">
        <v>1.96</v>
      </c>
      <c r="P333">
        <v>76.337199999999996</v>
      </c>
      <c r="Q333">
        <v>72.562399999999997</v>
      </c>
      <c r="R333" t="s">
        <v>10</v>
      </c>
      <c r="S333" t="s">
        <v>938</v>
      </c>
      <c r="T333" s="4">
        <v>44837</v>
      </c>
      <c r="U333" s="5">
        <v>0.61798611111111112</v>
      </c>
      <c r="V333" t="s">
        <v>13</v>
      </c>
      <c r="W333">
        <v>1.163</v>
      </c>
      <c r="X333">
        <v>2821.8906000000002</v>
      </c>
      <c r="Y333">
        <v>101043.32030000001</v>
      </c>
      <c r="Z333" t="s">
        <v>1689</v>
      </c>
      <c r="AA333">
        <v>2.2759999999999998</v>
      </c>
      <c r="AB333">
        <v>43.886800000000001</v>
      </c>
      <c r="AC333">
        <v>0</v>
      </c>
      <c r="AD333" t="s">
        <v>10</v>
      </c>
    </row>
    <row r="334" spans="1:30">
      <c r="A334" s="2">
        <v>43</v>
      </c>
      <c r="B334" s="3" t="s">
        <v>151</v>
      </c>
      <c r="C334" s="2" t="s">
        <v>6</v>
      </c>
      <c r="D334" s="2">
        <v>333</v>
      </c>
      <c r="E334" s="2" t="s">
        <v>939</v>
      </c>
      <c r="F334" t="s">
        <v>940</v>
      </c>
      <c r="G334" s="4">
        <v>44837</v>
      </c>
      <c r="H334" s="5">
        <v>0.62173611111111116</v>
      </c>
      <c r="I334" t="s">
        <v>9</v>
      </c>
      <c r="J334">
        <v>0</v>
      </c>
      <c r="K334">
        <v>0</v>
      </c>
      <c r="L334">
        <v>0</v>
      </c>
      <c r="M334" t="s">
        <v>10</v>
      </c>
      <c r="N334" t="s">
        <v>11</v>
      </c>
      <c r="O334">
        <v>1.9530000000000001</v>
      </c>
      <c r="P334">
        <v>9.2997999999999994</v>
      </c>
      <c r="Q334">
        <v>0</v>
      </c>
      <c r="R334" t="s">
        <v>10</v>
      </c>
      <c r="S334" t="s">
        <v>941</v>
      </c>
      <c r="T334" s="4">
        <v>44837</v>
      </c>
      <c r="U334" s="5">
        <v>0.62173611111111116</v>
      </c>
      <c r="V334" t="s">
        <v>13</v>
      </c>
      <c r="W334">
        <v>1.153</v>
      </c>
      <c r="X334">
        <v>778.6739</v>
      </c>
      <c r="Y334">
        <v>0</v>
      </c>
      <c r="Z334" t="s">
        <v>1689</v>
      </c>
      <c r="AA334">
        <v>2.2730000000000001</v>
      </c>
      <c r="AB334">
        <v>3.8502000000000001</v>
      </c>
      <c r="AC334">
        <v>0</v>
      </c>
      <c r="AD334" t="s">
        <v>10</v>
      </c>
    </row>
    <row r="335" spans="1:30">
      <c r="A335" s="2">
        <v>44</v>
      </c>
      <c r="B335" s="3" t="s">
        <v>5</v>
      </c>
      <c r="C335" s="2" t="s">
        <v>6</v>
      </c>
      <c r="D335" s="2">
        <v>334</v>
      </c>
      <c r="E335" s="2" t="s">
        <v>942</v>
      </c>
      <c r="F335" t="s">
        <v>943</v>
      </c>
      <c r="G335" s="4">
        <v>44837</v>
      </c>
      <c r="H335" s="5">
        <v>0.62548611111111108</v>
      </c>
      <c r="I335" t="s">
        <v>9</v>
      </c>
      <c r="J335">
        <v>1.4059999999999999</v>
      </c>
      <c r="K335">
        <v>0.38340000000000002</v>
      </c>
      <c r="L335">
        <v>1.9762</v>
      </c>
      <c r="M335" t="s">
        <v>10</v>
      </c>
      <c r="N335" t="s">
        <v>11</v>
      </c>
      <c r="O335">
        <v>1.956</v>
      </c>
      <c r="P335">
        <v>97.363399999999999</v>
      </c>
      <c r="Q335">
        <v>150.26990000000001</v>
      </c>
      <c r="R335" t="s">
        <v>10</v>
      </c>
      <c r="S335" t="s">
        <v>944</v>
      </c>
      <c r="T335" s="4">
        <v>44837</v>
      </c>
      <c r="U335" s="5">
        <v>0.62548611111111108</v>
      </c>
      <c r="V335" t="s">
        <v>13</v>
      </c>
      <c r="W335">
        <v>1.1599999999999999</v>
      </c>
      <c r="X335">
        <v>3082.3326000000002</v>
      </c>
      <c r="Y335">
        <v>122467.86599999999</v>
      </c>
      <c r="Z335" t="s">
        <v>1689</v>
      </c>
      <c r="AA335">
        <v>2.27</v>
      </c>
      <c r="AB335">
        <v>55.524900000000002</v>
      </c>
      <c r="AC335">
        <v>2.8799999999999999E-2</v>
      </c>
      <c r="AD335" t="s">
        <v>10</v>
      </c>
    </row>
    <row r="336" spans="1:30">
      <c r="A336" s="2">
        <v>45</v>
      </c>
      <c r="B336" s="3" t="s">
        <v>158</v>
      </c>
      <c r="C336" s="2" t="s">
        <v>6</v>
      </c>
      <c r="D336" s="2">
        <v>335</v>
      </c>
      <c r="E336" s="2" t="s">
        <v>945</v>
      </c>
      <c r="F336" t="s">
        <v>946</v>
      </c>
      <c r="G336" s="4">
        <v>44837</v>
      </c>
      <c r="H336" s="5">
        <v>0.62923611111111111</v>
      </c>
      <c r="I336" t="s">
        <v>9</v>
      </c>
      <c r="J336">
        <v>0</v>
      </c>
      <c r="K336">
        <v>0</v>
      </c>
      <c r="L336">
        <v>0</v>
      </c>
      <c r="M336" t="s">
        <v>10</v>
      </c>
      <c r="N336" t="s">
        <v>11</v>
      </c>
      <c r="O336">
        <v>1.9530000000000001</v>
      </c>
      <c r="P336">
        <v>12.5372</v>
      </c>
      <c r="Q336">
        <v>0</v>
      </c>
      <c r="R336" t="s">
        <v>10</v>
      </c>
      <c r="S336" t="s">
        <v>947</v>
      </c>
      <c r="T336" s="4">
        <v>44837</v>
      </c>
      <c r="U336" s="5">
        <v>0.62923611111111111</v>
      </c>
      <c r="V336" t="s">
        <v>13</v>
      </c>
      <c r="W336">
        <v>1.1559999999999999</v>
      </c>
      <c r="X336">
        <v>1563.3905999999999</v>
      </c>
      <c r="Y336">
        <v>27546.677500000002</v>
      </c>
      <c r="Z336" t="s">
        <v>1689</v>
      </c>
      <c r="AA336">
        <v>2.25</v>
      </c>
      <c r="AB336">
        <v>4.8917000000000002</v>
      </c>
      <c r="AC336">
        <v>0</v>
      </c>
      <c r="AD336" t="s">
        <v>10</v>
      </c>
    </row>
    <row r="337" spans="1:30">
      <c r="A337" s="2">
        <v>46</v>
      </c>
      <c r="B337" s="3" t="s">
        <v>5</v>
      </c>
      <c r="C337" s="2" t="s">
        <v>6</v>
      </c>
      <c r="D337" s="2">
        <v>336</v>
      </c>
      <c r="E337" s="2" t="s">
        <v>948</v>
      </c>
      <c r="F337" t="s">
        <v>949</v>
      </c>
      <c r="G337" s="4">
        <v>44837</v>
      </c>
      <c r="H337" s="5">
        <v>0.6329745370370371</v>
      </c>
      <c r="I337" t="s">
        <v>9</v>
      </c>
      <c r="J337">
        <v>1.41</v>
      </c>
      <c r="K337">
        <v>0.31669999999999998</v>
      </c>
      <c r="L337">
        <v>1.6877</v>
      </c>
      <c r="M337" t="s">
        <v>10</v>
      </c>
      <c r="N337" t="s">
        <v>11</v>
      </c>
      <c r="O337">
        <v>1.9530000000000001</v>
      </c>
      <c r="P337">
        <v>92.3874</v>
      </c>
      <c r="Q337">
        <v>131.87989999999999</v>
      </c>
      <c r="R337" t="s">
        <v>10</v>
      </c>
      <c r="S337" t="s">
        <v>950</v>
      </c>
      <c r="T337" s="4">
        <v>44837</v>
      </c>
      <c r="U337" s="5">
        <v>0.6329745370370371</v>
      </c>
      <c r="V337" t="s">
        <v>13</v>
      </c>
      <c r="W337">
        <v>1.1559999999999999</v>
      </c>
      <c r="X337">
        <v>2917.8162000000002</v>
      </c>
      <c r="Y337">
        <v>108493.2265</v>
      </c>
      <c r="Z337" t="s">
        <v>1689</v>
      </c>
      <c r="AA337">
        <v>2.27</v>
      </c>
      <c r="AB337">
        <v>50.144599999999997</v>
      </c>
      <c r="AC337">
        <v>6.7999999999999996E-3</v>
      </c>
      <c r="AD337" t="s">
        <v>10</v>
      </c>
    </row>
    <row r="338" spans="1:30">
      <c r="A338" s="2">
        <v>47</v>
      </c>
      <c r="B338" s="3" t="s">
        <v>165</v>
      </c>
      <c r="C338" s="2" t="s">
        <v>6</v>
      </c>
      <c r="D338" s="2">
        <v>337</v>
      </c>
      <c r="E338" s="2" t="s">
        <v>951</v>
      </c>
      <c r="F338" t="s">
        <v>952</v>
      </c>
      <c r="G338" s="4">
        <v>44837</v>
      </c>
      <c r="H338" s="5">
        <v>0.63673611111111106</v>
      </c>
      <c r="I338" t="s">
        <v>9</v>
      </c>
      <c r="J338">
        <v>0</v>
      </c>
      <c r="K338">
        <v>0</v>
      </c>
      <c r="L338">
        <v>0</v>
      </c>
      <c r="M338" t="s">
        <v>10</v>
      </c>
      <c r="N338" t="s">
        <v>11</v>
      </c>
      <c r="O338">
        <v>1.9530000000000001</v>
      </c>
      <c r="P338">
        <v>11.91</v>
      </c>
      <c r="Q338">
        <v>0</v>
      </c>
      <c r="R338" t="s">
        <v>10</v>
      </c>
      <c r="S338" t="s">
        <v>953</v>
      </c>
      <c r="T338" s="4">
        <v>44837</v>
      </c>
      <c r="U338" s="5">
        <v>0.63673611111111106</v>
      </c>
      <c r="V338" t="s">
        <v>13</v>
      </c>
      <c r="W338">
        <v>1.1599999999999999</v>
      </c>
      <c r="X338">
        <v>2021.3342</v>
      </c>
      <c r="Y338">
        <v>50748.018199999999</v>
      </c>
      <c r="Z338" t="s">
        <v>1689</v>
      </c>
      <c r="AA338">
        <v>2.266</v>
      </c>
      <c r="AB338">
        <v>5.6849999999999996</v>
      </c>
      <c r="AC338">
        <v>0</v>
      </c>
      <c r="AD338" t="s">
        <v>10</v>
      </c>
    </row>
    <row r="339" spans="1:30">
      <c r="A339" s="2">
        <v>48</v>
      </c>
      <c r="B339" s="3" t="s">
        <v>5</v>
      </c>
      <c r="C339" s="2" t="s">
        <v>6</v>
      </c>
      <c r="D339" s="2">
        <v>338</v>
      </c>
      <c r="E339" s="2" t="s">
        <v>954</v>
      </c>
      <c r="F339" t="s">
        <v>955</v>
      </c>
      <c r="G339" s="4">
        <v>44837</v>
      </c>
      <c r="H339" s="5">
        <v>0.64048611111111109</v>
      </c>
      <c r="I339" t="s">
        <v>9</v>
      </c>
      <c r="J339">
        <v>1.41</v>
      </c>
      <c r="K339">
        <v>0.3498</v>
      </c>
      <c r="L339">
        <v>1.8309</v>
      </c>
      <c r="M339" t="s">
        <v>10</v>
      </c>
      <c r="N339" t="s">
        <v>11</v>
      </c>
      <c r="O339">
        <v>1.9530000000000001</v>
      </c>
      <c r="P339">
        <v>97.759600000000006</v>
      </c>
      <c r="Q339">
        <v>151.73419999999999</v>
      </c>
      <c r="R339" t="s">
        <v>10</v>
      </c>
      <c r="S339" t="s">
        <v>956</v>
      </c>
      <c r="T339" s="4">
        <v>44837</v>
      </c>
      <c r="U339" s="5">
        <v>0.64048611111111109</v>
      </c>
      <c r="V339" t="s">
        <v>13</v>
      </c>
      <c r="W339">
        <v>1.1599999999999999</v>
      </c>
      <c r="X339">
        <v>3054.3616000000002</v>
      </c>
      <c r="Y339">
        <v>119920.3778</v>
      </c>
      <c r="Z339" t="s">
        <v>1689</v>
      </c>
      <c r="AA339">
        <v>2.266</v>
      </c>
      <c r="AB339">
        <v>55.122900000000001</v>
      </c>
      <c r="AC339">
        <v>2.7199999999999998E-2</v>
      </c>
      <c r="AD339" t="s">
        <v>10</v>
      </c>
    </row>
    <row r="340" spans="1:30">
      <c r="A340" s="2">
        <v>49</v>
      </c>
      <c r="B340" s="3" t="s">
        <v>172</v>
      </c>
      <c r="C340" s="2" t="s">
        <v>6</v>
      </c>
      <c r="D340" s="2">
        <v>339</v>
      </c>
      <c r="E340" s="2" t="s">
        <v>957</v>
      </c>
      <c r="F340" t="s">
        <v>958</v>
      </c>
      <c r="G340" s="4">
        <v>44837</v>
      </c>
      <c r="H340" s="5">
        <v>0.64423611111111112</v>
      </c>
      <c r="I340" t="s">
        <v>9</v>
      </c>
      <c r="J340">
        <v>0</v>
      </c>
      <c r="K340">
        <v>0</v>
      </c>
      <c r="L340">
        <v>0</v>
      </c>
      <c r="M340" t="s">
        <v>10</v>
      </c>
      <c r="N340" t="s">
        <v>11</v>
      </c>
      <c r="O340">
        <v>1.956</v>
      </c>
      <c r="P340">
        <v>12.610799999999999</v>
      </c>
      <c r="Q340">
        <v>0</v>
      </c>
      <c r="R340" t="s">
        <v>10</v>
      </c>
      <c r="S340" t="s">
        <v>959</v>
      </c>
      <c r="T340" s="4">
        <v>44837</v>
      </c>
      <c r="U340" s="5">
        <v>0.64423611111111112</v>
      </c>
      <c r="V340" t="s">
        <v>13</v>
      </c>
      <c r="W340">
        <v>1.163</v>
      </c>
      <c r="X340">
        <v>2721.2577999999999</v>
      </c>
      <c r="Y340">
        <v>93667.999599999996</v>
      </c>
      <c r="Z340" t="s">
        <v>1689</v>
      </c>
      <c r="AA340">
        <v>2.27</v>
      </c>
      <c r="AB340">
        <v>6.7356999999999996</v>
      </c>
      <c r="AC340">
        <v>0</v>
      </c>
      <c r="AD340" t="s">
        <v>10</v>
      </c>
    </row>
    <row r="341" spans="1:30">
      <c r="A341" s="2">
        <v>50</v>
      </c>
      <c r="B341" s="3" t="s">
        <v>5</v>
      </c>
      <c r="C341" s="2" t="s">
        <v>6</v>
      </c>
      <c r="D341" s="2">
        <v>340</v>
      </c>
      <c r="E341" s="2" t="s">
        <v>960</v>
      </c>
      <c r="F341" t="s">
        <v>961</v>
      </c>
      <c r="G341" s="4">
        <v>44837</v>
      </c>
      <c r="H341" s="5">
        <v>0.64798611111111104</v>
      </c>
      <c r="I341" t="s">
        <v>9</v>
      </c>
      <c r="J341">
        <v>1.4159999999999999</v>
      </c>
      <c r="K341">
        <v>0.3775</v>
      </c>
      <c r="L341">
        <v>1.9507000000000001</v>
      </c>
      <c r="M341" t="s">
        <v>10</v>
      </c>
      <c r="N341" t="s">
        <v>11</v>
      </c>
      <c r="O341">
        <v>1.96</v>
      </c>
      <c r="P341">
        <v>101.1293</v>
      </c>
      <c r="Q341">
        <v>164.18770000000001</v>
      </c>
      <c r="R341" t="s">
        <v>10</v>
      </c>
      <c r="S341" t="s">
        <v>962</v>
      </c>
      <c r="T341" s="4">
        <v>44837</v>
      </c>
      <c r="U341" s="5">
        <v>0.64798611111111104</v>
      </c>
      <c r="V341" t="s">
        <v>13</v>
      </c>
      <c r="W341">
        <v>1.1659999999999999</v>
      </c>
      <c r="X341">
        <v>3147.3506000000002</v>
      </c>
      <c r="Y341">
        <v>128518.894</v>
      </c>
      <c r="Z341" t="s">
        <v>1689</v>
      </c>
      <c r="AA341">
        <v>2.2759999999999998</v>
      </c>
      <c r="AB341">
        <v>54.778100000000002</v>
      </c>
      <c r="AC341">
        <v>2.58E-2</v>
      </c>
      <c r="AD341" t="s">
        <v>10</v>
      </c>
    </row>
    <row r="342" spans="1:30">
      <c r="A342" s="2">
        <v>51</v>
      </c>
      <c r="B342" s="3" t="s">
        <v>179</v>
      </c>
      <c r="C342" s="2" t="s">
        <v>6</v>
      </c>
      <c r="D342" s="2">
        <v>341</v>
      </c>
      <c r="E342" s="2" t="s">
        <v>963</v>
      </c>
      <c r="F342" t="s">
        <v>964</v>
      </c>
      <c r="G342" s="4">
        <v>44837</v>
      </c>
      <c r="H342" s="5">
        <v>0.65173611111111118</v>
      </c>
      <c r="I342" t="s">
        <v>9</v>
      </c>
      <c r="J342">
        <v>0</v>
      </c>
      <c r="K342">
        <v>0</v>
      </c>
      <c r="L342">
        <v>0</v>
      </c>
      <c r="M342" t="s">
        <v>10</v>
      </c>
      <c r="N342" t="s">
        <v>11</v>
      </c>
      <c r="O342">
        <v>1.96</v>
      </c>
      <c r="P342">
        <v>13.5151</v>
      </c>
      <c r="Q342">
        <v>0</v>
      </c>
      <c r="R342" t="s">
        <v>10</v>
      </c>
      <c r="S342" t="s">
        <v>965</v>
      </c>
      <c r="T342" s="4">
        <v>44837</v>
      </c>
      <c r="U342" s="5">
        <v>0.65173611111111118</v>
      </c>
      <c r="V342" t="s">
        <v>13</v>
      </c>
      <c r="W342">
        <v>1.163</v>
      </c>
      <c r="X342">
        <v>3285.2386000000001</v>
      </c>
      <c r="Y342">
        <v>142786.26879999999</v>
      </c>
      <c r="Z342" t="s">
        <v>1689</v>
      </c>
      <c r="AA342">
        <v>2.266</v>
      </c>
      <c r="AB342">
        <v>7.0349000000000004</v>
      </c>
      <c r="AC342">
        <v>0</v>
      </c>
      <c r="AD342" t="s">
        <v>10</v>
      </c>
    </row>
    <row r="343" spans="1:30">
      <c r="A343" s="2">
        <v>52</v>
      </c>
      <c r="B343" s="3" t="s">
        <v>5</v>
      </c>
      <c r="C343" s="2" t="s">
        <v>6</v>
      </c>
      <c r="D343" s="2">
        <v>342</v>
      </c>
      <c r="E343" s="2" t="s">
        <v>966</v>
      </c>
      <c r="F343" t="s">
        <v>967</v>
      </c>
      <c r="G343" s="4">
        <v>44837</v>
      </c>
      <c r="H343" s="5">
        <v>0.65549768518518514</v>
      </c>
      <c r="I343" t="s">
        <v>9</v>
      </c>
      <c r="J343">
        <v>1.42</v>
      </c>
      <c r="K343">
        <v>0.30020000000000002</v>
      </c>
      <c r="L343">
        <v>1.6163000000000001</v>
      </c>
      <c r="M343" t="s">
        <v>10</v>
      </c>
      <c r="N343" t="s">
        <v>11</v>
      </c>
      <c r="O343">
        <v>1.966</v>
      </c>
      <c r="P343">
        <v>93.414199999999994</v>
      </c>
      <c r="Q343">
        <v>135.6747</v>
      </c>
      <c r="R343" t="s">
        <v>10</v>
      </c>
      <c r="S343" t="s">
        <v>968</v>
      </c>
      <c r="T343" s="4">
        <v>44837</v>
      </c>
      <c r="U343" s="5">
        <v>0.65549768518518514</v>
      </c>
      <c r="V343" t="s">
        <v>13</v>
      </c>
      <c r="W343">
        <v>1.1659999999999999</v>
      </c>
      <c r="X343">
        <v>3099.5178000000001</v>
      </c>
      <c r="Y343">
        <v>124036.1352</v>
      </c>
      <c r="Z343" t="s">
        <v>1689</v>
      </c>
      <c r="AA343">
        <v>2.2829999999999999</v>
      </c>
      <c r="AB343">
        <v>53.519599999999997</v>
      </c>
      <c r="AC343">
        <v>2.06E-2</v>
      </c>
      <c r="AD343" t="s">
        <v>10</v>
      </c>
    </row>
    <row r="344" spans="1:30">
      <c r="A344" s="2">
        <v>53</v>
      </c>
      <c r="B344" s="3" t="s">
        <v>5</v>
      </c>
      <c r="C344" s="2" t="s">
        <v>6</v>
      </c>
      <c r="D344" s="2">
        <v>343</v>
      </c>
      <c r="E344" s="2" t="s">
        <v>969</v>
      </c>
      <c r="F344" t="s">
        <v>970</v>
      </c>
      <c r="G344" s="4">
        <v>44837</v>
      </c>
      <c r="H344" s="5">
        <v>0.65924768518518517</v>
      </c>
      <c r="I344" t="s">
        <v>9</v>
      </c>
      <c r="J344">
        <v>1.413</v>
      </c>
      <c r="K344">
        <v>0.34439999999999998</v>
      </c>
      <c r="L344">
        <v>1.8075000000000001</v>
      </c>
      <c r="M344" t="s">
        <v>10</v>
      </c>
      <c r="N344" t="s">
        <v>11</v>
      </c>
      <c r="O344">
        <v>1.96</v>
      </c>
      <c r="P344">
        <v>99.8232</v>
      </c>
      <c r="Q344">
        <v>159.36070000000001</v>
      </c>
      <c r="R344" t="s">
        <v>10</v>
      </c>
      <c r="S344" t="s">
        <v>971</v>
      </c>
      <c r="T344" s="4">
        <v>44837</v>
      </c>
      <c r="U344" s="5">
        <v>0.65924768518518517</v>
      </c>
      <c r="V344" t="s">
        <v>13</v>
      </c>
      <c r="W344">
        <v>1.1659999999999999</v>
      </c>
      <c r="X344">
        <v>3105.1491000000001</v>
      </c>
      <c r="Y344">
        <v>124550.03049999999</v>
      </c>
      <c r="Z344" t="s">
        <v>1689</v>
      </c>
      <c r="AA344">
        <v>2.2730000000000001</v>
      </c>
      <c r="AB344">
        <v>57.703099999999999</v>
      </c>
      <c r="AC344">
        <v>3.7699999999999997E-2</v>
      </c>
      <c r="AD344" t="s">
        <v>10</v>
      </c>
    </row>
    <row r="345" spans="1:30">
      <c r="A345" s="2">
        <v>54</v>
      </c>
      <c r="B345" s="3" t="s">
        <v>5</v>
      </c>
      <c r="C345" s="2" t="s">
        <v>6</v>
      </c>
      <c r="D345" s="2">
        <v>344</v>
      </c>
      <c r="E345" s="2" t="s">
        <v>972</v>
      </c>
      <c r="F345" t="s">
        <v>973</v>
      </c>
      <c r="G345" s="4">
        <v>44837</v>
      </c>
      <c r="H345" s="5">
        <v>0.66300925925925924</v>
      </c>
      <c r="I345" t="s">
        <v>9</v>
      </c>
      <c r="J345">
        <v>1.413</v>
      </c>
      <c r="K345">
        <v>0.36059999999999998</v>
      </c>
      <c r="L345">
        <v>1.8775999999999999</v>
      </c>
      <c r="M345" t="s">
        <v>10</v>
      </c>
      <c r="N345" t="s">
        <v>11</v>
      </c>
      <c r="O345">
        <v>1.96</v>
      </c>
      <c r="P345">
        <v>95.5655</v>
      </c>
      <c r="Q345">
        <v>143.62530000000001</v>
      </c>
      <c r="R345" t="s">
        <v>10</v>
      </c>
      <c r="S345" t="s">
        <v>974</v>
      </c>
      <c r="T345" s="4">
        <v>44837</v>
      </c>
      <c r="U345" s="5">
        <v>0.66300925925925924</v>
      </c>
      <c r="V345" t="s">
        <v>13</v>
      </c>
      <c r="W345">
        <v>1.1659999999999999</v>
      </c>
      <c r="X345">
        <v>3036.9081000000001</v>
      </c>
      <c r="Y345">
        <v>118422.77680000001</v>
      </c>
      <c r="Z345" t="s">
        <v>1689</v>
      </c>
      <c r="AA345">
        <v>2.2759999999999998</v>
      </c>
      <c r="AB345">
        <v>54.459099999999999</v>
      </c>
      <c r="AC345">
        <v>2.4400000000000002E-2</v>
      </c>
      <c r="AD345" t="s">
        <v>10</v>
      </c>
    </row>
    <row r="346" spans="1:30">
      <c r="A346" s="2">
        <v>55</v>
      </c>
      <c r="B346" s="2" t="s">
        <v>975</v>
      </c>
      <c r="C346" s="2" t="s">
        <v>976</v>
      </c>
      <c r="D346" s="2">
        <v>345</v>
      </c>
      <c r="E346" s="3" t="str">
        <f>D346&amp;"g"</f>
        <v>345g</v>
      </c>
      <c r="F346" t="s">
        <v>977</v>
      </c>
      <c r="G346" s="4">
        <v>44837</v>
      </c>
      <c r="H346" s="5">
        <v>0.66675925925925927</v>
      </c>
      <c r="I346" t="s">
        <v>9</v>
      </c>
      <c r="J346">
        <v>1.41</v>
      </c>
      <c r="K346">
        <v>0.70850000000000002</v>
      </c>
      <c r="L346">
        <v>3.3822999999999999</v>
      </c>
      <c r="M346" t="s">
        <v>10</v>
      </c>
      <c r="N346" t="s">
        <v>11</v>
      </c>
      <c r="O346">
        <v>1.956</v>
      </c>
      <c r="P346">
        <v>865.74860000000001</v>
      </c>
      <c r="Q346">
        <v>2990.0268000000001</v>
      </c>
      <c r="R346" t="s">
        <v>10</v>
      </c>
      <c r="S346" t="s">
        <v>978</v>
      </c>
      <c r="T346" s="4">
        <v>44837</v>
      </c>
      <c r="U346" s="5">
        <v>0.66675925925925927</v>
      </c>
      <c r="V346" t="s">
        <v>13</v>
      </c>
      <c r="W346">
        <v>1.1599999999999999</v>
      </c>
      <c r="X346">
        <v>3518.9672</v>
      </c>
      <c r="Y346">
        <v>174007.3327</v>
      </c>
      <c r="Z346" t="s">
        <v>1689</v>
      </c>
      <c r="AA346">
        <v>2.266</v>
      </c>
      <c r="AB346">
        <v>104.08629999999999</v>
      </c>
      <c r="AC346">
        <v>0.22789999999999999</v>
      </c>
      <c r="AD346" t="s">
        <v>10</v>
      </c>
    </row>
    <row r="347" spans="1:30">
      <c r="A347" s="2">
        <v>56</v>
      </c>
      <c r="B347" s="2" t="s">
        <v>196</v>
      </c>
      <c r="C347" s="2" t="s">
        <v>196</v>
      </c>
      <c r="D347" s="2">
        <v>346</v>
      </c>
      <c r="E347" s="2" t="s">
        <v>196</v>
      </c>
      <c r="F347" t="s">
        <v>979</v>
      </c>
      <c r="G347" s="4">
        <v>44837</v>
      </c>
      <c r="H347" s="5">
        <v>0.6705092592592593</v>
      </c>
      <c r="I347" t="s">
        <v>9</v>
      </c>
      <c r="J347">
        <v>1.41</v>
      </c>
      <c r="K347">
        <v>0.39219999999999999</v>
      </c>
      <c r="L347">
        <v>2.0143</v>
      </c>
      <c r="M347" t="s">
        <v>10</v>
      </c>
      <c r="N347" t="s">
        <v>11</v>
      </c>
      <c r="O347">
        <v>1.9530000000000001</v>
      </c>
      <c r="P347">
        <v>117.8944</v>
      </c>
      <c r="Q347">
        <v>226.1473</v>
      </c>
      <c r="R347" t="s">
        <v>10</v>
      </c>
      <c r="S347" t="s">
        <v>980</v>
      </c>
      <c r="T347" s="4">
        <v>44837</v>
      </c>
      <c r="U347" s="5">
        <v>0.6705092592592593</v>
      </c>
      <c r="V347" t="s">
        <v>13</v>
      </c>
      <c r="W347">
        <v>1.1599999999999999</v>
      </c>
      <c r="X347">
        <v>3307.9974000000002</v>
      </c>
      <c r="Y347">
        <v>145352.27340000001</v>
      </c>
      <c r="Z347" t="s">
        <v>1689</v>
      </c>
      <c r="AA347">
        <v>2.27</v>
      </c>
      <c r="AB347">
        <v>67.998599999999996</v>
      </c>
      <c r="AC347">
        <v>7.9899999999999999E-2</v>
      </c>
      <c r="AD347" t="s">
        <v>10</v>
      </c>
    </row>
    <row r="348" spans="1:30">
      <c r="A348" s="2">
        <v>57</v>
      </c>
      <c r="B348" s="2" t="s">
        <v>975</v>
      </c>
      <c r="C348" s="2" t="s">
        <v>981</v>
      </c>
      <c r="D348" s="2">
        <v>347</v>
      </c>
      <c r="E348" s="3" t="str">
        <f>D348&amp;"g"</f>
        <v>347g</v>
      </c>
      <c r="F348" t="s">
        <v>982</v>
      </c>
      <c r="G348" s="4">
        <v>44837</v>
      </c>
      <c r="H348" s="5">
        <v>0.67425925925925922</v>
      </c>
      <c r="I348" t="s">
        <v>9</v>
      </c>
      <c r="J348">
        <v>1.41</v>
      </c>
      <c r="K348">
        <v>0.47899999999999998</v>
      </c>
      <c r="L348">
        <v>2.3896999999999999</v>
      </c>
      <c r="M348" t="s">
        <v>10</v>
      </c>
      <c r="N348" t="s">
        <v>11</v>
      </c>
      <c r="O348">
        <v>1.956</v>
      </c>
      <c r="P348">
        <v>184.90360000000001</v>
      </c>
      <c r="Q348">
        <v>473.79629999999997</v>
      </c>
      <c r="R348" t="s">
        <v>10</v>
      </c>
      <c r="S348" t="s">
        <v>983</v>
      </c>
      <c r="T348" s="4">
        <v>44837</v>
      </c>
      <c r="U348" s="5">
        <v>0.67425925925925922</v>
      </c>
      <c r="V348" t="s">
        <v>13</v>
      </c>
      <c r="W348">
        <v>1.1599999999999999</v>
      </c>
      <c r="X348">
        <v>3528.7328000000002</v>
      </c>
      <c r="Y348">
        <v>175447.55129999999</v>
      </c>
      <c r="Z348" t="s">
        <v>1689</v>
      </c>
      <c r="AA348">
        <v>2.27</v>
      </c>
      <c r="AB348">
        <v>78.578199999999995</v>
      </c>
      <c r="AC348">
        <v>0.12330000000000001</v>
      </c>
      <c r="AD348" t="s">
        <v>10</v>
      </c>
    </row>
    <row r="349" spans="1:30">
      <c r="A349" s="2">
        <v>58</v>
      </c>
      <c r="B349" s="2" t="s">
        <v>196</v>
      </c>
      <c r="C349" s="2" t="s">
        <v>196</v>
      </c>
      <c r="D349" s="2">
        <v>348</v>
      </c>
      <c r="E349" s="2" t="s">
        <v>196</v>
      </c>
      <c r="F349" t="s">
        <v>984</v>
      </c>
      <c r="G349" s="4">
        <v>44837</v>
      </c>
      <c r="H349" s="5">
        <v>0.67800925925925926</v>
      </c>
      <c r="I349" t="s">
        <v>9</v>
      </c>
      <c r="J349">
        <v>1.4159999999999999</v>
      </c>
      <c r="K349">
        <v>0.35749999999999998</v>
      </c>
      <c r="L349">
        <v>1.8642000000000001</v>
      </c>
      <c r="M349" t="s">
        <v>10</v>
      </c>
      <c r="N349" t="s">
        <v>11</v>
      </c>
      <c r="O349">
        <v>1.96</v>
      </c>
      <c r="P349">
        <v>96.132999999999996</v>
      </c>
      <c r="Q349">
        <v>145.7227</v>
      </c>
      <c r="R349" t="s">
        <v>10</v>
      </c>
      <c r="S349" t="s">
        <v>985</v>
      </c>
      <c r="T349" s="4">
        <v>44837</v>
      </c>
      <c r="U349" s="5">
        <v>0.67800925925925926</v>
      </c>
      <c r="V349" t="s">
        <v>13</v>
      </c>
      <c r="W349">
        <v>1.1659999999999999</v>
      </c>
      <c r="X349">
        <v>3077.0922</v>
      </c>
      <c r="Y349">
        <v>121989.64290000001</v>
      </c>
      <c r="Z349" t="s">
        <v>1689</v>
      </c>
      <c r="AA349">
        <v>2.2759999999999998</v>
      </c>
      <c r="AB349">
        <v>55.969200000000001</v>
      </c>
      <c r="AC349">
        <v>3.0599999999999999E-2</v>
      </c>
      <c r="AD349" t="s">
        <v>10</v>
      </c>
    </row>
    <row r="350" spans="1:30">
      <c r="A350" s="2">
        <v>59</v>
      </c>
      <c r="B350" s="2" t="s">
        <v>975</v>
      </c>
      <c r="C350" s="2" t="s">
        <v>986</v>
      </c>
      <c r="D350" s="2">
        <v>349</v>
      </c>
      <c r="E350" s="3" t="str">
        <f>D350&amp;"g"</f>
        <v>349g</v>
      </c>
      <c r="F350" t="s">
        <v>987</v>
      </c>
      <c r="G350" s="4">
        <v>44837</v>
      </c>
      <c r="H350" s="5">
        <v>0.68177083333333333</v>
      </c>
      <c r="I350" t="s">
        <v>9</v>
      </c>
      <c r="J350">
        <v>1.42</v>
      </c>
      <c r="K350">
        <v>5.4378000000000002</v>
      </c>
      <c r="L350">
        <v>23.837599999999998</v>
      </c>
      <c r="M350" t="s">
        <v>10</v>
      </c>
      <c r="N350" t="s">
        <v>11</v>
      </c>
      <c r="O350">
        <v>1.97</v>
      </c>
      <c r="P350">
        <v>1514.2826</v>
      </c>
      <c r="Q350">
        <v>5386.8440000000001</v>
      </c>
      <c r="R350" t="s">
        <v>10</v>
      </c>
      <c r="S350" t="s">
        <v>988</v>
      </c>
      <c r="T350" s="4">
        <v>44837</v>
      </c>
      <c r="U350" s="5">
        <v>0.68177083333333333</v>
      </c>
      <c r="V350" t="s">
        <v>13</v>
      </c>
      <c r="W350">
        <v>1.1659999999999999</v>
      </c>
      <c r="X350">
        <v>3504.1021999999998</v>
      </c>
      <c r="Y350">
        <v>171815.06109999999</v>
      </c>
      <c r="Z350" t="s">
        <v>1689</v>
      </c>
      <c r="AA350">
        <v>2.2759999999999998</v>
      </c>
      <c r="AB350">
        <v>125.655</v>
      </c>
      <c r="AC350">
        <v>0.31630000000000003</v>
      </c>
      <c r="AD350" t="s">
        <v>10</v>
      </c>
    </row>
    <row r="351" spans="1:30">
      <c r="A351" s="2">
        <v>60</v>
      </c>
      <c r="B351" s="2" t="s">
        <v>196</v>
      </c>
      <c r="C351" s="2" t="s">
        <v>196</v>
      </c>
      <c r="D351" s="2">
        <v>350</v>
      </c>
      <c r="E351" s="2" t="s">
        <v>196</v>
      </c>
      <c r="F351" t="s">
        <v>989</v>
      </c>
      <c r="G351" s="4">
        <v>44837</v>
      </c>
      <c r="H351" s="5">
        <v>0.68552083333333336</v>
      </c>
      <c r="I351" t="s">
        <v>9</v>
      </c>
      <c r="J351">
        <v>1.4159999999999999</v>
      </c>
      <c r="K351">
        <v>0.32219999999999999</v>
      </c>
      <c r="L351">
        <v>1.7115</v>
      </c>
      <c r="M351" t="s">
        <v>10</v>
      </c>
      <c r="N351" t="s">
        <v>11</v>
      </c>
      <c r="O351">
        <v>1.9630000000000001</v>
      </c>
      <c r="P351">
        <v>96.871799999999993</v>
      </c>
      <c r="Q351">
        <v>148.45310000000001</v>
      </c>
      <c r="R351" t="s">
        <v>10</v>
      </c>
      <c r="S351" t="s">
        <v>990</v>
      </c>
      <c r="T351" s="4">
        <v>44837</v>
      </c>
      <c r="U351" s="5">
        <v>0.68552083333333336</v>
      </c>
      <c r="V351" t="s">
        <v>13</v>
      </c>
      <c r="W351">
        <v>1.1659999999999999</v>
      </c>
      <c r="X351">
        <v>3005.2955999999999</v>
      </c>
      <c r="Y351">
        <v>115710.2601</v>
      </c>
      <c r="Z351" t="s">
        <v>1689</v>
      </c>
      <c r="AA351">
        <v>2.2759999999999998</v>
      </c>
      <c r="AB351">
        <v>52.990299999999998</v>
      </c>
      <c r="AC351">
        <v>1.84E-2</v>
      </c>
      <c r="AD351" t="s">
        <v>10</v>
      </c>
    </row>
    <row r="352" spans="1:30">
      <c r="A352" s="2">
        <v>61</v>
      </c>
      <c r="B352" s="2" t="s">
        <v>975</v>
      </c>
      <c r="C352" s="2" t="s">
        <v>991</v>
      </c>
      <c r="D352" s="2">
        <v>351</v>
      </c>
      <c r="E352" s="3" t="str">
        <f>D352&amp;"g"</f>
        <v>351g</v>
      </c>
      <c r="F352" t="s">
        <v>992</v>
      </c>
      <c r="G352" s="4">
        <v>44837</v>
      </c>
      <c r="H352" s="5">
        <v>0.68928240740740743</v>
      </c>
      <c r="I352" t="s">
        <v>9</v>
      </c>
      <c r="J352">
        <v>1.41</v>
      </c>
      <c r="K352">
        <v>0.3276</v>
      </c>
      <c r="L352">
        <v>1.7349000000000001</v>
      </c>
      <c r="M352" t="s">
        <v>10</v>
      </c>
      <c r="N352" t="s">
        <v>11</v>
      </c>
      <c r="O352">
        <v>1.97</v>
      </c>
      <c r="P352">
        <v>9609.7872000000007</v>
      </c>
      <c r="Q352">
        <v>35305.776400000002</v>
      </c>
      <c r="R352" t="s">
        <v>10</v>
      </c>
      <c r="S352" t="s">
        <v>993</v>
      </c>
      <c r="T352" s="4">
        <v>44837</v>
      </c>
      <c r="U352" s="5">
        <v>0.68928240740740743</v>
      </c>
      <c r="V352" t="s">
        <v>13</v>
      </c>
      <c r="W352">
        <v>1.1659999999999999</v>
      </c>
      <c r="X352">
        <v>3257.3337999999999</v>
      </c>
      <c r="Y352">
        <v>139666.26420000001</v>
      </c>
      <c r="Z352" t="s">
        <v>1689</v>
      </c>
      <c r="AA352">
        <v>2.27</v>
      </c>
      <c r="AB352">
        <v>261.1216</v>
      </c>
      <c r="AC352">
        <v>0.87150000000000005</v>
      </c>
      <c r="AD352" t="s">
        <v>10</v>
      </c>
    </row>
    <row r="353" spans="1:30">
      <c r="A353" s="2">
        <v>62</v>
      </c>
      <c r="B353" s="2" t="s">
        <v>196</v>
      </c>
      <c r="C353" s="2" t="s">
        <v>196</v>
      </c>
      <c r="D353" s="2">
        <v>352</v>
      </c>
      <c r="E353" s="2" t="s">
        <v>196</v>
      </c>
      <c r="F353" t="s">
        <v>994</v>
      </c>
      <c r="G353" s="4">
        <v>44837</v>
      </c>
      <c r="H353" s="5">
        <v>0.69303240740740746</v>
      </c>
      <c r="I353" t="s">
        <v>9</v>
      </c>
      <c r="J353">
        <v>1.41</v>
      </c>
      <c r="K353">
        <v>0.16</v>
      </c>
      <c r="L353">
        <v>1.01</v>
      </c>
      <c r="M353" t="s">
        <v>10</v>
      </c>
      <c r="N353" t="s">
        <v>11</v>
      </c>
      <c r="O353">
        <v>1.956</v>
      </c>
      <c r="P353">
        <v>89.629000000000005</v>
      </c>
      <c r="Q353">
        <v>121.6855</v>
      </c>
      <c r="R353" t="s">
        <v>10</v>
      </c>
      <c r="S353" t="s">
        <v>995</v>
      </c>
      <c r="T353" s="4">
        <v>44837</v>
      </c>
      <c r="U353" s="5">
        <v>0.69303240740740746</v>
      </c>
      <c r="V353" t="s">
        <v>13</v>
      </c>
      <c r="W353">
        <v>1.1659999999999999</v>
      </c>
      <c r="X353">
        <v>2955.4454000000001</v>
      </c>
      <c r="Y353">
        <v>111539.9911</v>
      </c>
      <c r="Z353" t="s">
        <v>1689</v>
      </c>
      <c r="AA353">
        <v>2.2730000000000001</v>
      </c>
      <c r="AB353">
        <v>50.654400000000003</v>
      </c>
      <c r="AC353">
        <v>8.8999999999999999E-3</v>
      </c>
      <c r="AD353" t="s">
        <v>10</v>
      </c>
    </row>
    <row r="354" spans="1:30">
      <c r="A354" s="2">
        <v>63</v>
      </c>
      <c r="B354" s="2" t="s">
        <v>196</v>
      </c>
      <c r="C354" s="2" t="s">
        <v>196</v>
      </c>
      <c r="D354" s="2">
        <v>353</v>
      </c>
      <c r="E354" s="2" t="s">
        <v>196</v>
      </c>
      <c r="F354" t="s">
        <v>996</v>
      </c>
      <c r="G354" s="4">
        <v>44837</v>
      </c>
      <c r="H354" s="5">
        <v>0.69678240740740749</v>
      </c>
      <c r="I354" t="s">
        <v>9</v>
      </c>
      <c r="J354">
        <v>1.403</v>
      </c>
      <c r="K354">
        <v>0.36880000000000002</v>
      </c>
      <c r="L354">
        <v>1.9131</v>
      </c>
      <c r="M354" t="s">
        <v>10</v>
      </c>
      <c r="N354" t="s">
        <v>11</v>
      </c>
      <c r="O354">
        <v>1.95</v>
      </c>
      <c r="P354">
        <v>111.6674</v>
      </c>
      <c r="Q354">
        <v>203.13390000000001</v>
      </c>
      <c r="R354" t="s">
        <v>10</v>
      </c>
      <c r="S354" t="s">
        <v>997</v>
      </c>
      <c r="T354" s="4">
        <v>44837</v>
      </c>
      <c r="U354" s="5">
        <v>0.69678240740740749</v>
      </c>
      <c r="V354" t="s">
        <v>13</v>
      </c>
      <c r="W354">
        <v>1.1599999999999999</v>
      </c>
      <c r="X354">
        <v>3099.1030000000001</v>
      </c>
      <c r="Y354">
        <v>123998.2818</v>
      </c>
      <c r="Z354" t="s">
        <v>1689</v>
      </c>
      <c r="AA354">
        <v>2.2629999999999999</v>
      </c>
      <c r="AB354">
        <v>57.068199999999997</v>
      </c>
      <c r="AC354">
        <v>3.5099999999999999E-2</v>
      </c>
      <c r="AD354" t="s">
        <v>10</v>
      </c>
    </row>
    <row r="355" spans="1:30">
      <c r="A355" s="2">
        <v>64</v>
      </c>
      <c r="B355" s="2" t="s">
        <v>196</v>
      </c>
      <c r="C355" s="2" t="s">
        <v>196</v>
      </c>
      <c r="D355" s="2">
        <v>354</v>
      </c>
      <c r="E355" s="2" t="s">
        <v>196</v>
      </c>
      <c r="F355" t="s">
        <v>998</v>
      </c>
      <c r="G355" s="4">
        <v>44837</v>
      </c>
      <c r="H355" s="5">
        <v>0.70053240740740741</v>
      </c>
      <c r="I355" t="s">
        <v>9</v>
      </c>
      <c r="J355">
        <v>1.42</v>
      </c>
      <c r="K355">
        <v>0.32250000000000001</v>
      </c>
      <c r="L355">
        <v>1.7128000000000001</v>
      </c>
      <c r="M355" t="s">
        <v>10</v>
      </c>
      <c r="N355" t="s">
        <v>11</v>
      </c>
      <c r="O355">
        <v>1.9630000000000001</v>
      </c>
      <c r="P355">
        <v>101.56740000000001</v>
      </c>
      <c r="Q355">
        <v>165.80680000000001</v>
      </c>
      <c r="R355" t="s">
        <v>10</v>
      </c>
      <c r="S355" t="s">
        <v>999</v>
      </c>
      <c r="T355" s="4">
        <v>44837</v>
      </c>
      <c r="U355" s="5">
        <v>0.70053240740740741</v>
      </c>
      <c r="V355" t="s">
        <v>13</v>
      </c>
      <c r="W355">
        <v>1.1659999999999999</v>
      </c>
      <c r="X355">
        <v>3125.3281999999999</v>
      </c>
      <c r="Y355">
        <v>126391.514</v>
      </c>
      <c r="Z355" t="s">
        <v>1689</v>
      </c>
      <c r="AA355">
        <v>2.2730000000000001</v>
      </c>
      <c r="AB355">
        <v>55.7258</v>
      </c>
      <c r="AC355">
        <v>2.9600000000000001E-2</v>
      </c>
      <c r="AD355" t="s">
        <v>10</v>
      </c>
    </row>
    <row r="356" spans="1:30">
      <c r="A356" s="2">
        <v>65</v>
      </c>
      <c r="B356" s="2" t="s">
        <v>975</v>
      </c>
      <c r="C356" s="2" t="s">
        <v>1000</v>
      </c>
      <c r="D356" s="2">
        <v>355</v>
      </c>
      <c r="E356" s="3" t="str">
        <f>D356&amp;"g"</f>
        <v>355g</v>
      </c>
      <c r="F356" t="s">
        <v>1001</v>
      </c>
      <c r="G356" s="4">
        <v>44837</v>
      </c>
      <c r="H356" s="5">
        <v>0.70428240740740744</v>
      </c>
      <c r="I356" t="s">
        <v>9</v>
      </c>
      <c r="J356">
        <v>1.41</v>
      </c>
      <c r="K356">
        <v>25.366599999999998</v>
      </c>
      <c r="L356">
        <v>110.0341</v>
      </c>
      <c r="M356" t="s">
        <v>10</v>
      </c>
      <c r="N356" t="s">
        <v>11</v>
      </c>
      <c r="O356">
        <v>1.95</v>
      </c>
      <c r="P356">
        <v>198.83519999999999</v>
      </c>
      <c r="Q356">
        <v>525.28399999999999</v>
      </c>
      <c r="R356" t="s">
        <v>10</v>
      </c>
      <c r="S356" t="s">
        <v>1002</v>
      </c>
      <c r="T356" s="4">
        <v>44837</v>
      </c>
      <c r="U356" s="5">
        <v>0.70428240740740744</v>
      </c>
      <c r="V356" t="s">
        <v>13</v>
      </c>
      <c r="W356">
        <v>1.1599999999999999</v>
      </c>
      <c r="X356">
        <v>3528.8528000000001</v>
      </c>
      <c r="Y356">
        <v>175465.2487</v>
      </c>
      <c r="Z356" t="s">
        <v>1689</v>
      </c>
      <c r="AA356">
        <v>2.2599999999999998</v>
      </c>
      <c r="AB356">
        <v>75.967200000000005</v>
      </c>
      <c r="AC356">
        <v>0.11260000000000001</v>
      </c>
      <c r="AD356" t="s">
        <v>10</v>
      </c>
    </row>
    <row r="357" spans="1:30">
      <c r="A357" s="2">
        <v>66</v>
      </c>
      <c r="B357" s="2" t="s">
        <v>196</v>
      </c>
      <c r="C357" s="2" t="s">
        <v>196</v>
      </c>
      <c r="D357" s="2">
        <v>356</v>
      </c>
      <c r="E357" s="2" t="s">
        <v>196</v>
      </c>
      <c r="F357" t="s">
        <v>1003</v>
      </c>
      <c r="G357" s="4">
        <v>44837</v>
      </c>
      <c r="H357" s="5">
        <v>0.70803240740740747</v>
      </c>
      <c r="I357" t="s">
        <v>9</v>
      </c>
      <c r="J357">
        <v>1.4059999999999999</v>
      </c>
      <c r="K357">
        <v>0.35349999999999998</v>
      </c>
      <c r="L357">
        <v>1.8469</v>
      </c>
      <c r="M357" t="s">
        <v>10</v>
      </c>
      <c r="N357" t="s">
        <v>11</v>
      </c>
      <c r="O357">
        <v>1.946</v>
      </c>
      <c r="P357">
        <v>91.255200000000002</v>
      </c>
      <c r="Q357">
        <v>127.6956</v>
      </c>
      <c r="R357" t="s">
        <v>10</v>
      </c>
      <c r="S357" t="s">
        <v>1004</v>
      </c>
      <c r="T357" s="4">
        <v>44837</v>
      </c>
      <c r="U357" s="5">
        <v>0.70803240740740747</v>
      </c>
      <c r="V357" t="s">
        <v>13</v>
      </c>
      <c r="W357">
        <v>1.1559999999999999</v>
      </c>
      <c r="X357">
        <v>2975.9281999999998</v>
      </c>
      <c r="Y357">
        <v>113198.4443</v>
      </c>
      <c r="Z357" t="s">
        <v>1689</v>
      </c>
      <c r="AA357">
        <v>2.2629999999999999</v>
      </c>
      <c r="AB357">
        <v>49.793799999999997</v>
      </c>
      <c r="AC357">
        <v>5.3E-3</v>
      </c>
      <c r="AD357" t="s">
        <v>10</v>
      </c>
    </row>
    <row r="358" spans="1:30">
      <c r="A358" s="2">
        <v>67</v>
      </c>
      <c r="B358" s="2" t="s">
        <v>975</v>
      </c>
      <c r="C358" s="2" t="s">
        <v>1005</v>
      </c>
      <c r="D358" s="2">
        <v>357</v>
      </c>
      <c r="E358" s="3" t="str">
        <f>D358&amp;"g"</f>
        <v>357g</v>
      </c>
      <c r="F358" t="s">
        <v>1006</v>
      </c>
      <c r="G358" s="4">
        <v>44837</v>
      </c>
      <c r="H358" s="5">
        <v>0.71179398148148154</v>
      </c>
      <c r="I358" t="s">
        <v>9</v>
      </c>
      <c r="J358">
        <v>1.4159999999999999</v>
      </c>
      <c r="K358">
        <v>0.48420000000000002</v>
      </c>
      <c r="L358">
        <v>2.4121999999999999</v>
      </c>
      <c r="M358" t="s">
        <v>10</v>
      </c>
      <c r="N358" t="s">
        <v>11</v>
      </c>
      <c r="O358">
        <v>1.96</v>
      </c>
      <c r="P358">
        <v>305.79039999999998</v>
      </c>
      <c r="Q358">
        <v>920.56330000000003</v>
      </c>
      <c r="R358" t="s">
        <v>10</v>
      </c>
      <c r="S358" t="s">
        <v>1007</v>
      </c>
      <c r="T358" s="4">
        <v>44837</v>
      </c>
      <c r="U358" s="5">
        <v>0.71179398148148154</v>
      </c>
      <c r="V358" t="s">
        <v>13</v>
      </c>
      <c r="W358">
        <v>1.1659999999999999</v>
      </c>
      <c r="X358">
        <v>3525.3310000000001</v>
      </c>
      <c r="Y358">
        <v>174945.85800000001</v>
      </c>
      <c r="Z358" t="s">
        <v>1689</v>
      </c>
      <c r="AA358">
        <v>2.27</v>
      </c>
      <c r="AB358">
        <v>83.750399999999999</v>
      </c>
      <c r="AC358">
        <v>0.14449999999999999</v>
      </c>
      <c r="AD358" t="s">
        <v>10</v>
      </c>
    </row>
    <row r="359" spans="1:30">
      <c r="A359" s="2">
        <v>68</v>
      </c>
      <c r="B359" s="2" t="s">
        <v>196</v>
      </c>
      <c r="C359" s="2" t="s">
        <v>196</v>
      </c>
      <c r="D359" s="2">
        <v>358</v>
      </c>
      <c r="E359" s="2" t="s">
        <v>196</v>
      </c>
      <c r="F359" t="s">
        <v>1008</v>
      </c>
      <c r="G359" s="4">
        <v>44837</v>
      </c>
      <c r="H359" s="5">
        <v>0.7155555555555555</v>
      </c>
      <c r="I359" t="s">
        <v>9</v>
      </c>
      <c r="J359">
        <v>1.4059999999999999</v>
      </c>
      <c r="K359">
        <v>0.39140000000000003</v>
      </c>
      <c r="L359">
        <v>2.0108000000000001</v>
      </c>
      <c r="M359" t="s">
        <v>10</v>
      </c>
      <c r="N359" t="s">
        <v>11</v>
      </c>
      <c r="O359">
        <v>1.946</v>
      </c>
      <c r="P359">
        <v>112.78619999999999</v>
      </c>
      <c r="Q359">
        <v>207.2687</v>
      </c>
      <c r="R359" t="s">
        <v>10</v>
      </c>
      <c r="S359" t="s">
        <v>1009</v>
      </c>
      <c r="T359" s="4">
        <v>44837</v>
      </c>
      <c r="U359" s="5">
        <v>0.7155555555555555</v>
      </c>
      <c r="V359" t="s">
        <v>13</v>
      </c>
      <c r="W359">
        <v>1.1559999999999999</v>
      </c>
      <c r="X359">
        <v>3285.2885000000001</v>
      </c>
      <c r="Y359">
        <v>142791.89490000001</v>
      </c>
      <c r="Z359" t="s">
        <v>1689</v>
      </c>
      <c r="AA359">
        <v>2.2559999999999998</v>
      </c>
      <c r="AB359">
        <v>63.1798</v>
      </c>
      <c r="AC359">
        <v>6.0199999999999997E-2</v>
      </c>
      <c r="AD359" t="s">
        <v>10</v>
      </c>
    </row>
    <row r="360" spans="1:30">
      <c r="A360" s="2">
        <v>69</v>
      </c>
      <c r="B360" s="2" t="s">
        <v>975</v>
      </c>
      <c r="C360" s="2" t="s">
        <v>1010</v>
      </c>
      <c r="D360" s="2">
        <v>359</v>
      </c>
      <c r="E360" s="3" t="str">
        <f>D360&amp;"g"</f>
        <v>359g</v>
      </c>
      <c r="F360" t="s">
        <v>1011</v>
      </c>
      <c r="G360" s="4">
        <v>44837</v>
      </c>
      <c r="H360" s="5">
        <v>0.71930555555555553</v>
      </c>
      <c r="I360" t="s">
        <v>9</v>
      </c>
      <c r="J360">
        <v>1.4059999999999999</v>
      </c>
      <c r="K360">
        <v>0.56930000000000003</v>
      </c>
      <c r="L360">
        <v>2.7803</v>
      </c>
      <c r="M360" t="s">
        <v>10</v>
      </c>
      <c r="N360" t="s">
        <v>11</v>
      </c>
      <c r="O360">
        <v>1.9530000000000001</v>
      </c>
      <c r="P360">
        <v>263.11810000000003</v>
      </c>
      <c r="Q360">
        <v>762.85730000000001</v>
      </c>
      <c r="R360" t="s">
        <v>10</v>
      </c>
      <c r="S360" t="s">
        <v>1012</v>
      </c>
      <c r="T360" s="4">
        <v>44837</v>
      </c>
      <c r="U360" s="5">
        <v>0.71930555555555553</v>
      </c>
      <c r="V360" t="s">
        <v>13</v>
      </c>
      <c r="W360">
        <v>1.1599999999999999</v>
      </c>
      <c r="X360">
        <v>3548.1118999999999</v>
      </c>
      <c r="Y360">
        <v>178305.55679999999</v>
      </c>
      <c r="Z360" t="s">
        <v>1689</v>
      </c>
      <c r="AA360">
        <v>2.2629999999999999</v>
      </c>
      <c r="AB360">
        <v>82.102599999999995</v>
      </c>
      <c r="AC360">
        <v>0.13780000000000001</v>
      </c>
      <c r="AD360" t="s">
        <v>10</v>
      </c>
    </row>
    <row r="361" spans="1:30">
      <c r="A361" s="2">
        <v>70</v>
      </c>
      <c r="B361" s="2" t="s">
        <v>196</v>
      </c>
      <c r="C361" s="2" t="s">
        <v>196</v>
      </c>
      <c r="D361" s="2">
        <v>360</v>
      </c>
      <c r="E361" s="2" t="s">
        <v>196</v>
      </c>
      <c r="F361" t="s">
        <v>1013</v>
      </c>
      <c r="G361" s="4">
        <v>44837</v>
      </c>
      <c r="H361" s="5">
        <v>0.72305555555555545</v>
      </c>
      <c r="I361" t="s">
        <v>9</v>
      </c>
      <c r="J361">
        <v>1.413</v>
      </c>
      <c r="K361">
        <v>0.30020000000000002</v>
      </c>
      <c r="L361">
        <v>1.6163000000000001</v>
      </c>
      <c r="M361" t="s">
        <v>10</v>
      </c>
      <c r="N361" t="s">
        <v>11</v>
      </c>
      <c r="O361">
        <v>1.96</v>
      </c>
      <c r="P361">
        <v>89.562600000000003</v>
      </c>
      <c r="Q361">
        <v>121.4401</v>
      </c>
      <c r="R361" t="s">
        <v>10</v>
      </c>
      <c r="S361" t="s">
        <v>1014</v>
      </c>
      <c r="T361" s="4">
        <v>44837</v>
      </c>
      <c r="U361" s="5">
        <v>0.72305555555555545</v>
      </c>
      <c r="V361" t="s">
        <v>13</v>
      </c>
      <c r="W361">
        <v>1.163</v>
      </c>
      <c r="X361">
        <v>3039.9832000000001</v>
      </c>
      <c r="Y361">
        <v>118686.6364</v>
      </c>
      <c r="Z361" t="s">
        <v>1689</v>
      </c>
      <c r="AA361">
        <v>2.2730000000000001</v>
      </c>
      <c r="AB361">
        <v>48.779200000000003</v>
      </c>
      <c r="AC361">
        <v>1.1999999999999999E-3</v>
      </c>
      <c r="AD361" t="s">
        <v>10</v>
      </c>
    </row>
    <row r="362" spans="1:30">
      <c r="A362" s="2">
        <v>71</v>
      </c>
      <c r="B362" s="2" t="s">
        <v>975</v>
      </c>
      <c r="C362" s="2" t="s">
        <v>1015</v>
      </c>
      <c r="D362" s="2">
        <v>361</v>
      </c>
      <c r="E362" s="3" t="str">
        <f>D362&amp;"g"</f>
        <v>361g</v>
      </c>
      <c r="F362" t="s">
        <v>1016</v>
      </c>
      <c r="G362" s="4">
        <v>44837</v>
      </c>
      <c r="H362" s="5">
        <v>0.72680555555555559</v>
      </c>
      <c r="I362" t="s">
        <v>9</v>
      </c>
      <c r="J362">
        <v>1.4059999999999999</v>
      </c>
      <c r="K362">
        <v>1.1999</v>
      </c>
      <c r="L362">
        <v>5.5077999999999996</v>
      </c>
      <c r="M362" t="s">
        <v>10</v>
      </c>
      <c r="N362" t="s">
        <v>11</v>
      </c>
      <c r="O362">
        <v>1.9530000000000001</v>
      </c>
      <c r="P362">
        <v>13492.459199999999</v>
      </c>
      <c r="Q362">
        <v>49655.147599999997</v>
      </c>
      <c r="R362" t="s">
        <v>10</v>
      </c>
      <c r="S362" t="s">
        <v>1017</v>
      </c>
      <c r="T362" s="4">
        <v>44837</v>
      </c>
      <c r="U362" s="5">
        <v>0.72680555555555559</v>
      </c>
      <c r="V362" t="s">
        <v>13</v>
      </c>
      <c r="W362">
        <v>1.1559999999999999</v>
      </c>
      <c r="X362">
        <v>2629.721</v>
      </c>
      <c r="Y362">
        <v>87312.424599999998</v>
      </c>
      <c r="Z362" t="s">
        <v>1689</v>
      </c>
      <c r="AA362">
        <v>2.2559999999999998</v>
      </c>
      <c r="AB362">
        <v>339.68520000000001</v>
      </c>
      <c r="AC362">
        <v>1.1936</v>
      </c>
      <c r="AD362" t="s">
        <v>10</v>
      </c>
    </row>
    <row r="363" spans="1:30">
      <c r="A363" s="2">
        <v>72</v>
      </c>
      <c r="B363" s="2" t="s">
        <v>196</v>
      </c>
      <c r="C363" s="2" t="s">
        <v>196</v>
      </c>
      <c r="D363" s="2">
        <v>362</v>
      </c>
      <c r="E363" s="2" t="s">
        <v>196</v>
      </c>
      <c r="F363" t="s">
        <v>1018</v>
      </c>
      <c r="G363" s="4">
        <v>44837</v>
      </c>
      <c r="H363" s="5">
        <v>0.73055555555555562</v>
      </c>
      <c r="I363" t="s">
        <v>9</v>
      </c>
      <c r="J363">
        <v>0</v>
      </c>
      <c r="K363">
        <v>0</v>
      </c>
      <c r="L363">
        <v>0</v>
      </c>
      <c r="M363" t="s">
        <v>10</v>
      </c>
      <c r="N363" t="s">
        <v>11</v>
      </c>
      <c r="O363">
        <v>1.95</v>
      </c>
      <c r="P363">
        <v>169.64150000000001</v>
      </c>
      <c r="Q363">
        <v>417.39139999999998</v>
      </c>
      <c r="R363" t="s">
        <v>10</v>
      </c>
      <c r="S363" t="s">
        <v>1019</v>
      </c>
      <c r="T363" s="4">
        <v>44837</v>
      </c>
      <c r="U363" s="5">
        <v>0.73055555555555562</v>
      </c>
      <c r="V363" t="s">
        <v>13</v>
      </c>
      <c r="W363">
        <v>1.1559999999999999</v>
      </c>
      <c r="X363">
        <v>3057.6734000000001</v>
      </c>
      <c r="Y363">
        <v>120217.5422</v>
      </c>
      <c r="Z363" t="s">
        <v>1689</v>
      </c>
      <c r="AA363">
        <v>2.2629999999999999</v>
      </c>
      <c r="AB363">
        <v>57.6464</v>
      </c>
      <c r="AC363">
        <v>3.7499999999999999E-2</v>
      </c>
      <c r="AD363" t="s">
        <v>10</v>
      </c>
    </row>
    <row r="364" spans="1:30">
      <c r="A364" s="2">
        <v>73</v>
      </c>
      <c r="B364" s="2" t="s">
        <v>238</v>
      </c>
      <c r="C364" s="2" t="s">
        <v>239</v>
      </c>
      <c r="D364" s="2">
        <v>363</v>
      </c>
      <c r="E364" s="3" t="s">
        <v>1020</v>
      </c>
      <c r="F364" t="s">
        <v>1021</v>
      </c>
      <c r="G364" s="4">
        <v>44837</v>
      </c>
      <c r="H364" s="5">
        <v>0.73430555555555566</v>
      </c>
      <c r="I364" t="s">
        <v>9</v>
      </c>
      <c r="J364">
        <v>1.4059999999999999</v>
      </c>
      <c r="K364">
        <v>0.65769999999999995</v>
      </c>
      <c r="L364">
        <v>3.1625999999999999</v>
      </c>
      <c r="M364" t="s">
        <v>10</v>
      </c>
      <c r="N364" t="s">
        <v>11</v>
      </c>
      <c r="O364">
        <v>1.95</v>
      </c>
      <c r="P364">
        <v>171.2432</v>
      </c>
      <c r="Q364">
        <v>423.3109</v>
      </c>
      <c r="R364" t="s">
        <v>10</v>
      </c>
      <c r="S364" t="s">
        <v>1022</v>
      </c>
      <c r="T364" s="4">
        <v>44837</v>
      </c>
      <c r="U364" s="5">
        <v>0.73430555555555566</v>
      </c>
      <c r="V364" t="s">
        <v>13</v>
      </c>
      <c r="W364">
        <v>1.1599999999999999</v>
      </c>
      <c r="X364">
        <v>3799.6068</v>
      </c>
      <c r="Y364">
        <v>215395.71100000001</v>
      </c>
      <c r="Z364" t="s">
        <v>1689</v>
      </c>
      <c r="AA364">
        <v>2.2629999999999999</v>
      </c>
      <c r="AB364">
        <v>96.867000000000004</v>
      </c>
      <c r="AC364">
        <v>0.1983</v>
      </c>
      <c r="AD364" t="s">
        <v>10</v>
      </c>
    </row>
    <row r="365" spans="1:30">
      <c r="A365" s="2">
        <v>74</v>
      </c>
      <c r="B365" s="2" t="s">
        <v>196</v>
      </c>
      <c r="C365" s="2" t="s">
        <v>196</v>
      </c>
      <c r="D365" s="2">
        <v>364</v>
      </c>
      <c r="E365" s="2" t="s">
        <v>196</v>
      </c>
      <c r="F365" t="s">
        <v>1023</v>
      </c>
      <c r="G365" s="4">
        <v>44837</v>
      </c>
      <c r="H365" s="5">
        <v>0.73805555555555558</v>
      </c>
      <c r="I365" t="s">
        <v>9</v>
      </c>
      <c r="J365">
        <v>1.4159999999999999</v>
      </c>
      <c r="K365">
        <v>0.35539999999999999</v>
      </c>
      <c r="L365">
        <v>1.8551</v>
      </c>
      <c r="M365" t="s">
        <v>10</v>
      </c>
      <c r="N365" t="s">
        <v>11</v>
      </c>
      <c r="O365">
        <v>1.96</v>
      </c>
      <c r="P365">
        <v>97.862200000000001</v>
      </c>
      <c r="Q365">
        <v>152.11330000000001</v>
      </c>
      <c r="R365" t="s">
        <v>10</v>
      </c>
      <c r="S365" t="s">
        <v>1024</v>
      </c>
      <c r="T365" s="4">
        <v>44837</v>
      </c>
      <c r="U365" s="5">
        <v>0.73805555555555558</v>
      </c>
      <c r="V365" t="s">
        <v>13</v>
      </c>
      <c r="W365">
        <v>1.1659999999999999</v>
      </c>
      <c r="X365">
        <v>3104.2168000000001</v>
      </c>
      <c r="Y365">
        <v>124464.9516</v>
      </c>
      <c r="Z365" t="s">
        <v>1689</v>
      </c>
      <c r="AA365">
        <v>2.27</v>
      </c>
      <c r="AB365">
        <v>57.318100000000001</v>
      </c>
      <c r="AC365">
        <v>3.6200000000000003E-2</v>
      </c>
      <c r="AD365" t="s">
        <v>10</v>
      </c>
    </row>
    <row r="366" spans="1:30">
      <c r="A366" s="2">
        <v>75</v>
      </c>
      <c r="B366" s="2" t="s">
        <v>975</v>
      </c>
      <c r="C366" s="2" t="s">
        <v>1025</v>
      </c>
      <c r="D366" s="2">
        <v>365</v>
      </c>
      <c r="E366" s="3" t="str">
        <f>D366&amp;"g"</f>
        <v>365g</v>
      </c>
      <c r="F366" t="s">
        <v>1026</v>
      </c>
      <c r="G366" s="4">
        <v>44837</v>
      </c>
      <c r="H366" s="5">
        <v>0.74180555555555561</v>
      </c>
      <c r="I366" t="s">
        <v>9</v>
      </c>
      <c r="J366">
        <v>1.41</v>
      </c>
      <c r="K366">
        <v>2.5781999999999998</v>
      </c>
      <c r="L366">
        <v>11.469200000000001</v>
      </c>
      <c r="M366" t="s">
        <v>10</v>
      </c>
      <c r="N366" t="s">
        <v>11</v>
      </c>
      <c r="O366">
        <v>1.9630000000000001</v>
      </c>
      <c r="P366">
        <v>3082.5351999999998</v>
      </c>
      <c r="Q366">
        <v>11182.708000000001</v>
      </c>
      <c r="R366" t="s">
        <v>10</v>
      </c>
      <c r="S366" t="s">
        <v>1027</v>
      </c>
      <c r="T366" s="4">
        <v>44837</v>
      </c>
      <c r="U366" s="5">
        <v>0.74180555555555561</v>
      </c>
      <c r="V366" t="s">
        <v>13</v>
      </c>
      <c r="W366">
        <v>1.1599999999999999</v>
      </c>
      <c r="X366">
        <v>3459.9285</v>
      </c>
      <c r="Y366">
        <v>165300.37890000001</v>
      </c>
      <c r="Z366" t="s">
        <v>1689</v>
      </c>
      <c r="AA366">
        <v>2.2629999999999999</v>
      </c>
      <c r="AB366">
        <v>162.2646</v>
      </c>
      <c r="AC366">
        <v>0.46629999999999999</v>
      </c>
      <c r="AD366" t="s">
        <v>10</v>
      </c>
    </row>
    <row r="367" spans="1:30">
      <c r="A367" s="2">
        <v>76</v>
      </c>
      <c r="B367" s="2" t="s">
        <v>196</v>
      </c>
      <c r="C367" s="2" t="s">
        <v>196</v>
      </c>
      <c r="D367" s="2">
        <v>366</v>
      </c>
      <c r="E367" s="2" t="s">
        <v>196</v>
      </c>
      <c r="F367" t="s">
        <v>1028</v>
      </c>
      <c r="G367" s="4">
        <v>44837</v>
      </c>
      <c r="H367" s="5">
        <v>0.74556712962962957</v>
      </c>
      <c r="I367" t="s">
        <v>9</v>
      </c>
      <c r="J367">
        <v>1.42</v>
      </c>
      <c r="K367">
        <v>0.31</v>
      </c>
      <c r="L367">
        <v>1.6587000000000001</v>
      </c>
      <c r="M367" t="s">
        <v>10</v>
      </c>
      <c r="N367" t="s">
        <v>11</v>
      </c>
      <c r="O367">
        <v>1.966</v>
      </c>
      <c r="P367">
        <v>106.66630000000001</v>
      </c>
      <c r="Q367">
        <v>184.65110000000001</v>
      </c>
      <c r="R367" t="s">
        <v>10</v>
      </c>
      <c r="S367" t="s">
        <v>1029</v>
      </c>
      <c r="T367" s="4">
        <v>44837</v>
      </c>
      <c r="U367" s="5">
        <v>0.74556712962962957</v>
      </c>
      <c r="V367" t="s">
        <v>13</v>
      </c>
      <c r="W367">
        <v>1.17</v>
      </c>
      <c r="X367">
        <v>3268.6750000000002</v>
      </c>
      <c r="Y367">
        <v>140918.75930000001</v>
      </c>
      <c r="Z367" t="s">
        <v>1689</v>
      </c>
      <c r="AA367">
        <v>2.2829999999999999</v>
      </c>
      <c r="AB367">
        <v>60.227600000000002</v>
      </c>
      <c r="AC367">
        <v>4.8099999999999997E-2</v>
      </c>
      <c r="AD367" t="s">
        <v>10</v>
      </c>
    </row>
    <row r="368" spans="1:30">
      <c r="A368" s="2">
        <v>77</v>
      </c>
      <c r="B368" s="2" t="s">
        <v>196</v>
      </c>
      <c r="C368" s="2" t="s">
        <v>196</v>
      </c>
      <c r="D368" s="2">
        <v>367</v>
      </c>
      <c r="E368" s="2" t="s">
        <v>196</v>
      </c>
      <c r="F368" t="s">
        <v>1030</v>
      </c>
      <c r="G368" s="4">
        <v>44837</v>
      </c>
      <c r="H368" s="5">
        <v>0.7493171296296296</v>
      </c>
      <c r="I368" t="s">
        <v>9</v>
      </c>
      <c r="J368">
        <v>1.41</v>
      </c>
      <c r="K368">
        <v>0.32319999999999999</v>
      </c>
      <c r="L368">
        <v>1.7158</v>
      </c>
      <c r="M368" t="s">
        <v>10</v>
      </c>
      <c r="N368" t="s">
        <v>11</v>
      </c>
      <c r="O368">
        <v>1.956</v>
      </c>
      <c r="P368">
        <v>94.517200000000003</v>
      </c>
      <c r="Q368">
        <v>139.75110000000001</v>
      </c>
      <c r="R368" t="s">
        <v>10</v>
      </c>
      <c r="S368" t="s">
        <v>1031</v>
      </c>
      <c r="T368" s="4">
        <v>44837</v>
      </c>
      <c r="U368" s="5">
        <v>0.7493171296296296</v>
      </c>
      <c r="V368" t="s">
        <v>13</v>
      </c>
      <c r="W368">
        <v>1.1599999999999999</v>
      </c>
      <c r="X368">
        <v>3085.1486</v>
      </c>
      <c r="Y368">
        <v>122724.8456</v>
      </c>
      <c r="Z368" t="s">
        <v>1689</v>
      </c>
      <c r="AA368">
        <v>2.2730000000000001</v>
      </c>
      <c r="AB368">
        <v>54.671900000000001</v>
      </c>
      <c r="AC368">
        <v>2.53E-2</v>
      </c>
      <c r="AD368" t="s">
        <v>10</v>
      </c>
    </row>
    <row r="369" spans="1:30">
      <c r="A369" s="2">
        <v>78</v>
      </c>
      <c r="B369" s="2" t="s">
        <v>196</v>
      </c>
      <c r="C369" s="2" t="s">
        <v>196</v>
      </c>
      <c r="D369" s="2">
        <v>368</v>
      </c>
      <c r="E369" s="2" t="s">
        <v>196</v>
      </c>
      <c r="F369" t="s">
        <v>1032</v>
      </c>
      <c r="G369" s="4">
        <v>44837</v>
      </c>
      <c r="H369" s="5">
        <v>0.75309027777777782</v>
      </c>
      <c r="I369" t="s">
        <v>9</v>
      </c>
      <c r="J369">
        <v>1.42</v>
      </c>
      <c r="K369">
        <v>0.42359999999999998</v>
      </c>
      <c r="L369">
        <v>2.1501000000000001</v>
      </c>
      <c r="M369" t="s">
        <v>10</v>
      </c>
      <c r="N369" t="s">
        <v>11</v>
      </c>
      <c r="O369">
        <v>1.96</v>
      </c>
      <c r="P369">
        <v>127.85720000000001</v>
      </c>
      <c r="Q369">
        <v>262.96730000000002</v>
      </c>
      <c r="R369" t="s">
        <v>10</v>
      </c>
      <c r="S369" t="s">
        <v>1033</v>
      </c>
      <c r="T369" s="4">
        <v>44837</v>
      </c>
      <c r="U369" s="5">
        <v>0.75309027777777782</v>
      </c>
      <c r="V369" t="s">
        <v>13</v>
      </c>
      <c r="W369">
        <v>1.1659999999999999</v>
      </c>
      <c r="X369">
        <v>3509.6228000000001</v>
      </c>
      <c r="Y369">
        <v>172629.2323</v>
      </c>
      <c r="Z369" t="s">
        <v>1689</v>
      </c>
      <c r="AA369">
        <v>2.2759999999999998</v>
      </c>
      <c r="AB369">
        <v>76.864599999999996</v>
      </c>
      <c r="AC369">
        <v>0.1163</v>
      </c>
      <c r="AD369" t="s">
        <v>10</v>
      </c>
    </row>
    <row r="370" spans="1:30">
      <c r="A370" s="2">
        <v>79</v>
      </c>
      <c r="B370" s="2" t="s">
        <v>975</v>
      </c>
      <c r="C370" s="2" t="s">
        <v>1034</v>
      </c>
      <c r="D370" s="2">
        <v>369</v>
      </c>
      <c r="E370" s="3" t="str">
        <f>D370&amp;"g"</f>
        <v>369g</v>
      </c>
      <c r="F370" t="s">
        <v>1035</v>
      </c>
      <c r="G370" s="4">
        <v>44837</v>
      </c>
      <c r="H370" s="5">
        <v>0.75684027777777774</v>
      </c>
      <c r="I370" t="s">
        <v>9</v>
      </c>
      <c r="J370">
        <v>1.42</v>
      </c>
      <c r="K370">
        <v>0.4788</v>
      </c>
      <c r="L370">
        <v>2.3887999999999998</v>
      </c>
      <c r="M370" t="s">
        <v>10</v>
      </c>
      <c r="N370" t="s">
        <v>11</v>
      </c>
      <c r="O370">
        <v>1.976</v>
      </c>
      <c r="P370">
        <v>1945.4756</v>
      </c>
      <c r="Q370">
        <v>6980.424</v>
      </c>
      <c r="R370" t="s">
        <v>10</v>
      </c>
      <c r="S370" t="s">
        <v>1036</v>
      </c>
      <c r="T370" s="4">
        <v>44837</v>
      </c>
      <c r="U370" s="5">
        <v>0.75684027777777774</v>
      </c>
      <c r="V370" t="s">
        <v>13</v>
      </c>
      <c r="W370">
        <v>1.17</v>
      </c>
      <c r="X370">
        <v>3579.5563999999999</v>
      </c>
      <c r="Y370">
        <v>182942.95240000001</v>
      </c>
      <c r="Z370" t="s">
        <v>1689</v>
      </c>
      <c r="AA370">
        <v>2.2799999999999998</v>
      </c>
      <c r="AB370">
        <v>135.88040000000001</v>
      </c>
      <c r="AC370">
        <v>0.35820000000000002</v>
      </c>
      <c r="AD370" t="s">
        <v>10</v>
      </c>
    </row>
    <row r="371" spans="1:30">
      <c r="A371" s="2">
        <v>80</v>
      </c>
      <c r="B371" s="2" t="s">
        <v>196</v>
      </c>
      <c r="C371" s="2" t="s">
        <v>196</v>
      </c>
      <c r="D371" s="2">
        <v>370</v>
      </c>
      <c r="E371" s="2" t="s">
        <v>196</v>
      </c>
      <c r="F371" t="s">
        <v>1037</v>
      </c>
      <c r="G371" s="4">
        <v>44837</v>
      </c>
      <c r="H371" s="5">
        <v>0.76059027777777777</v>
      </c>
      <c r="I371" t="s">
        <v>9</v>
      </c>
      <c r="J371">
        <v>1.413</v>
      </c>
      <c r="K371">
        <v>0.379</v>
      </c>
      <c r="L371">
        <v>1.9572000000000001</v>
      </c>
      <c r="M371" t="s">
        <v>10</v>
      </c>
      <c r="N371" t="s">
        <v>11</v>
      </c>
      <c r="O371">
        <v>1.956</v>
      </c>
      <c r="P371">
        <v>110.1516</v>
      </c>
      <c r="Q371">
        <v>197.53190000000001</v>
      </c>
      <c r="R371" t="s">
        <v>10</v>
      </c>
      <c r="S371" t="s">
        <v>1038</v>
      </c>
      <c r="T371" s="4">
        <v>44837</v>
      </c>
      <c r="U371" s="5">
        <v>0.76059027777777777</v>
      </c>
      <c r="V371" t="s">
        <v>13</v>
      </c>
      <c r="W371">
        <v>1.1659999999999999</v>
      </c>
      <c r="X371">
        <v>3189.27</v>
      </c>
      <c r="Y371">
        <v>132603.87710000001</v>
      </c>
      <c r="Z371" t="s">
        <v>1689</v>
      </c>
      <c r="AA371">
        <v>2.2730000000000001</v>
      </c>
      <c r="AB371">
        <v>62.415399999999998</v>
      </c>
      <c r="AC371">
        <v>5.7099999999999998E-2</v>
      </c>
      <c r="AD371" t="s">
        <v>10</v>
      </c>
    </row>
    <row r="372" spans="1:30">
      <c r="A372" s="2">
        <v>81</v>
      </c>
      <c r="B372" s="2" t="s">
        <v>975</v>
      </c>
      <c r="C372" s="2" t="s">
        <v>1039</v>
      </c>
      <c r="D372" s="2">
        <v>371</v>
      </c>
      <c r="E372" s="3" t="str">
        <f>D372&amp;"g"</f>
        <v>371g</v>
      </c>
      <c r="F372" t="s">
        <v>1040</v>
      </c>
      <c r="G372" s="4">
        <v>44837</v>
      </c>
      <c r="H372" s="5">
        <v>0.7643402777777778</v>
      </c>
      <c r="I372" t="s">
        <v>9</v>
      </c>
      <c r="J372">
        <v>1.413</v>
      </c>
      <c r="K372">
        <v>161.97450000000001</v>
      </c>
      <c r="L372">
        <v>700.89340000000004</v>
      </c>
      <c r="M372" t="s">
        <v>10</v>
      </c>
      <c r="N372" t="s">
        <v>11</v>
      </c>
      <c r="O372">
        <v>1.956</v>
      </c>
      <c r="P372">
        <v>303.59399999999999</v>
      </c>
      <c r="Q372">
        <v>912.44590000000005</v>
      </c>
      <c r="R372" t="s">
        <v>10</v>
      </c>
      <c r="S372" t="s">
        <v>1041</v>
      </c>
      <c r="T372" s="4">
        <v>44837</v>
      </c>
      <c r="U372" s="5">
        <v>0.7643402777777778</v>
      </c>
      <c r="V372" t="s">
        <v>13</v>
      </c>
      <c r="W372">
        <v>1.1599999999999999</v>
      </c>
      <c r="X372">
        <v>3545.6311999999998</v>
      </c>
      <c r="Y372">
        <v>177939.70619999999</v>
      </c>
      <c r="Z372" t="s">
        <v>1689</v>
      </c>
      <c r="AA372">
        <v>2.27</v>
      </c>
      <c r="AB372">
        <v>83.349800000000002</v>
      </c>
      <c r="AC372">
        <v>0.1429</v>
      </c>
      <c r="AD372" t="s">
        <v>10</v>
      </c>
    </row>
    <row r="373" spans="1:30">
      <c r="A373" s="2">
        <v>82</v>
      </c>
      <c r="B373" s="2" t="s">
        <v>196</v>
      </c>
      <c r="C373" s="2" t="s">
        <v>196</v>
      </c>
      <c r="D373" s="2">
        <v>372</v>
      </c>
      <c r="E373" s="2" t="s">
        <v>196</v>
      </c>
      <c r="F373" t="s">
        <v>1042</v>
      </c>
      <c r="G373" s="4">
        <v>44837</v>
      </c>
      <c r="H373" s="5">
        <v>0.76809027777777772</v>
      </c>
      <c r="I373" t="s">
        <v>9</v>
      </c>
      <c r="J373">
        <v>1.403</v>
      </c>
      <c r="K373">
        <v>0.33400000000000002</v>
      </c>
      <c r="L373">
        <v>1.7625</v>
      </c>
      <c r="M373" t="s">
        <v>10</v>
      </c>
      <c r="N373" t="s">
        <v>11</v>
      </c>
      <c r="O373">
        <v>1.946</v>
      </c>
      <c r="P373">
        <v>79.037800000000004</v>
      </c>
      <c r="Q373">
        <v>82.543099999999995</v>
      </c>
      <c r="R373" t="s">
        <v>10</v>
      </c>
      <c r="S373" t="s">
        <v>1043</v>
      </c>
      <c r="T373" s="4">
        <v>44837</v>
      </c>
      <c r="U373" s="5">
        <v>0.76809027777777772</v>
      </c>
      <c r="V373" t="s">
        <v>13</v>
      </c>
      <c r="W373">
        <v>1.1559999999999999</v>
      </c>
      <c r="X373">
        <v>2746.8355999999999</v>
      </c>
      <c r="Y373">
        <v>95529.147899999996</v>
      </c>
      <c r="Z373" t="s">
        <v>1689</v>
      </c>
      <c r="AA373">
        <v>2.2599999999999998</v>
      </c>
      <c r="AB373">
        <v>46.1768</v>
      </c>
      <c r="AC373">
        <v>0</v>
      </c>
      <c r="AD373" t="s">
        <v>10</v>
      </c>
    </row>
    <row r="374" spans="1:30">
      <c r="A374" s="2">
        <v>83</v>
      </c>
      <c r="B374" s="2" t="s">
        <v>975</v>
      </c>
      <c r="C374" s="2" t="s">
        <v>1044</v>
      </c>
      <c r="D374" s="2">
        <v>373</v>
      </c>
      <c r="E374" s="3" t="str">
        <f>D374&amp;"g"</f>
        <v>373g</v>
      </c>
      <c r="F374" t="s">
        <v>1045</v>
      </c>
      <c r="G374" s="4">
        <v>44837</v>
      </c>
      <c r="H374" s="5">
        <v>0.7718518518518519</v>
      </c>
      <c r="I374" t="s">
        <v>9</v>
      </c>
      <c r="J374">
        <v>1.41</v>
      </c>
      <c r="K374">
        <v>7.9923000000000002</v>
      </c>
      <c r="L374">
        <v>34.886400000000002</v>
      </c>
      <c r="M374" t="s">
        <v>10</v>
      </c>
      <c r="N374" t="s">
        <v>11</v>
      </c>
      <c r="O374">
        <v>1.956</v>
      </c>
      <c r="P374">
        <v>1622.4254000000001</v>
      </c>
      <c r="Q374">
        <v>5786.5123999999996</v>
      </c>
      <c r="R374" t="s">
        <v>10</v>
      </c>
      <c r="S374" t="s">
        <v>1046</v>
      </c>
      <c r="T374" s="4">
        <v>44837</v>
      </c>
      <c r="U374" s="5">
        <v>0.7718518518518519</v>
      </c>
      <c r="V374" t="s">
        <v>13</v>
      </c>
      <c r="W374">
        <v>1.1599999999999999</v>
      </c>
      <c r="X374">
        <v>3497.1941000000002</v>
      </c>
      <c r="Y374">
        <v>170796.26310000001</v>
      </c>
      <c r="Z374" t="s">
        <v>1689</v>
      </c>
      <c r="AA374">
        <v>2.2599999999999998</v>
      </c>
      <c r="AB374">
        <v>125.9132</v>
      </c>
      <c r="AC374">
        <v>0.31730000000000003</v>
      </c>
      <c r="AD374" t="s">
        <v>10</v>
      </c>
    </row>
    <row r="375" spans="1:30">
      <c r="A375" s="2">
        <v>84</v>
      </c>
      <c r="B375" s="2" t="s">
        <v>196</v>
      </c>
      <c r="C375" s="2" t="s">
        <v>196</v>
      </c>
      <c r="D375" s="2">
        <v>374</v>
      </c>
      <c r="E375" s="2" t="s">
        <v>196</v>
      </c>
      <c r="F375" t="s">
        <v>1047</v>
      </c>
      <c r="G375" s="4">
        <v>44837</v>
      </c>
      <c r="H375" s="5">
        <v>0.77560185185185182</v>
      </c>
      <c r="I375" t="s">
        <v>9</v>
      </c>
      <c r="J375">
        <v>1.403</v>
      </c>
      <c r="K375">
        <v>0.31259999999999999</v>
      </c>
      <c r="L375">
        <v>1.67</v>
      </c>
      <c r="M375" t="s">
        <v>10</v>
      </c>
      <c r="N375" t="s">
        <v>11</v>
      </c>
      <c r="O375">
        <v>1.946</v>
      </c>
      <c r="P375">
        <v>88.024799999999999</v>
      </c>
      <c r="Q375">
        <v>115.7568</v>
      </c>
      <c r="R375" t="s">
        <v>10</v>
      </c>
      <c r="S375" t="s">
        <v>1048</v>
      </c>
      <c r="T375" s="4">
        <v>44837</v>
      </c>
      <c r="U375" s="5">
        <v>0.77560185185185182</v>
      </c>
      <c r="V375" t="s">
        <v>13</v>
      </c>
      <c r="W375">
        <v>1.1559999999999999</v>
      </c>
      <c r="X375">
        <v>2966.3022999999998</v>
      </c>
      <c r="Y375">
        <v>112419.05349999999</v>
      </c>
      <c r="Z375" t="s">
        <v>1689</v>
      </c>
      <c r="AA375">
        <v>2.2599999999999998</v>
      </c>
      <c r="AB375">
        <v>51.441200000000002</v>
      </c>
      <c r="AC375">
        <v>1.21E-2</v>
      </c>
      <c r="AD375" t="s">
        <v>10</v>
      </c>
    </row>
    <row r="376" spans="1:30">
      <c r="A376" s="2">
        <v>85</v>
      </c>
      <c r="B376" s="2" t="s">
        <v>1049</v>
      </c>
      <c r="C376" s="2" t="s">
        <v>1050</v>
      </c>
      <c r="D376" s="2">
        <v>375</v>
      </c>
      <c r="E376" s="3" t="str">
        <f>D376&amp;"g"</f>
        <v>375g</v>
      </c>
      <c r="F376" t="s">
        <v>1051</v>
      </c>
      <c r="G376" s="4">
        <v>44837</v>
      </c>
      <c r="H376" s="5">
        <v>0.779363425925926</v>
      </c>
      <c r="I376" t="s">
        <v>9</v>
      </c>
      <c r="J376">
        <v>1.413</v>
      </c>
      <c r="K376">
        <v>1.0524</v>
      </c>
      <c r="L376">
        <v>4.8697999999999997</v>
      </c>
      <c r="M376" t="s">
        <v>10</v>
      </c>
      <c r="N376" t="s">
        <v>11</v>
      </c>
      <c r="O376">
        <v>1.96</v>
      </c>
      <c r="P376">
        <v>1144.6682000000001</v>
      </c>
      <c r="Q376">
        <v>4020.8429000000001</v>
      </c>
      <c r="R376" t="s">
        <v>10</v>
      </c>
      <c r="S376" t="s">
        <v>1052</v>
      </c>
      <c r="T376" s="4">
        <v>44837</v>
      </c>
      <c r="U376" s="5">
        <v>0.779363425925926</v>
      </c>
      <c r="V376" t="s">
        <v>13</v>
      </c>
      <c r="W376">
        <v>1.163</v>
      </c>
      <c r="X376">
        <v>3478.7646</v>
      </c>
      <c r="Y376">
        <v>168078.3034</v>
      </c>
      <c r="Z376" t="s">
        <v>1689</v>
      </c>
      <c r="AA376">
        <v>2.266</v>
      </c>
      <c r="AB376">
        <v>111.9148</v>
      </c>
      <c r="AC376">
        <v>0.26</v>
      </c>
      <c r="AD376" t="s">
        <v>10</v>
      </c>
    </row>
    <row r="377" spans="1:30">
      <c r="A377" s="2">
        <v>86</v>
      </c>
      <c r="B377" s="2" t="s">
        <v>196</v>
      </c>
      <c r="C377" s="2" t="s">
        <v>196</v>
      </c>
      <c r="D377" s="2">
        <v>376</v>
      </c>
      <c r="E377" s="2" t="s">
        <v>196</v>
      </c>
      <c r="F377" t="s">
        <v>1053</v>
      </c>
      <c r="G377" s="4">
        <v>44837</v>
      </c>
      <c r="H377" s="5">
        <v>0.78311342592592592</v>
      </c>
      <c r="I377" t="s">
        <v>9</v>
      </c>
      <c r="J377">
        <v>1.4059999999999999</v>
      </c>
      <c r="K377">
        <v>0.307</v>
      </c>
      <c r="L377">
        <v>1.6457999999999999</v>
      </c>
      <c r="M377" t="s">
        <v>10</v>
      </c>
      <c r="N377" t="s">
        <v>11</v>
      </c>
      <c r="O377">
        <v>1.95</v>
      </c>
      <c r="P377">
        <v>91.095799999999997</v>
      </c>
      <c r="Q377">
        <v>127.1065</v>
      </c>
      <c r="R377" t="s">
        <v>10</v>
      </c>
      <c r="S377" t="s">
        <v>1054</v>
      </c>
      <c r="T377" s="4">
        <v>44837</v>
      </c>
      <c r="U377" s="5">
        <v>0.78311342592592592</v>
      </c>
      <c r="V377" t="s">
        <v>13</v>
      </c>
      <c r="W377">
        <v>1.1559999999999999</v>
      </c>
      <c r="X377">
        <v>3017.9250000000002</v>
      </c>
      <c r="Y377">
        <v>116793.92819999999</v>
      </c>
      <c r="Z377" t="s">
        <v>1689</v>
      </c>
      <c r="AA377">
        <v>2.2599999999999998</v>
      </c>
      <c r="AB377">
        <v>51.680999999999997</v>
      </c>
      <c r="AC377">
        <v>1.3100000000000001E-2</v>
      </c>
      <c r="AD377" t="s">
        <v>10</v>
      </c>
    </row>
    <row r="378" spans="1:30">
      <c r="A378" s="2">
        <v>87</v>
      </c>
      <c r="B378" s="2" t="s">
        <v>1049</v>
      </c>
      <c r="C378" s="2" t="s">
        <v>1055</v>
      </c>
      <c r="D378" s="2">
        <v>377</v>
      </c>
      <c r="E378" s="3" t="str">
        <f>D378&amp;"g"</f>
        <v>377g</v>
      </c>
      <c r="F378" t="s">
        <v>1056</v>
      </c>
      <c r="G378" s="4">
        <v>44837</v>
      </c>
      <c r="H378" s="5">
        <v>0.78686342592592595</v>
      </c>
      <c r="I378" t="s">
        <v>9</v>
      </c>
      <c r="J378">
        <v>1.4059999999999999</v>
      </c>
      <c r="K378">
        <v>0.47799999999999998</v>
      </c>
      <c r="L378">
        <v>2.3854000000000002</v>
      </c>
      <c r="M378" t="s">
        <v>10</v>
      </c>
      <c r="N378" t="s">
        <v>11</v>
      </c>
      <c r="O378">
        <v>1.9530000000000001</v>
      </c>
      <c r="P378">
        <v>563.86040000000003</v>
      </c>
      <c r="Q378">
        <v>1874.3244999999999</v>
      </c>
      <c r="R378" t="s">
        <v>10</v>
      </c>
      <c r="S378" t="s">
        <v>1057</v>
      </c>
      <c r="T378" s="4">
        <v>44837</v>
      </c>
      <c r="U378" s="5">
        <v>0.78686342592592595</v>
      </c>
      <c r="V378" t="s">
        <v>13</v>
      </c>
      <c r="W378">
        <v>1.1599999999999999</v>
      </c>
      <c r="X378">
        <v>3508.2451999999998</v>
      </c>
      <c r="Y378">
        <v>172426.0656</v>
      </c>
      <c r="Z378" t="s">
        <v>1689</v>
      </c>
      <c r="AA378">
        <v>2.2599999999999998</v>
      </c>
      <c r="AB378">
        <v>91.927599999999998</v>
      </c>
      <c r="AC378">
        <v>0.17799999999999999</v>
      </c>
      <c r="AD378" t="s">
        <v>10</v>
      </c>
    </row>
    <row r="379" spans="1:30">
      <c r="A379" s="2">
        <v>88</v>
      </c>
      <c r="B379" s="2" t="s">
        <v>196</v>
      </c>
      <c r="C379" s="2" t="s">
        <v>196</v>
      </c>
      <c r="D379" s="2">
        <v>378</v>
      </c>
      <c r="E379" s="2" t="s">
        <v>196</v>
      </c>
      <c r="F379" t="s">
        <v>1058</v>
      </c>
      <c r="G379" s="4">
        <v>44837</v>
      </c>
      <c r="H379" s="5">
        <v>0.79061342592592598</v>
      </c>
      <c r="I379" t="s">
        <v>9</v>
      </c>
      <c r="J379">
        <v>1.4059999999999999</v>
      </c>
      <c r="K379">
        <v>0.3574</v>
      </c>
      <c r="L379">
        <v>1.8637999999999999</v>
      </c>
      <c r="M379" t="s">
        <v>10</v>
      </c>
      <c r="N379" t="s">
        <v>11</v>
      </c>
      <c r="O379">
        <v>1.95</v>
      </c>
      <c r="P379">
        <v>96.061400000000006</v>
      </c>
      <c r="Q379">
        <v>145.458</v>
      </c>
      <c r="R379" t="s">
        <v>10</v>
      </c>
      <c r="S379" t="s">
        <v>1059</v>
      </c>
      <c r="T379" s="4">
        <v>44837</v>
      </c>
      <c r="U379" s="5">
        <v>0.79061342592592598</v>
      </c>
      <c r="V379" t="s">
        <v>13</v>
      </c>
      <c r="W379">
        <v>1.1559999999999999</v>
      </c>
      <c r="X379">
        <v>3079.6372000000001</v>
      </c>
      <c r="Y379">
        <v>122221.8919</v>
      </c>
      <c r="Z379" t="s">
        <v>1689</v>
      </c>
      <c r="AA379">
        <v>2.2599999999999998</v>
      </c>
      <c r="AB379">
        <v>55.95</v>
      </c>
      <c r="AC379">
        <v>3.0599999999999999E-2</v>
      </c>
      <c r="AD379" t="s">
        <v>10</v>
      </c>
    </row>
    <row r="380" spans="1:30">
      <c r="A380" s="2">
        <v>89</v>
      </c>
      <c r="B380" s="2" t="s">
        <v>1060</v>
      </c>
      <c r="C380" s="2" t="s">
        <v>1061</v>
      </c>
      <c r="D380" s="2">
        <v>379</v>
      </c>
      <c r="E380" s="3" t="str">
        <f>D380&amp;"g"</f>
        <v>379g</v>
      </c>
      <c r="F380" t="s">
        <v>1062</v>
      </c>
      <c r="G380" s="4">
        <v>44837</v>
      </c>
      <c r="H380" s="5">
        <v>0.7943634259259259</v>
      </c>
      <c r="I380" t="s">
        <v>9</v>
      </c>
      <c r="J380">
        <v>1.4059999999999999</v>
      </c>
      <c r="K380">
        <v>0.42020000000000002</v>
      </c>
      <c r="L380">
        <v>2.1354000000000002</v>
      </c>
      <c r="M380" t="s">
        <v>10</v>
      </c>
      <c r="N380" t="s">
        <v>11</v>
      </c>
      <c r="O380">
        <v>1.95</v>
      </c>
      <c r="P380">
        <v>473.49979999999999</v>
      </c>
      <c r="Q380">
        <v>1540.3747000000001</v>
      </c>
      <c r="R380" t="s">
        <v>10</v>
      </c>
      <c r="S380" t="s">
        <v>1063</v>
      </c>
      <c r="T380" s="4">
        <v>44837</v>
      </c>
      <c r="U380" s="5">
        <v>0.7943634259259259</v>
      </c>
      <c r="V380" t="s">
        <v>13</v>
      </c>
      <c r="W380">
        <v>1.1599999999999999</v>
      </c>
      <c r="X380">
        <v>3256.0419999999999</v>
      </c>
      <c r="Y380">
        <v>139531.21770000001</v>
      </c>
      <c r="Z380" t="s">
        <v>1689</v>
      </c>
      <c r="AA380">
        <v>2.2599999999999998</v>
      </c>
      <c r="AB380">
        <v>79.460400000000007</v>
      </c>
      <c r="AC380">
        <v>0.12690000000000001</v>
      </c>
      <c r="AD380" t="s">
        <v>10</v>
      </c>
    </row>
    <row r="381" spans="1:30">
      <c r="A381" s="2">
        <v>90</v>
      </c>
      <c r="B381" s="2" t="s">
        <v>196</v>
      </c>
      <c r="C381" s="2" t="s">
        <v>196</v>
      </c>
      <c r="D381" s="2">
        <v>380</v>
      </c>
      <c r="E381" s="2" t="s">
        <v>196</v>
      </c>
      <c r="F381" t="s">
        <v>1064</v>
      </c>
      <c r="G381" s="4">
        <v>44837</v>
      </c>
      <c r="H381" s="5">
        <v>0.79812500000000008</v>
      </c>
      <c r="I381" t="s">
        <v>9</v>
      </c>
      <c r="J381">
        <v>1.41</v>
      </c>
      <c r="K381">
        <v>0.34360000000000002</v>
      </c>
      <c r="L381">
        <v>1.8041</v>
      </c>
      <c r="M381" t="s">
        <v>10</v>
      </c>
      <c r="N381" t="s">
        <v>11</v>
      </c>
      <c r="O381">
        <v>1.9530000000000001</v>
      </c>
      <c r="P381">
        <v>89.617800000000003</v>
      </c>
      <c r="Q381">
        <v>121.64409999999999</v>
      </c>
      <c r="R381" t="s">
        <v>10</v>
      </c>
      <c r="S381" t="s">
        <v>1065</v>
      </c>
      <c r="T381" s="4">
        <v>44837</v>
      </c>
      <c r="U381" s="5">
        <v>0.79812500000000008</v>
      </c>
      <c r="V381" t="s">
        <v>13</v>
      </c>
      <c r="W381">
        <v>1.1659999999999999</v>
      </c>
      <c r="X381">
        <v>2959.6408000000001</v>
      </c>
      <c r="Y381">
        <v>111879.68459999999</v>
      </c>
      <c r="Z381" t="s">
        <v>1689</v>
      </c>
      <c r="AA381">
        <v>2.266</v>
      </c>
      <c r="AB381">
        <v>53.123899999999999</v>
      </c>
      <c r="AC381">
        <v>1.9E-2</v>
      </c>
      <c r="AD381" t="s">
        <v>10</v>
      </c>
    </row>
    <row r="382" spans="1:30">
      <c r="A382" s="2">
        <v>91</v>
      </c>
      <c r="B382" s="2" t="s">
        <v>1060</v>
      </c>
      <c r="C382" s="2" t="s">
        <v>1066</v>
      </c>
      <c r="D382" s="2">
        <v>381</v>
      </c>
      <c r="E382" s="3" t="str">
        <f>D382&amp;"g"</f>
        <v>381g</v>
      </c>
      <c r="F382" t="s">
        <v>1067</v>
      </c>
      <c r="G382" s="4">
        <v>44837</v>
      </c>
      <c r="H382" s="5">
        <v>0.801875</v>
      </c>
      <c r="I382" t="s">
        <v>9</v>
      </c>
      <c r="J382">
        <v>1.4159999999999999</v>
      </c>
      <c r="K382">
        <v>0.56520000000000004</v>
      </c>
      <c r="L382">
        <v>2.7625000000000002</v>
      </c>
      <c r="M382" t="s">
        <v>10</v>
      </c>
      <c r="N382" t="s">
        <v>11</v>
      </c>
      <c r="O382">
        <v>1.9730000000000001</v>
      </c>
      <c r="P382">
        <v>3537.6866</v>
      </c>
      <c r="Q382">
        <v>12864.832200000001</v>
      </c>
      <c r="R382" t="s">
        <v>10</v>
      </c>
      <c r="S382" t="s">
        <v>1068</v>
      </c>
      <c r="T382" s="4">
        <v>44837</v>
      </c>
      <c r="U382" s="5">
        <v>0.801875</v>
      </c>
      <c r="V382" t="s">
        <v>13</v>
      </c>
      <c r="W382">
        <v>1.1659999999999999</v>
      </c>
      <c r="X382">
        <v>3468.9964</v>
      </c>
      <c r="Y382">
        <v>166637.7015</v>
      </c>
      <c r="Z382" t="s">
        <v>1689</v>
      </c>
      <c r="AA382">
        <v>2.2730000000000001</v>
      </c>
      <c r="AB382">
        <v>171.68600000000001</v>
      </c>
      <c r="AC382">
        <v>0.50490000000000002</v>
      </c>
      <c r="AD382" t="s">
        <v>10</v>
      </c>
    </row>
    <row r="383" spans="1:30">
      <c r="A383" s="2">
        <v>92</v>
      </c>
      <c r="B383" s="2" t="s">
        <v>196</v>
      </c>
      <c r="C383" s="2" t="s">
        <v>196</v>
      </c>
      <c r="D383" s="2">
        <v>382</v>
      </c>
      <c r="E383" s="2" t="s">
        <v>196</v>
      </c>
      <c r="F383" t="s">
        <v>1069</v>
      </c>
      <c r="G383" s="4">
        <v>44837</v>
      </c>
      <c r="H383" s="5">
        <v>0.80563657407407396</v>
      </c>
      <c r="I383" t="s">
        <v>9</v>
      </c>
      <c r="J383">
        <v>1.4159999999999999</v>
      </c>
      <c r="K383">
        <v>0.28249999999999997</v>
      </c>
      <c r="L383">
        <v>1.5398000000000001</v>
      </c>
      <c r="M383" t="s">
        <v>10</v>
      </c>
      <c r="N383" t="s">
        <v>11</v>
      </c>
      <c r="O383">
        <v>1.966</v>
      </c>
      <c r="P383">
        <v>112.7266</v>
      </c>
      <c r="Q383">
        <v>207.04839999999999</v>
      </c>
      <c r="R383" t="s">
        <v>10</v>
      </c>
      <c r="S383" t="s">
        <v>1070</v>
      </c>
      <c r="T383" s="4">
        <v>44837</v>
      </c>
      <c r="U383" s="5">
        <v>0.80563657407407396</v>
      </c>
      <c r="V383" t="s">
        <v>13</v>
      </c>
      <c r="W383">
        <v>1.17</v>
      </c>
      <c r="X383">
        <v>3231.6822999999999</v>
      </c>
      <c r="Y383">
        <v>136984.62119999999</v>
      </c>
      <c r="Z383" t="s">
        <v>1689</v>
      </c>
      <c r="AA383">
        <v>2.2759999999999998</v>
      </c>
      <c r="AB383">
        <v>58.6785</v>
      </c>
      <c r="AC383">
        <v>4.1700000000000001E-2</v>
      </c>
      <c r="AD383" t="s">
        <v>10</v>
      </c>
    </row>
    <row r="384" spans="1:30">
      <c r="A384" s="2">
        <v>93</v>
      </c>
      <c r="B384" s="2" t="s">
        <v>238</v>
      </c>
      <c r="C384" s="2" t="s">
        <v>239</v>
      </c>
      <c r="D384" s="2">
        <v>383</v>
      </c>
      <c r="E384" s="3" t="s">
        <v>1071</v>
      </c>
      <c r="F384" t="s">
        <v>1072</v>
      </c>
      <c r="G384" s="4">
        <v>44837</v>
      </c>
      <c r="H384" s="5">
        <v>0.80938657407407411</v>
      </c>
      <c r="I384" t="s">
        <v>9</v>
      </c>
      <c r="J384">
        <v>1.4159999999999999</v>
      </c>
      <c r="K384">
        <v>0.6794</v>
      </c>
      <c r="L384">
        <v>3.2565</v>
      </c>
      <c r="M384" t="s">
        <v>10</v>
      </c>
      <c r="N384" t="s">
        <v>11</v>
      </c>
      <c r="O384">
        <v>1.96</v>
      </c>
      <c r="P384">
        <v>167.93469999999999</v>
      </c>
      <c r="Q384">
        <v>411.08350000000002</v>
      </c>
      <c r="R384" t="s">
        <v>10</v>
      </c>
      <c r="S384" t="s">
        <v>1073</v>
      </c>
      <c r="T384" s="4">
        <v>44837</v>
      </c>
      <c r="U384" s="5">
        <v>0.80938657407407411</v>
      </c>
      <c r="V384" t="s">
        <v>13</v>
      </c>
      <c r="W384">
        <v>1.1659999999999999</v>
      </c>
      <c r="X384">
        <v>3808.2082999999998</v>
      </c>
      <c r="Y384">
        <v>216664.24950000001</v>
      </c>
      <c r="Z384" t="s">
        <v>1689</v>
      </c>
      <c r="AA384">
        <v>2.2730000000000001</v>
      </c>
      <c r="AB384">
        <v>95.225999999999999</v>
      </c>
      <c r="AC384">
        <v>0.1915</v>
      </c>
      <c r="AD384" t="s">
        <v>10</v>
      </c>
    </row>
    <row r="385" spans="1:30">
      <c r="A385" s="2">
        <v>94</v>
      </c>
      <c r="B385" s="2" t="s">
        <v>196</v>
      </c>
      <c r="C385" s="2" t="s">
        <v>196</v>
      </c>
      <c r="D385" s="2">
        <v>384</v>
      </c>
      <c r="E385" s="2" t="s">
        <v>196</v>
      </c>
      <c r="F385" t="s">
        <v>1074</v>
      </c>
      <c r="G385" s="4">
        <v>44837</v>
      </c>
      <c r="H385" s="5">
        <v>0.81313657407407414</v>
      </c>
      <c r="I385" t="s">
        <v>9</v>
      </c>
      <c r="J385">
        <v>1.413</v>
      </c>
      <c r="K385">
        <v>0.314</v>
      </c>
      <c r="L385">
        <v>1.6759999999999999</v>
      </c>
      <c r="M385" t="s">
        <v>10</v>
      </c>
      <c r="N385" t="s">
        <v>11</v>
      </c>
      <c r="O385">
        <v>1.96</v>
      </c>
      <c r="P385">
        <v>90.079400000000007</v>
      </c>
      <c r="Q385">
        <v>123.3501</v>
      </c>
      <c r="R385" t="s">
        <v>10</v>
      </c>
      <c r="S385" t="s">
        <v>1075</v>
      </c>
      <c r="T385" s="4">
        <v>44837</v>
      </c>
      <c r="U385" s="5">
        <v>0.81313657407407414</v>
      </c>
      <c r="V385" t="s">
        <v>13</v>
      </c>
      <c r="W385">
        <v>1.1659999999999999</v>
      </c>
      <c r="X385">
        <v>3089.5439999999999</v>
      </c>
      <c r="Y385">
        <v>123125.9564</v>
      </c>
      <c r="Z385" t="s">
        <v>1689</v>
      </c>
      <c r="AA385">
        <v>2.2730000000000001</v>
      </c>
      <c r="AB385">
        <v>52.430599999999998</v>
      </c>
      <c r="AC385">
        <v>1.61E-2</v>
      </c>
      <c r="AD385" t="s">
        <v>10</v>
      </c>
    </row>
    <row r="386" spans="1:30">
      <c r="A386" s="2">
        <v>95</v>
      </c>
      <c r="B386" s="2" t="s">
        <v>1060</v>
      </c>
      <c r="C386" s="2" t="s">
        <v>1076</v>
      </c>
      <c r="D386" s="2">
        <v>385</v>
      </c>
      <c r="E386" s="3" t="str">
        <f>D386&amp;"g"</f>
        <v>385g</v>
      </c>
      <c r="F386" t="s">
        <v>1077</v>
      </c>
      <c r="G386" s="4">
        <v>44837</v>
      </c>
      <c r="H386" s="5">
        <v>0.81688657407407417</v>
      </c>
      <c r="I386" t="s">
        <v>9</v>
      </c>
      <c r="J386">
        <v>1.4159999999999999</v>
      </c>
      <c r="K386">
        <v>0.7006</v>
      </c>
      <c r="L386">
        <v>3.3481999999999998</v>
      </c>
      <c r="M386" t="s">
        <v>10</v>
      </c>
      <c r="N386" t="s">
        <v>11</v>
      </c>
      <c r="O386">
        <v>1.97</v>
      </c>
      <c r="P386">
        <v>4450.8140000000003</v>
      </c>
      <c r="Q386">
        <v>16239.5195</v>
      </c>
      <c r="R386" t="s">
        <v>10</v>
      </c>
      <c r="S386" t="s">
        <v>1078</v>
      </c>
      <c r="T386" s="4">
        <v>44837</v>
      </c>
      <c r="U386" s="5">
        <v>0.81688657407407417</v>
      </c>
      <c r="V386" t="s">
        <v>13</v>
      </c>
      <c r="W386">
        <v>1.1659999999999999</v>
      </c>
      <c r="X386">
        <v>3354.6898000000001</v>
      </c>
      <c r="Y386">
        <v>150953.22880000001</v>
      </c>
      <c r="Z386" t="s">
        <v>1689</v>
      </c>
      <c r="AA386">
        <v>2.266</v>
      </c>
      <c r="AB386">
        <v>190.15979999999999</v>
      </c>
      <c r="AC386">
        <v>0.58069999999999999</v>
      </c>
      <c r="AD386" t="s">
        <v>10</v>
      </c>
    </row>
    <row r="387" spans="1:30">
      <c r="A387" s="2">
        <v>96</v>
      </c>
      <c r="B387" s="2" t="s">
        <v>196</v>
      </c>
      <c r="C387" s="2" t="s">
        <v>196</v>
      </c>
      <c r="D387" s="2">
        <v>386</v>
      </c>
      <c r="E387" s="2" t="s">
        <v>196</v>
      </c>
      <c r="F387" t="s">
        <v>1079</v>
      </c>
      <c r="G387" s="4">
        <v>44837</v>
      </c>
      <c r="H387" s="5">
        <v>0.82064814814814813</v>
      </c>
      <c r="I387" t="s">
        <v>9</v>
      </c>
      <c r="J387">
        <v>1.4059999999999999</v>
      </c>
      <c r="K387">
        <v>0.29099999999999998</v>
      </c>
      <c r="L387">
        <v>1.5766</v>
      </c>
      <c r="M387" t="s">
        <v>10</v>
      </c>
      <c r="N387" t="s">
        <v>11</v>
      </c>
      <c r="O387">
        <v>1.95</v>
      </c>
      <c r="P387">
        <v>109.1824</v>
      </c>
      <c r="Q387">
        <v>193.94990000000001</v>
      </c>
      <c r="R387" t="s">
        <v>10</v>
      </c>
      <c r="S387" t="s">
        <v>1080</v>
      </c>
      <c r="T387" s="4">
        <v>44837</v>
      </c>
      <c r="U387" s="5">
        <v>0.82064814814814813</v>
      </c>
      <c r="V387" t="s">
        <v>13</v>
      </c>
      <c r="W387">
        <v>1.1599999999999999</v>
      </c>
      <c r="X387">
        <v>3146.6406000000002</v>
      </c>
      <c r="Y387">
        <v>128449.7055</v>
      </c>
      <c r="Z387" t="s">
        <v>1689</v>
      </c>
      <c r="AA387">
        <v>2.2599999999999998</v>
      </c>
      <c r="AB387">
        <v>58.970799999999997</v>
      </c>
      <c r="AC387">
        <v>4.2900000000000001E-2</v>
      </c>
      <c r="AD387" t="s">
        <v>10</v>
      </c>
    </row>
    <row r="388" spans="1:30">
      <c r="A388" s="2">
        <v>97</v>
      </c>
      <c r="B388" s="2" t="s">
        <v>1060</v>
      </c>
      <c r="C388" s="2" t="s">
        <v>1081</v>
      </c>
      <c r="D388" s="2">
        <v>387</v>
      </c>
      <c r="E388" s="3" t="str">
        <f>D388&amp;"g"</f>
        <v>387g</v>
      </c>
      <c r="F388" t="s">
        <v>1082</v>
      </c>
      <c r="G388" s="4">
        <v>44837</v>
      </c>
      <c r="H388" s="5">
        <v>0.82439814814814805</v>
      </c>
      <c r="I388" t="s">
        <v>9</v>
      </c>
      <c r="J388">
        <v>1.42</v>
      </c>
      <c r="K388">
        <v>0.48299999999999998</v>
      </c>
      <c r="L388">
        <v>2.407</v>
      </c>
      <c r="M388" t="s">
        <v>10</v>
      </c>
      <c r="N388" t="s">
        <v>11</v>
      </c>
      <c r="O388">
        <v>1.976</v>
      </c>
      <c r="P388">
        <v>5302.5990000000002</v>
      </c>
      <c r="Q388">
        <v>19387.500899999999</v>
      </c>
      <c r="R388" t="s">
        <v>10</v>
      </c>
      <c r="S388" t="s">
        <v>1083</v>
      </c>
      <c r="T388" s="4">
        <v>44837</v>
      </c>
      <c r="U388" s="5">
        <v>0.82439814814814805</v>
      </c>
      <c r="V388" t="s">
        <v>13</v>
      </c>
      <c r="W388">
        <v>1.1659999999999999</v>
      </c>
      <c r="X388">
        <v>3422.2763</v>
      </c>
      <c r="Y388">
        <v>159770.99679999999</v>
      </c>
      <c r="Z388" t="s">
        <v>1689</v>
      </c>
      <c r="AA388">
        <v>2.2730000000000001</v>
      </c>
      <c r="AB388">
        <v>208.96860000000001</v>
      </c>
      <c r="AC388">
        <v>0.65780000000000005</v>
      </c>
      <c r="AD388" t="s">
        <v>10</v>
      </c>
    </row>
    <row r="389" spans="1:30">
      <c r="A389" s="2">
        <v>98</v>
      </c>
      <c r="B389" s="2" t="s">
        <v>196</v>
      </c>
      <c r="C389" s="2" t="s">
        <v>196</v>
      </c>
      <c r="D389" s="2">
        <v>388</v>
      </c>
      <c r="E389" s="2" t="s">
        <v>196</v>
      </c>
      <c r="F389" t="s">
        <v>1084</v>
      </c>
      <c r="G389" s="4">
        <v>44837</v>
      </c>
      <c r="H389" s="5">
        <v>0.82814814814814808</v>
      </c>
      <c r="I389" t="s">
        <v>9</v>
      </c>
      <c r="J389">
        <v>1.403</v>
      </c>
      <c r="K389">
        <v>0.29320000000000002</v>
      </c>
      <c r="L389">
        <v>1.5861000000000001</v>
      </c>
      <c r="M389" t="s">
        <v>10</v>
      </c>
      <c r="N389" t="s">
        <v>11</v>
      </c>
      <c r="O389">
        <v>1.946</v>
      </c>
      <c r="P389">
        <v>136.85390000000001</v>
      </c>
      <c r="Q389">
        <v>296.21679999999998</v>
      </c>
      <c r="R389" t="s">
        <v>10</v>
      </c>
      <c r="S389" t="s">
        <v>1085</v>
      </c>
      <c r="T389" s="4">
        <v>44837</v>
      </c>
      <c r="U389" s="5">
        <v>0.82814814814814808</v>
      </c>
      <c r="V389" t="s">
        <v>13</v>
      </c>
      <c r="W389">
        <v>1.1599999999999999</v>
      </c>
      <c r="X389">
        <v>3014.1037999999999</v>
      </c>
      <c r="Y389">
        <v>116466.0494</v>
      </c>
      <c r="Z389" t="s">
        <v>1689</v>
      </c>
      <c r="AA389">
        <v>2.2629999999999999</v>
      </c>
      <c r="AB389">
        <v>60.17</v>
      </c>
      <c r="AC389">
        <v>4.7899999999999998E-2</v>
      </c>
      <c r="AD389" t="s">
        <v>10</v>
      </c>
    </row>
    <row r="390" spans="1:30">
      <c r="A390" s="2">
        <v>99</v>
      </c>
      <c r="B390" s="2" t="s">
        <v>1060</v>
      </c>
      <c r="C390" s="2" t="s">
        <v>1086</v>
      </c>
      <c r="D390" s="2">
        <v>389</v>
      </c>
      <c r="E390" s="3" t="str">
        <f>D390&amp;"g"</f>
        <v>389g</v>
      </c>
      <c r="F390" t="s">
        <v>1087</v>
      </c>
      <c r="G390" s="4">
        <v>44837</v>
      </c>
      <c r="H390" s="5">
        <v>0.83189814814814811</v>
      </c>
      <c r="I390" t="s">
        <v>9</v>
      </c>
      <c r="J390">
        <v>1.41</v>
      </c>
      <c r="K390">
        <v>33.720599999999997</v>
      </c>
      <c r="L390">
        <v>146.167</v>
      </c>
      <c r="M390" t="s">
        <v>10</v>
      </c>
      <c r="N390" t="s">
        <v>11</v>
      </c>
      <c r="O390">
        <v>1.956</v>
      </c>
      <c r="P390">
        <v>1687.1485</v>
      </c>
      <c r="Q390">
        <v>6025.7124999999996</v>
      </c>
      <c r="R390" t="s">
        <v>10</v>
      </c>
      <c r="S390" t="s">
        <v>1088</v>
      </c>
      <c r="T390" s="4">
        <v>44837</v>
      </c>
      <c r="U390" s="5">
        <v>0.83189814814814811</v>
      </c>
      <c r="V390" t="s">
        <v>13</v>
      </c>
      <c r="W390">
        <v>1.1599999999999999</v>
      </c>
      <c r="X390">
        <v>3439.6107999999999</v>
      </c>
      <c r="Y390">
        <v>162303.9498</v>
      </c>
      <c r="Z390" t="s">
        <v>1689</v>
      </c>
      <c r="AA390">
        <v>2.2599999999999998</v>
      </c>
      <c r="AB390">
        <v>128.83519999999999</v>
      </c>
      <c r="AC390">
        <v>0.32929999999999998</v>
      </c>
      <c r="AD390" t="s">
        <v>10</v>
      </c>
    </row>
    <row r="391" spans="1:30">
      <c r="A391" s="2">
        <v>100</v>
      </c>
      <c r="B391" s="2" t="s">
        <v>196</v>
      </c>
      <c r="C391" s="2" t="s">
        <v>196</v>
      </c>
      <c r="D391" s="2">
        <v>390</v>
      </c>
      <c r="E391" s="2" t="s">
        <v>196</v>
      </c>
      <c r="F391" t="s">
        <v>1089</v>
      </c>
      <c r="G391" s="4">
        <v>44837</v>
      </c>
      <c r="H391" s="5">
        <v>0.83565972222222218</v>
      </c>
      <c r="I391" t="s">
        <v>9</v>
      </c>
      <c r="J391">
        <v>1.41</v>
      </c>
      <c r="K391">
        <v>0.39019999999999999</v>
      </c>
      <c r="L391">
        <v>2.0055999999999998</v>
      </c>
      <c r="M391" t="s">
        <v>10</v>
      </c>
      <c r="N391" t="s">
        <v>11</v>
      </c>
      <c r="O391">
        <v>1.95</v>
      </c>
      <c r="P391">
        <v>102.8036</v>
      </c>
      <c r="Q391">
        <v>170.37549999999999</v>
      </c>
      <c r="R391" t="s">
        <v>10</v>
      </c>
      <c r="S391" t="s">
        <v>1090</v>
      </c>
      <c r="T391" s="4">
        <v>44837</v>
      </c>
      <c r="U391" s="5">
        <v>0.83565972222222218</v>
      </c>
      <c r="V391" t="s">
        <v>13</v>
      </c>
      <c r="W391">
        <v>1.1599999999999999</v>
      </c>
      <c r="X391">
        <v>3166.3317999999999</v>
      </c>
      <c r="Y391">
        <v>130368.5837</v>
      </c>
      <c r="Z391" t="s">
        <v>1689</v>
      </c>
      <c r="AA391">
        <v>2.2629999999999999</v>
      </c>
      <c r="AB391">
        <v>59.994199999999999</v>
      </c>
      <c r="AC391">
        <v>4.7100000000000003E-2</v>
      </c>
      <c r="AD391" t="s">
        <v>10</v>
      </c>
    </row>
    <row r="392" spans="1:30">
      <c r="A392" s="2">
        <v>101</v>
      </c>
      <c r="B392" s="2" t="s">
        <v>1060</v>
      </c>
      <c r="C392" s="2" t="s">
        <v>1091</v>
      </c>
      <c r="D392" s="2">
        <v>391</v>
      </c>
      <c r="E392" s="3" t="str">
        <f>D392&amp;"g"</f>
        <v>391g</v>
      </c>
      <c r="F392" t="s">
        <v>1092</v>
      </c>
      <c r="G392" s="4">
        <v>44837</v>
      </c>
      <c r="H392" s="5">
        <v>0.83940972222222221</v>
      </c>
      <c r="I392" t="s">
        <v>9</v>
      </c>
      <c r="J392">
        <v>1.4159999999999999</v>
      </c>
      <c r="K392">
        <v>2.0636999999999999</v>
      </c>
      <c r="L392">
        <v>9.2439</v>
      </c>
      <c r="M392" t="s">
        <v>10</v>
      </c>
      <c r="N392" t="s">
        <v>11</v>
      </c>
      <c r="O392">
        <v>1.97</v>
      </c>
      <c r="P392">
        <v>2682.7503000000002</v>
      </c>
      <c r="Q392">
        <v>9705.2044000000005</v>
      </c>
      <c r="R392" t="s">
        <v>10</v>
      </c>
      <c r="S392" t="s">
        <v>1093</v>
      </c>
      <c r="T392" s="4">
        <v>44837</v>
      </c>
      <c r="U392" s="5">
        <v>0.83940972222222221</v>
      </c>
      <c r="V392" t="s">
        <v>13</v>
      </c>
      <c r="W392">
        <v>1.1659999999999999</v>
      </c>
      <c r="X392">
        <v>3465.2595000000001</v>
      </c>
      <c r="Y392">
        <v>166086.58809999999</v>
      </c>
      <c r="Z392" t="s">
        <v>1689</v>
      </c>
      <c r="AA392">
        <v>2.27</v>
      </c>
      <c r="AB392">
        <v>156.6721</v>
      </c>
      <c r="AC392">
        <v>0.44340000000000002</v>
      </c>
      <c r="AD392" t="s">
        <v>10</v>
      </c>
    </row>
    <row r="393" spans="1:30">
      <c r="A393" s="2">
        <v>102</v>
      </c>
      <c r="B393" s="2" t="s">
        <v>196</v>
      </c>
      <c r="C393" s="2" t="s">
        <v>196</v>
      </c>
      <c r="D393" s="2">
        <v>392</v>
      </c>
      <c r="E393" s="2" t="s">
        <v>196</v>
      </c>
      <c r="F393" t="s">
        <v>1094</v>
      </c>
      <c r="G393" s="4">
        <v>44837</v>
      </c>
      <c r="H393" s="5">
        <v>0.84317129629629628</v>
      </c>
      <c r="I393" t="s">
        <v>9</v>
      </c>
      <c r="J393">
        <v>1.4059999999999999</v>
      </c>
      <c r="K393">
        <v>0.26429999999999998</v>
      </c>
      <c r="L393">
        <v>1.4611000000000001</v>
      </c>
      <c r="M393" t="s">
        <v>10</v>
      </c>
      <c r="N393" t="s">
        <v>11</v>
      </c>
      <c r="O393">
        <v>1.946</v>
      </c>
      <c r="P393">
        <v>88.398799999999994</v>
      </c>
      <c r="Q393">
        <v>117.139</v>
      </c>
      <c r="R393" t="s">
        <v>10</v>
      </c>
      <c r="S393" t="s">
        <v>1095</v>
      </c>
      <c r="T393" s="4">
        <v>44837</v>
      </c>
      <c r="U393" s="5">
        <v>0.84317129629629628</v>
      </c>
      <c r="V393" t="s">
        <v>13</v>
      </c>
      <c r="W393">
        <v>1.1599999999999999</v>
      </c>
      <c r="X393">
        <v>3005.0922999999998</v>
      </c>
      <c r="Y393">
        <v>115692.8159</v>
      </c>
      <c r="Z393" t="s">
        <v>1689</v>
      </c>
      <c r="AA393">
        <v>2.2599999999999998</v>
      </c>
      <c r="AB393">
        <v>51.3123</v>
      </c>
      <c r="AC393">
        <v>1.1599999999999999E-2</v>
      </c>
      <c r="AD393" t="s">
        <v>10</v>
      </c>
    </row>
    <row r="394" spans="1:30">
      <c r="A394" s="2">
        <v>103</v>
      </c>
      <c r="B394" s="2" t="s">
        <v>1060</v>
      </c>
      <c r="C394" s="2" t="s">
        <v>1096</v>
      </c>
      <c r="D394" s="2">
        <v>393</v>
      </c>
      <c r="E394" s="3" t="str">
        <f>D394&amp;"g"</f>
        <v>393g</v>
      </c>
      <c r="F394" t="s">
        <v>1097</v>
      </c>
      <c r="G394" s="4">
        <v>44837</v>
      </c>
      <c r="H394" s="5">
        <v>0.84692129629629631</v>
      </c>
      <c r="I394" t="s">
        <v>9</v>
      </c>
      <c r="J394">
        <v>1.41</v>
      </c>
      <c r="K394">
        <v>0.48349999999999999</v>
      </c>
      <c r="L394">
        <v>2.4091999999999998</v>
      </c>
      <c r="M394" t="s">
        <v>10</v>
      </c>
      <c r="N394" t="s">
        <v>11</v>
      </c>
      <c r="O394">
        <v>1.956</v>
      </c>
      <c r="P394">
        <v>801.90039999999999</v>
      </c>
      <c r="Q394">
        <v>2754.06</v>
      </c>
      <c r="R394" t="s">
        <v>10</v>
      </c>
      <c r="S394" t="s">
        <v>1098</v>
      </c>
      <c r="T394" s="4">
        <v>44837</v>
      </c>
      <c r="U394" s="5">
        <v>0.84692129629629631</v>
      </c>
      <c r="V394" t="s">
        <v>13</v>
      </c>
      <c r="W394">
        <v>1.163</v>
      </c>
      <c r="X394">
        <v>3533.6082999999999</v>
      </c>
      <c r="Y394">
        <v>176166.5839</v>
      </c>
      <c r="Z394" t="s">
        <v>1689</v>
      </c>
      <c r="AA394">
        <v>2.2629999999999999</v>
      </c>
      <c r="AB394">
        <v>100.34439999999999</v>
      </c>
      <c r="AC394">
        <v>0.21249999999999999</v>
      </c>
      <c r="AD394" t="s">
        <v>10</v>
      </c>
    </row>
    <row r="395" spans="1:30">
      <c r="A395" s="2">
        <v>104</v>
      </c>
      <c r="B395" s="2" t="s">
        <v>196</v>
      </c>
      <c r="C395" s="2" t="s">
        <v>196</v>
      </c>
      <c r="D395" s="2">
        <v>394</v>
      </c>
      <c r="E395" s="2" t="s">
        <v>196</v>
      </c>
      <c r="F395" t="s">
        <v>1099</v>
      </c>
      <c r="G395" s="4">
        <v>44837</v>
      </c>
      <c r="H395" s="5">
        <v>0.85067129629629623</v>
      </c>
      <c r="I395" t="s">
        <v>9</v>
      </c>
      <c r="J395">
        <v>1.413</v>
      </c>
      <c r="K395">
        <v>0.30199999999999999</v>
      </c>
      <c r="L395">
        <v>1.6241000000000001</v>
      </c>
      <c r="M395" t="s">
        <v>10</v>
      </c>
      <c r="N395" t="s">
        <v>11</v>
      </c>
      <c r="O395">
        <v>1.9530000000000001</v>
      </c>
      <c r="P395">
        <v>86.921000000000006</v>
      </c>
      <c r="Q395">
        <v>111.67740000000001</v>
      </c>
      <c r="R395" t="s">
        <v>10</v>
      </c>
      <c r="S395" t="s">
        <v>1100</v>
      </c>
      <c r="T395" s="4">
        <v>44837</v>
      </c>
      <c r="U395" s="5">
        <v>0.85067129629629623</v>
      </c>
      <c r="V395" t="s">
        <v>13</v>
      </c>
      <c r="W395">
        <v>1.163</v>
      </c>
      <c r="X395">
        <v>2946.6125999999999</v>
      </c>
      <c r="Y395">
        <v>110824.8161</v>
      </c>
      <c r="Z395" t="s">
        <v>1689</v>
      </c>
      <c r="AA395">
        <v>2.27</v>
      </c>
      <c r="AB395">
        <v>49.404400000000003</v>
      </c>
      <c r="AC395">
        <v>3.7000000000000002E-3</v>
      </c>
      <c r="AD395" t="s">
        <v>10</v>
      </c>
    </row>
    <row r="396" spans="1:30">
      <c r="A396" s="2">
        <v>105</v>
      </c>
      <c r="B396" s="2" t="s">
        <v>1060</v>
      </c>
      <c r="C396" s="2" t="s">
        <v>1101</v>
      </c>
      <c r="D396" s="2">
        <v>395</v>
      </c>
      <c r="E396" s="3" t="str">
        <f>D396&amp;"g"</f>
        <v>395g</v>
      </c>
      <c r="F396" t="s">
        <v>1102</v>
      </c>
      <c r="G396" s="4">
        <v>44837</v>
      </c>
      <c r="H396" s="5">
        <v>0.85443287037037041</v>
      </c>
      <c r="I396" t="s">
        <v>9</v>
      </c>
      <c r="J396">
        <v>1.413</v>
      </c>
      <c r="K396">
        <v>0.68869999999999998</v>
      </c>
      <c r="L396">
        <v>3.2967</v>
      </c>
      <c r="M396" t="s">
        <v>10</v>
      </c>
      <c r="N396" t="s">
        <v>11</v>
      </c>
      <c r="O396">
        <v>1.966</v>
      </c>
      <c r="P396">
        <v>2306.9173999999998</v>
      </c>
      <c r="Q396">
        <v>8316.2212999999992</v>
      </c>
      <c r="R396" t="s">
        <v>10</v>
      </c>
      <c r="S396" t="s">
        <v>1103</v>
      </c>
      <c r="T396" s="4">
        <v>44837</v>
      </c>
      <c r="U396" s="5">
        <v>0.85443287037037041</v>
      </c>
      <c r="V396" t="s">
        <v>13</v>
      </c>
      <c r="W396">
        <v>1.1659999999999999</v>
      </c>
      <c r="X396">
        <v>3405.1324</v>
      </c>
      <c r="Y396">
        <v>157478.07399999999</v>
      </c>
      <c r="Z396" t="s">
        <v>1689</v>
      </c>
      <c r="AA396">
        <v>2.2629999999999999</v>
      </c>
      <c r="AB396">
        <v>145.40289999999999</v>
      </c>
      <c r="AC396">
        <v>0.3972</v>
      </c>
      <c r="AD396" t="s">
        <v>10</v>
      </c>
    </row>
    <row r="397" spans="1:30">
      <c r="A397" s="2">
        <v>106</v>
      </c>
      <c r="B397" s="2" t="s">
        <v>196</v>
      </c>
      <c r="C397" s="2" t="s">
        <v>196</v>
      </c>
      <c r="D397" s="2">
        <v>396</v>
      </c>
      <c r="E397" s="2" t="s">
        <v>196</v>
      </c>
      <c r="F397" t="s">
        <v>1104</v>
      </c>
      <c r="G397" s="4">
        <v>44837</v>
      </c>
      <c r="H397" s="5">
        <v>0.85818287037037033</v>
      </c>
      <c r="I397" t="s">
        <v>9</v>
      </c>
      <c r="J397">
        <v>1.41</v>
      </c>
      <c r="K397">
        <v>0.29859999999999998</v>
      </c>
      <c r="L397">
        <v>1.6093999999999999</v>
      </c>
      <c r="M397" t="s">
        <v>10</v>
      </c>
      <c r="N397" t="s">
        <v>11</v>
      </c>
      <c r="O397">
        <v>1.95</v>
      </c>
      <c r="P397">
        <v>89.409800000000004</v>
      </c>
      <c r="Q397">
        <v>120.8754</v>
      </c>
      <c r="R397" t="s">
        <v>10</v>
      </c>
      <c r="S397" t="s">
        <v>1105</v>
      </c>
      <c r="T397" s="4">
        <v>44837</v>
      </c>
      <c r="U397" s="5">
        <v>0.85818287037037033</v>
      </c>
      <c r="V397" t="s">
        <v>13</v>
      </c>
      <c r="W397">
        <v>1.163</v>
      </c>
      <c r="X397">
        <v>2928.6716000000001</v>
      </c>
      <c r="Y397">
        <v>109372.1676</v>
      </c>
      <c r="Z397" t="s">
        <v>1689</v>
      </c>
      <c r="AA397">
        <v>2.2629999999999999</v>
      </c>
      <c r="AB397">
        <v>51.637</v>
      </c>
      <c r="AC397">
        <v>1.29E-2</v>
      </c>
      <c r="AD397" t="s">
        <v>10</v>
      </c>
    </row>
    <row r="398" spans="1:30">
      <c r="A398" s="2">
        <v>107</v>
      </c>
      <c r="B398" s="2" t="s">
        <v>1060</v>
      </c>
      <c r="C398" s="2" t="s">
        <v>1106</v>
      </c>
      <c r="D398" s="2">
        <v>397</v>
      </c>
      <c r="E398" s="3" t="str">
        <f>D398&amp;"g"</f>
        <v>397g</v>
      </c>
      <c r="F398" t="s">
        <v>1107</v>
      </c>
      <c r="G398" s="4">
        <v>44837</v>
      </c>
      <c r="H398" s="5">
        <v>0.86194444444444451</v>
      </c>
      <c r="I398" t="s">
        <v>9</v>
      </c>
      <c r="J398">
        <v>1.4159999999999999</v>
      </c>
      <c r="K398">
        <v>0.74339999999999995</v>
      </c>
      <c r="L398">
        <v>3.5333000000000001</v>
      </c>
      <c r="M398" t="s">
        <v>10</v>
      </c>
      <c r="N398" t="s">
        <v>11</v>
      </c>
      <c r="O398">
        <v>1.9730000000000001</v>
      </c>
      <c r="P398">
        <v>3702.7705999999998</v>
      </c>
      <c r="Q398">
        <v>13474.9408</v>
      </c>
      <c r="R398" t="s">
        <v>10</v>
      </c>
      <c r="S398" t="s">
        <v>1108</v>
      </c>
      <c r="T398" s="4">
        <v>44837</v>
      </c>
      <c r="U398" s="5">
        <v>0.86194444444444451</v>
      </c>
      <c r="V398" t="s">
        <v>13</v>
      </c>
      <c r="W398">
        <v>1.1659999999999999</v>
      </c>
      <c r="X398">
        <v>3419.9670000000001</v>
      </c>
      <c r="Y398">
        <v>159462.1379</v>
      </c>
      <c r="Z398" t="s">
        <v>1689</v>
      </c>
      <c r="AA398">
        <v>2.27</v>
      </c>
      <c r="AB398">
        <v>178.67250000000001</v>
      </c>
      <c r="AC398">
        <v>0.53359999999999996</v>
      </c>
      <c r="AD398" t="s">
        <v>10</v>
      </c>
    </row>
    <row r="399" spans="1:30">
      <c r="A399" s="2">
        <v>108</v>
      </c>
      <c r="B399" s="2" t="s">
        <v>196</v>
      </c>
      <c r="C399" s="2" t="s">
        <v>196</v>
      </c>
      <c r="D399" s="2">
        <v>398</v>
      </c>
      <c r="E399" s="2" t="s">
        <v>196</v>
      </c>
      <c r="F399" t="s">
        <v>1109</v>
      </c>
      <c r="G399" s="4">
        <v>44837</v>
      </c>
      <c r="H399" s="5">
        <v>0.86569444444444443</v>
      </c>
      <c r="I399" t="s">
        <v>9</v>
      </c>
      <c r="J399">
        <v>1.41</v>
      </c>
      <c r="K399">
        <v>0.29859999999999998</v>
      </c>
      <c r="L399">
        <v>1.6093999999999999</v>
      </c>
      <c r="M399" t="s">
        <v>10</v>
      </c>
      <c r="N399" t="s">
        <v>11</v>
      </c>
      <c r="O399">
        <v>1.9530000000000001</v>
      </c>
      <c r="P399">
        <v>101.5782</v>
      </c>
      <c r="Q399">
        <v>165.8467</v>
      </c>
      <c r="R399" t="s">
        <v>10</v>
      </c>
      <c r="S399" t="s">
        <v>1110</v>
      </c>
      <c r="T399" s="4">
        <v>44837</v>
      </c>
      <c r="U399" s="5">
        <v>0.86569444444444443</v>
      </c>
      <c r="V399" t="s">
        <v>13</v>
      </c>
      <c r="W399">
        <v>1.163</v>
      </c>
      <c r="X399">
        <v>3007.6806000000001</v>
      </c>
      <c r="Y399">
        <v>115914.90549999999</v>
      </c>
      <c r="Z399" t="s">
        <v>1689</v>
      </c>
      <c r="AA399">
        <v>2.266</v>
      </c>
      <c r="AB399">
        <v>54.375100000000003</v>
      </c>
      <c r="AC399">
        <v>2.41E-2</v>
      </c>
      <c r="AD399" t="s">
        <v>10</v>
      </c>
    </row>
    <row r="400" spans="1:30">
      <c r="A400" s="2">
        <v>109</v>
      </c>
      <c r="B400" s="2" t="s">
        <v>1060</v>
      </c>
      <c r="C400" s="2" t="s">
        <v>1111</v>
      </c>
      <c r="D400" s="2">
        <v>399</v>
      </c>
      <c r="E400" s="3" t="str">
        <f>D400&amp;"g"</f>
        <v>399g</v>
      </c>
      <c r="F400" t="s">
        <v>1112</v>
      </c>
      <c r="G400" s="4">
        <v>44837</v>
      </c>
      <c r="H400" s="5">
        <v>0.86944444444444446</v>
      </c>
      <c r="I400" t="s">
        <v>9</v>
      </c>
      <c r="J400">
        <v>1.42</v>
      </c>
      <c r="K400">
        <v>3.6560000000000001</v>
      </c>
      <c r="L400">
        <v>16.1309</v>
      </c>
      <c r="M400" t="s">
        <v>10</v>
      </c>
      <c r="N400" t="s">
        <v>11</v>
      </c>
      <c r="O400">
        <v>1.9730000000000001</v>
      </c>
      <c r="P400">
        <v>5309.3492999999999</v>
      </c>
      <c r="Q400">
        <v>19412.4483</v>
      </c>
      <c r="R400" t="s">
        <v>10</v>
      </c>
      <c r="S400" t="s">
        <v>1113</v>
      </c>
      <c r="T400" s="4">
        <v>44837</v>
      </c>
      <c r="U400" s="5">
        <v>0.86944444444444446</v>
      </c>
      <c r="V400" t="s">
        <v>13</v>
      </c>
      <c r="W400">
        <v>1.1659999999999999</v>
      </c>
      <c r="X400">
        <v>3277.9517999999998</v>
      </c>
      <c r="Y400">
        <v>141964.69810000001</v>
      </c>
      <c r="Z400" t="s">
        <v>1689</v>
      </c>
      <c r="AA400">
        <v>2.27</v>
      </c>
      <c r="AB400">
        <v>207.81440000000001</v>
      </c>
      <c r="AC400">
        <v>0.65300000000000002</v>
      </c>
      <c r="AD400" t="s">
        <v>10</v>
      </c>
    </row>
    <row r="401" spans="1:30">
      <c r="A401" s="2">
        <v>110</v>
      </c>
      <c r="B401" s="2" t="s">
        <v>196</v>
      </c>
      <c r="C401" s="2" t="s">
        <v>196</v>
      </c>
      <c r="D401" s="2">
        <v>400</v>
      </c>
      <c r="E401" s="2" t="s">
        <v>196</v>
      </c>
      <c r="F401" t="s">
        <v>1114</v>
      </c>
      <c r="G401" s="4">
        <v>44837</v>
      </c>
      <c r="H401" s="5">
        <v>0.8731944444444445</v>
      </c>
      <c r="I401" t="s">
        <v>9</v>
      </c>
      <c r="J401">
        <v>1.4059999999999999</v>
      </c>
      <c r="K401">
        <v>0.29880000000000001</v>
      </c>
      <c r="L401">
        <v>1.6103000000000001</v>
      </c>
      <c r="M401" t="s">
        <v>10</v>
      </c>
      <c r="N401" t="s">
        <v>11</v>
      </c>
      <c r="O401">
        <v>1.95</v>
      </c>
      <c r="P401">
        <v>120.6169</v>
      </c>
      <c r="Q401">
        <v>236.209</v>
      </c>
      <c r="R401" t="s">
        <v>10</v>
      </c>
      <c r="S401" t="s">
        <v>1115</v>
      </c>
      <c r="T401" s="4">
        <v>44837</v>
      </c>
      <c r="U401" s="5">
        <v>0.8731944444444445</v>
      </c>
      <c r="V401" t="s">
        <v>13</v>
      </c>
      <c r="W401">
        <v>1.1599999999999999</v>
      </c>
      <c r="X401">
        <v>3145.59</v>
      </c>
      <c r="Y401">
        <v>128347.32610000001</v>
      </c>
      <c r="Z401" t="s">
        <v>1689</v>
      </c>
      <c r="AA401">
        <v>2.2629999999999999</v>
      </c>
      <c r="AB401">
        <v>61.699399999999997</v>
      </c>
      <c r="AC401">
        <v>5.4100000000000002E-2</v>
      </c>
      <c r="AD401" t="s">
        <v>10</v>
      </c>
    </row>
    <row r="402" spans="1:30">
      <c r="A402" s="2">
        <v>111</v>
      </c>
      <c r="B402" s="2" t="s">
        <v>1060</v>
      </c>
      <c r="C402" s="2" t="s">
        <v>1116</v>
      </c>
      <c r="D402" s="2">
        <v>401</v>
      </c>
      <c r="E402" s="3" t="str">
        <f>D402&amp;"g"</f>
        <v>401g</v>
      </c>
      <c r="F402" t="s">
        <v>1117</v>
      </c>
      <c r="G402" s="4">
        <v>44837</v>
      </c>
      <c r="H402" s="5">
        <v>0.87694444444444442</v>
      </c>
      <c r="I402" t="s">
        <v>9</v>
      </c>
      <c r="J402">
        <v>1.4059999999999999</v>
      </c>
      <c r="K402">
        <v>0.48599999999999999</v>
      </c>
      <c r="L402">
        <v>2.42</v>
      </c>
      <c r="M402" t="s">
        <v>10</v>
      </c>
      <c r="N402" t="s">
        <v>11</v>
      </c>
      <c r="O402">
        <v>1.95</v>
      </c>
      <c r="P402">
        <v>259.38740000000001</v>
      </c>
      <c r="Q402">
        <v>749.06949999999995</v>
      </c>
      <c r="R402" t="s">
        <v>10</v>
      </c>
      <c r="S402" t="s">
        <v>1118</v>
      </c>
      <c r="T402" s="4">
        <v>44837</v>
      </c>
      <c r="U402" s="5">
        <v>0.87694444444444442</v>
      </c>
      <c r="V402" t="s">
        <v>13</v>
      </c>
      <c r="W402">
        <v>1.1599999999999999</v>
      </c>
      <c r="X402">
        <v>3282.3832000000002</v>
      </c>
      <c r="Y402">
        <v>142464.32870000001</v>
      </c>
      <c r="Z402" t="s">
        <v>1689</v>
      </c>
      <c r="AA402">
        <v>2.2629999999999999</v>
      </c>
      <c r="AB402">
        <v>73.672799999999995</v>
      </c>
      <c r="AC402">
        <v>0.1032</v>
      </c>
      <c r="AD402" t="s">
        <v>10</v>
      </c>
    </row>
    <row r="403" spans="1:30">
      <c r="A403" s="2">
        <v>112</v>
      </c>
      <c r="B403" s="2" t="s">
        <v>196</v>
      </c>
      <c r="C403" s="2" t="s">
        <v>196</v>
      </c>
      <c r="D403" s="2">
        <v>402</v>
      </c>
      <c r="E403" s="2" t="s">
        <v>196</v>
      </c>
      <c r="F403" t="s">
        <v>1119</v>
      </c>
      <c r="G403" s="4">
        <v>44837</v>
      </c>
      <c r="H403" s="5">
        <v>0.8807060185185186</v>
      </c>
      <c r="I403" t="s">
        <v>9</v>
      </c>
      <c r="J403">
        <v>1.423</v>
      </c>
      <c r="K403">
        <v>0.36230000000000001</v>
      </c>
      <c r="L403">
        <v>1.8849</v>
      </c>
      <c r="M403" t="s">
        <v>10</v>
      </c>
      <c r="N403" t="s">
        <v>11</v>
      </c>
      <c r="O403">
        <v>1.9630000000000001</v>
      </c>
      <c r="P403">
        <v>107.4546</v>
      </c>
      <c r="Q403">
        <v>187.56440000000001</v>
      </c>
      <c r="R403" t="s">
        <v>10</v>
      </c>
      <c r="S403" t="s">
        <v>1120</v>
      </c>
      <c r="T403" s="4">
        <v>44837</v>
      </c>
      <c r="U403" s="5">
        <v>0.8807060185185186</v>
      </c>
      <c r="V403" t="s">
        <v>13</v>
      </c>
      <c r="W403">
        <v>1.17</v>
      </c>
      <c r="X403">
        <v>3324.4774000000002</v>
      </c>
      <c r="Y403">
        <v>147256.6697</v>
      </c>
      <c r="Z403" t="s">
        <v>1689</v>
      </c>
      <c r="AA403">
        <v>2.2759999999999998</v>
      </c>
      <c r="AB403">
        <v>61.140099999999997</v>
      </c>
      <c r="AC403">
        <v>5.1799999999999999E-2</v>
      </c>
      <c r="AD403" t="s">
        <v>10</v>
      </c>
    </row>
    <row r="404" spans="1:30">
      <c r="A404" s="2">
        <v>113</v>
      </c>
      <c r="B404" s="6" t="s">
        <v>238</v>
      </c>
      <c r="C404" s="6" t="s">
        <v>239</v>
      </c>
      <c r="D404" s="2">
        <v>403</v>
      </c>
      <c r="E404" s="7" t="s">
        <v>1121</v>
      </c>
      <c r="F404" t="s">
        <v>1122</v>
      </c>
      <c r="G404" s="4">
        <v>44837</v>
      </c>
      <c r="H404" s="5">
        <v>0.88445601851851852</v>
      </c>
      <c r="I404" t="s">
        <v>9</v>
      </c>
      <c r="J404">
        <v>1.423</v>
      </c>
      <c r="K404">
        <v>0.69620000000000004</v>
      </c>
      <c r="L404">
        <v>3.3290999999999999</v>
      </c>
      <c r="M404" t="s">
        <v>10</v>
      </c>
      <c r="N404" t="s">
        <v>11</v>
      </c>
      <c r="O404">
        <v>1.966</v>
      </c>
      <c r="P404">
        <v>166.84059999999999</v>
      </c>
      <c r="Q404">
        <v>407.04</v>
      </c>
      <c r="R404" t="s">
        <v>10</v>
      </c>
      <c r="S404" t="s">
        <v>1123</v>
      </c>
      <c r="T404" s="4">
        <v>44837</v>
      </c>
      <c r="U404" s="5">
        <v>0.88445601851851852</v>
      </c>
      <c r="V404" t="s">
        <v>13</v>
      </c>
      <c r="W404">
        <v>1.173</v>
      </c>
      <c r="X404">
        <v>3925.9452000000001</v>
      </c>
      <c r="Y404">
        <v>234027.94070000001</v>
      </c>
      <c r="Z404" t="s">
        <v>1689</v>
      </c>
      <c r="AA404">
        <v>2.2759999999999998</v>
      </c>
      <c r="AB404">
        <v>94.847399999999993</v>
      </c>
      <c r="AC404">
        <v>0.19</v>
      </c>
      <c r="AD404" t="s">
        <v>10</v>
      </c>
    </row>
    <row r="405" spans="1:30">
      <c r="A405" s="2">
        <v>114</v>
      </c>
      <c r="B405" s="6" t="s">
        <v>196</v>
      </c>
      <c r="C405" s="6" t="s">
        <v>196</v>
      </c>
      <c r="D405" s="2">
        <v>404</v>
      </c>
      <c r="E405" s="6" t="s">
        <v>196</v>
      </c>
      <c r="F405" t="s">
        <v>1124</v>
      </c>
      <c r="G405" s="4">
        <v>44837</v>
      </c>
      <c r="H405" s="5">
        <v>0.8881944444444444</v>
      </c>
      <c r="I405" t="s">
        <v>9</v>
      </c>
      <c r="J405">
        <v>1.413</v>
      </c>
      <c r="K405">
        <v>0.38340000000000002</v>
      </c>
      <c r="L405">
        <v>1.9762</v>
      </c>
      <c r="M405" t="s">
        <v>10</v>
      </c>
      <c r="N405" t="s">
        <v>11</v>
      </c>
      <c r="O405">
        <v>1.9530000000000001</v>
      </c>
      <c r="P405">
        <v>96.260400000000004</v>
      </c>
      <c r="Q405">
        <v>146.1935</v>
      </c>
      <c r="R405" t="s">
        <v>10</v>
      </c>
      <c r="S405" t="s">
        <v>1125</v>
      </c>
      <c r="T405" s="4">
        <v>44837</v>
      </c>
      <c r="U405" s="5">
        <v>0.8881944444444444</v>
      </c>
      <c r="V405" t="s">
        <v>13</v>
      </c>
      <c r="W405">
        <v>1.1659999999999999</v>
      </c>
      <c r="X405">
        <v>3054.1637999999998</v>
      </c>
      <c r="Y405">
        <v>119903.40549999999</v>
      </c>
      <c r="Z405" t="s">
        <v>1689</v>
      </c>
      <c r="AA405">
        <v>2.266</v>
      </c>
      <c r="AB405">
        <v>55.290799999999997</v>
      </c>
      <c r="AC405">
        <v>2.7900000000000001E-2</v>
      </c>
      <c r="AD405" t="s">
        <v>10</v>
      </c>
    </row>
    <row r="406" spans="1:30">
      <c r="A406" s="2">
        <v>115</v>
      </c>
      <c r="B406" s="2" t="s">
        <v>1060</v>
      </c>
      <c r="C406" s="2" t="s">
        <v>1126</v>
      </c>
      <c r="D406" s="2">
        <v>405</v>
      </c>
      <c r="E406" s="3" t="str">
        <f>D406&amp;"g"</f>
        <v>405g</v>
      </c>
      <c r="F406" t="s">
        <v>1127</v>
      </c>
      <c r="G406" s="4">
        <v>44837</v>
      </c>
      <c r="H406" s="5">
        <v>0.89194444444444443</v>
      </c>
      <c r="I406" t="s">
        <v>9</v>
      </c>
      <c r="J406">
        <v>1.4159999999999999</v>
      </c>
      <c r="K406">
        <v>0.52090000000000003</v>
      </c>
      <c r="L406">
        <v>2.5709</v>
      </c>
      <c r="M406" t="s">
        <v>10</v>
      </c>
      <c r="N406" t="s">
        <v>11</v>
      </c>
      <c r="O406">
        <v>1.96</v>
      </c>
      <c r="P406">
        <v>393.91980000000001</v>
      </c>
      <c r="Q406">
        <v>1246.2672</v>
      </c>
      <c r="R406" t="s">
        <v>10</v>
      </c>
      <c r="S406" t="s">
        <v>1128</v>
      </c>
      <c r="T406" s="4">
        <v>44837</v>
      </c>
      <c r="U406" s="5">
        <v>0.89194444444444443</v>
      </c>
      <c r="V406" t="s">
        <v>13</v>
      </c>
      <c r="W406">
        <v>1.17</v>
      </c>
      <c r="X406">
        <v>3523.585</v>
      </c>
      <c r="Y406">
        <v>174688.36009999999</v>
      </c>
      <c r="Z406" t="s">
        <v>1689</v>
      </c>
      <c r="AA406">
        <v>2.27</v>
      </c>
      <c r="AB406">
        <v>86.314499999999995</v>
      </c>
      <c r="AC406">
        <v>0.155</v>
      </c>
      <c r="AD406" t="s">
        <v>10</v>
      </c>
    </row>
    <row r="407" spans="1:30">
      <c r="A407" s="2">
        <v>116</v>
      </c>
      <c r="B407" s="2" t="s">
        <v>196</v>
      </c>
      <c r="C407" s="2" t="s">
        <v>196</v>
      </c>
      <c r="D407" s="2">
        <v>406</v>
      </c>
      <c r="E407" s="2" t="s">
        <v>196</v>
      </c>
      <c r="F407" t="s">
        <v>1129</v>
      </c>
      <c r="G407" s="4">
        <v>44837</v>
      </c>
      <c r="H407" s="5">
        <v>0.8957060185185185</v>
      </c>
      <c r="I407" t="s">
        <v>9</v>
      </c>
      <c r="J407">
        <v>1.4059999999999999</v>
      </c>
      <c r="K407">
        <v>0.3196</v>
      </c>
      <c r="L407">
        <v>1.7002999999999999</v>
      </c>
      <c r="M407" t="s">
        <v>10</v>
      </c>
      <c r="N407" t="s">
        <v>11</v>
      </c>
      <c r="O407">
        <v>1.95</v>
      </c>
      <c r="P407">
        <v>87.567999999999998</v>
      </c>
      <c r="Q407">
        <v>114.0686</v>
      </c>
      <c r="R407" t="s">
        <v>10</v>
      </c>
      <c r="S407" t="s">
        <v>1130</v>
      </c>
      <c r="T407" s="4">
        <v>44837</v>
      </c>
      <c r="U407" s="5">
        <v>0.8957060185185185</v>
      </c>
      <c r="V407" t="s">
        <v>13</v>
      </c>
      <c r="W407">
        <v>1.1599999999999999</v>
      </c>
      <c r="X407">
        <v>2972.4052000000001</v>
      </c>
      <c r="Y407">
        <v>112913.1937</v>
      </c>
      <c r="Z407" t="s">
        <v>1689</v>
      </c>
      <c r="AA407">
        <v>2.2629999999999999</v>
      </c>
      <c r="AB407">
        <v>48.720300000000002</v>
      </c>
      <c r="AC407">
        <v>8.9999999999999998E-4</v>
      </c>
      <c r="AD407" t="s">
        <v>10</v>
      </c>
    </row>
    <row r="408" spans="1:30">
      <c r="A408" s="2">
        <v>117</v>
      </c>
      <c r="B408" s="2" t="s">
        <v>1060</v>
      </c>
      <c r="C408" s="2" t="s">
        <v>1131</v>
      </c>
      <c r="D408" s="2">
        <v>407</v>
      </c>
      <c r="E408" s="3" t="str">
        <f>D408&amp;"g"</f>
        <v>407g</v>
      </c>
      <c r="F408" t="s">
        <v>1132</v>
      </c>
      <c r="G408" s="4">
        <v>44837</v>
      </c>
      <c r="H408" s="5">
        <v>0.89945601851851853</v>
      </c>
      <c r="I408" t="s">
        <v>9</v>
      </c>
      <c r="J408">
        <v>1.4159999999999999</v>
      </c>
      <c r="K408">
        <v>0.56259999999999999</v>
      </c>
      <c r="L408">
        <v>2.7513000000000001</v>
      </c>
      <c r="M408" t="s">
        <v>10</v>
      </c>
      <c r="N408" t="s">
        <v>11</v>
      </c>
      <c r="O408">
        <v>1.966</v>
      </c>
      <c r="P408">
        <v>1062.5888</v>
      </c>
      <c r="Q408">
        <v>3717.4983000000002</v>
      </c>
      <c r="R408" t="s">
        <v>10</v>
      </c>
      <c r="S408" t="s">
        <v>1133</v>
      </c>
      <c r="T408" s="4">
        <v>44837</v>
      </c>
      <c r="U408" s="5">
        <v>0.89945601851851853</v>
      </c>
      <c r="V408" t="s">
        <v>13</v>
      </c>
      <c r="W408">
        <v>1.1659999999999999</v>
      </c>
      <c r="X408">
        <v>3542.8198000000002</v>
      </c>
      <c r="Y408">
        <v>177525.08439999999</v>
      </c>
      <c r="Z408" t="s">
        <v>1689</v>
      </c>
      <c r="AA408">
        <v>2.27</v>
      </c>
      <c r="AB408">
        <v>110.423</v>
      </c>
      <c r="AC408">
        <v>0.25380000000000003</v>
      </c>
      <c r="AD408" t="s">
        <v>10</v>
      </c>
    </row>
    <row r="409" spans="1:30">
      <c r="A409" s="2">
        <v>118</v>
      </c>
      <c r="B409" s="2" t="s">
        <v>196</v>
      </c>
      <c r="C409" s="2" t="s">
        <v>196</v>
      </c>
      <c r="D409" s="2">
        <v>408</v>
      </c>
      <c r="E409" s="2" t="s">
        <v>196</v>
      </c>
      <c r="F409" t="s">
        <v>1134</v>
      </c>
      <c r="G409" s="4">
        <v>44837</v>
      </c>
      <c r="H409" s="5">
        <v>0.90320601851851856</v>
      </c>
      <c r="I409" t="s">
        <v>9</v>
      </c>
      <c r="J409">
        <v>1.4</v>
      </c>
      <c r="K409">
        <v>0.32740000000000002</v>
      </c>
      <c r="L409">
        <v>1.734</v>
      </c>
      <c r="M409" t="s">
        <v>10</v>
      </c>
      <c r="N409" t="s">
        <v>11</v>
      </c>
      <c r="O409">
        <v>1.94</v>
      </c>
      <c r="P409">
        <v>93.558400000000006</v>
      </c>
      <c r="Q409">
        <v>136.20760000000001</v>
      </c>
      <c r="R409" t="s">
        <v>10</v>
      </c>
      <c r="S409" t="s">
        <v>1135</v>
      </c>
      <c r="T409" s="4">
        <v>44837</v>
      </c>
      <c r="U409" s="5">
        <v>0.90320601851851856</v>
      </c>
      <c r="V409" t="s">
        <v>13</v>
      </c>
      <c r="W409">
        <v>1.1559999999999999</v>
      </c>
      <c r="X409">
        <v>2929.0839999999998</v>
      </c>
      <c r="Y409">
        <v>109405.5588</v>
      </c>
      <c r="Z409" t="s">
        <v>1689</v>
      </c>
      <c r="AA409">
        <v>2.2530000000000001</v>
      </c>
      <c r="AB409">
        <v>54.673099999999998</v>
      </c>
      <c r="AC409">
        <v>2.53E-2</v>
      </c>
      <c r="AD409" t="s">
        <v>10</v>
      </c>
    </row>
    <row r="410" spans="1:30">
      <c r="A410" s="2">
        <v>119</v>
      </c>
      <c r="B410" s="2" t="s">
        <v>1060</v>
      </c>
      <c r="C410" s="2" t="s">
        <v>1136</v>
      </c>
      <c r="D410" s="2">
        <v>409</v>
      </c>
      <c r="E410" s="3" t="str">
        <f>D410&amp;"g"</f>
        <v>409g</v>
      </c>
      <c r="F410" t="s">
        <v>1137</v>
      </c>
      <c r="G410" s="4">
        <v>44837</v>
      </c>
      <c r="H410" s="5">
        <v>0.90695601851851848</v>
      </c>
      <c r="I410" t="s">
        <v>9</v>
      </c>
      <c r="J410">
        <v>1.41</v>
      </c>
      <c r="K410">
        <v>0.54800000000000004</v>
      </c>
      <c r="L410">
        <v>2.6880999999999999</v>
      </c>
      <c r="M410" t="s">
        <v>10</v>
      </c>
      <c r="N410" t="s">
        <v>11</v>
      </c>
      <c r="O410">
        <v>1.9530000000000001</v>
      </c>
      <c r="P410">
        <v>828.68870000000004</v>
      </c>
      <c r="Q410">
        <v>2853.0628000000002</v>
      </c>
      <c r="R410" t="s">
        <v>10</v>
      </c>
      <c r="S410" t="s">
        <v>1138</v>
      </c>
      <c r="T410" s="4">
        <v>44837</v>
      </c>
      <c r="U410" s="5">
        <v>0.90695601851851848</v>
      </c>
      <c r="V410" t="s">
        <v>13</v>
      </c>
      <c r="W410">
        <v>1.1599999999999999</v>
      </c>
      <c r="X410">
        <v>3508.9706000000001</v>
      </c>
      <c r="Y410">
        <v>172533.0466</v>
      </c>
      <c r="Z410" t="s">
        <v>1689</v>
      </c>
      <c r="AA410">
        <v>2.2599999999999998</v>
      </c>
      <c r="AB410">
        <v>103.5027</v>
      </c>
      <c r="AC410">
        <v>0.22550000000000001</v>
      </c>
      <c r="AD410" t="s">
        <v>10</v>
      </c>
    </row>
    <row r="411" spans="1:30">
      <c r="A411" s="2">
        <v>120</v>
      </c>
      <c r="B411" s="2" t="s">
        <v>196</v>
      </c>
      <c r="C411" s="2" t="s">
        <v>196</v>
      </c>
      <c r="D411" s="2">
        <v>410</v>
      </c>
      <c r="E411" s="2" t="s">
        <v>196</v>
      </c>
      <c r="F411" t="s">
        <v>1139</v>
      </c>
      <c r="G411" s="4">
        <v>44837</v>
      </c>
      <c r="H411" s="5">
        <v>0.91070601851851851</v>
      </c>
      <c r="I411" t="s">
        <v>9</v>
      </c>
      <c r="J411">
        <v>1.403</v>
      </c>
      <c r="K411">
        <v>0.31040000000000001</v>
      </c>
      <c r="L411">
        <v>1.6605000000000001</v>
      </c>
      <c r="M411" t="s">
        <v>10</v>
      </c>
      <c r="N411" t="s">
        <v>11</v>
      </c>
      <c r="O411">
        <v>1.946</v>
      </c>
      <c r="P411">
        <v>97.723200000000006</v>
      </c>
      <c r="Q411">
        <v>151.59960000000001</v>
      </c>
      <c r="R411" t="s">
        <v>10</v>
      </c>
      <c r="S411" t="s">
        <v>1140</v>
      </c>
      <c r="T411" s="4">
        <v>44837</v>
      </c>
      <c r="U411" s="5">
        <v>0.91070601851851851</v>
      </c>
      <c r="V411" t="s">
        <v>13</v>
      </c>
      <c r="W411">
        <v>1.1559999999999999</v>
      </c>
      <c r="X411">
        <v>3057.8492000000001</v>
      </c>
      <c r="Y411">
        <v>120233.5852</v>
      </c>
      <c r="Z411" t="s">
        <v>1689</v>
      </c>
      <c r="AA411">
        <v>2.2599999999999998</v>
      </c>
      <c r="AB411">
        <v>55.135399999999997</v>
      </c>
      <c r="AC411">
        <v>2.7199999999999998E-2</v>
      </c>
      <c r="AD411" t="s">
        <v>10</v>
      </c>
    </row>
    <row r="412" spans="1:30">
      <c r="A412" s="2">
        <v>121</v>
      </c>
      <c r="B412" s="2" t="s">
        <v>1060</v>
      </c>
      <c r="C412" s="2" t="s">
        <v>1141</v>
      </c>
      <c r="D412" s="2">
        <v>411</v>
      </c>
      <c r="E412" s="3" t="str">
        <f>D412&amp;"g"</f>
        <v>411g</v>
      </c>
      <c r="F412" t="s">
        <v>1142</v>
      </c>
      <c r="G412" s="4">
        <v>44837</v>
      </c>
      <c r="H412" s="5">
        <v>0.91445601851851854</v>
      </c>
      <c r="I412" t="s">
        <v>9</v>
      </c>
      <c r="J412">
        <v>1.413</v>
      </c>
      <c r="K412">
        <v>2.1741000000000001</v>
      </c>
      <c r="L412">
        <v>9.7213999999999992</v>
      </c>
      <c r="M412" t="s">
        <v>10</v>
      </c>
      <c r="N412" t="s">
        <v>11</v>
      </c>
      <c r="O412">
        <v>1.9630000000000001</v>
      </c>
      <c r="P412">
        <v>9743.5210000000006</v>
      </c>
      <c r="Q412">
        <v>35800.022599999997</v>
      </c>
      <c r="R412" t="s">
        <v>10</v>
      </c>
      <c r="S412" t="s">
        <v>1143</v>
      </c>
      <c r="T412" s="4">
        <v>44837</v>
      </c>
      <c r="U412" s="5">
        <v>0.91445601851851854</v>
      </c>
      <c r="V412" t="s">
        <v>13</v>
      </c>
      <c r="W412">
        <v>1.163</v>
      </c>
      <c r="X412">
        <v>2763.5749999999998</v>
      </c>
      <c r="Y412">
        <v>96747.177100000001</v>
      </c>
      <c r="Z412" t="s">
        <v>1689</v>
      </c>
      <c r="AA412">
        <v>2.2629999999999999</v>
      </c>
      <c r="AB412">
        <v>338.83609999999999</v>
      </c>
      <c r="AC412">
        <v>1.1900999999999999</v>
      </c>
      <c r="AD412" t="s">
        <v>10</v>
      </c>
    </row>
    <row r="413" spans="1:30">
      <c r="A413" s="2">
        <v>122</v>
      </c>
      <c r="B413" s="2" t="s">
        <v>196</v>
      </c>
      <c r="C413" s="2" t="s">
        <v>196</v>
      </c>
      <c r="D413" s="2">
        <v>412</v>
      </c>
      <c r="E413" s="2" t="s">
        <v>196</v>
      </c>
      <c r="F413" t="s">
        <v>1144</v>
      </c>
      <c r="G413" s="4">
        <v>44837</v>
      </c>
      <c r="H413" s="5">
        <v>0.91820601851851846</v>
      </c>
      <c r="I413" t="s">
        <v>9</v>
      </c>
      <c r="J413">
        <v>1.4</v>
      </c>
      <c r="K413">
        <v>0.14460000000000001</v>
      </c>
      <c r="L413">
        <v>0.94330000000000003</v>
      </c>
      <c r="M413" t="s">
        <v>10</v>
      </c>
      <c r="N413" t="s">
        <v>11</v>
      </c>
      <c r="O413">
        <v>1.946</v>
      </c>
      <c r="P413">
        <v>98.545299999999997</v>
      </c>
      <c r="Q413">
        <v>154.6379</v>
      </c>
      <c r="R413" t="s">
        <v>10</v>
      </c>
      <c r="S413" t="s">
        <v>1145</v>
      </c>
      <c r="T413" s="4">
        <v>44837</v>
      </c>
      <c r="U413" s="5">
        <v>0.91820601851851846</v>
      </c>
      <c r="V413" t="s">
        <v>13</v>
      </c>
      <c r="W413">
        <v>1.1559999999999999</v>
      </c>
      <c r="X413">
        <v>2978.6221999999998</v>
      </c>
      <c r="Y413">
        <v>113421.5438</v>
      </c>
      <c r="Z413" t="s">
        <v>1689</v>
      </c>
      <c r="AA413">
        <v>2.2559999999999998</v>
      </c>
      <c r="AB413">
        <v>53.103499999999997</v>
      </c>
      <c r="AC413">
        <v>1.89E-2</v>
      </c>
      <c r="AD413" t="s">
        <v>10</v>
      </c>
    </row>
    <row r="414" spans="1:30">
      <c r="A414" s="2">
        <v>123</v>
      </c>
      <c r="B414" s="2" t="s">
        <v>1060</v>
      </c>
      <c r="C414" s="2" t="s">
        <v>1146</v>
      </c>
      <c r="D414" s="2">
        <v>413</v>
      </c>
      <c r="E414" s="3" t="str">
        <f>D414&amp;"g"</f>
        <v>413g</v>
      </c>
      <c r="F414" t="s">
        <v>1147</v>
      </c>
      <c r="G414" s="4">
        <v>44837</v>
      </c>
      <c r="H414" s="5">
        <v>0.92195601851851849</v>
      </c>
      <c r="I414" t="s">
        <v>9</v>
      </c>
      <c r="J414">
        <v>1.4059999999999999</v>
      </c>
      <c r="K414">
        <v>8.8308999999999997</v>
      </c>
      <c r="L414">
        <v>38.513500000000001</v>
      </c>
      <c r="M414" t="s">
        <v>10</v>
      </c>
      <c r="N414" t="s">
        <v>11</v>
      </c>
      <c r="O414">
        <v>1.9530000000000001</v>
      </c>
      <c r="P414">
        <v>1134.4567</v>
      </c>
      <c r="Q414">
        <v>3983.1037999999999</v>
      </c>
      <c r="R414" t="s">
        <v>10</v>
      </c>
      <c r="S414" t="s">
        <v>1148</v>
      </c>
      <c r="T414" s="4">
        <v>44837</v>
      </c>
      <c r="U414" s="5">
        <v>0.92195601851851849</v>
      </c>
      <c r="V414" t="s">
        <v>13</v>
      </c>
      <c r="W414">
        <v>1.1559999999999999</v>
      </c>
      <c r="X414">
        <v>3499.0617999999999</v>
      </c>
      <c r="Y414">
        <v>171071.70920000001</v>
      </c>
      <c r="Z414" t="s">
        <v>1689</v>
      </c>
      <c r="AA414">
        <v>2.2559999999999998</v>
      </c>
      <c r="AB414">
        <v>111.4924</v>
      </c>
      <c r="AC414">
        <v>0.25819999999999999</v>
      </c>
      <c r="AD414" t="s">
        <v>10</v>
      </c>
    </row>
    <row r="415" spans="1:30">
      <c r="A415" s="2">
        <v>124</v>
      </c>
      <c r="B415" s="2" t="s">
        <v>196</v>
      </c>
      <c r="C415" s="2" t="s">
        <v>196</v>
      </c>
      <c r="D415" s="2">
        <v>414</v>
      </c>
      <c r="E415" s="2" t="s">
        <v>196</v>
      </c>
      <c r="F415" t="s">
        <v>1149</v>
      </c>
      <c r="G415" s="4">
        <v>44837</v>
      </c>
      <c r="H415" s="5">
        <v>0.92571759259259256</v>
      </c>
      <c r="I415" t="s">
        <v>9</v>
      </c>
      <c r="J415">
        <v>1.41</v>
      </c>
      <c r="K415">
        <v>0.3382</v>
      </c>
      <c r="L415">
        <v>1.7806999999999999</v>
      </c>
      <c r="M415" t="s">
        <v>10</v>
      </c>
      <c r="N415" t="s">
        <v>11</v>
      </c>
      <c r="O415">
        <v>1.95</v>
      </c>
      <c r="P415">
        <v>99.331800000000001</v>
      </c>
      <c r="Q415">
        <v>157.5446</v>
      </c>
      <c r="R415" t="s">
        <v>10</v>
      </c>
      <c r="S415" t="s">
        <v>1150</v>
      </c>
      <c r="T415" s="4">
        <v>44837</v>
      </c>
      <c r="U415" s="5">
        <v>0.92571759259259256</v>
      </c>
      <c r="V415" t="s">
        <v>13</v>
      </c>
      <c r="W415">
        <v>1.1599999999999999</v>
      </c>
      <c r="X415">
        <v>3089.7132000000001</v>
      </c>
      <c r="Y415">
        <v>123141.3971</v>
      </c>
      <c r="Z415" t="s">
        <v>1689</v>
      </c>
      <c r="AA415">
        <v>2.2629999999999999</v>
      </c>
      <c r="AB415">
        <v>57.7072</v>
      </c>
      <c r="AC415">
        <v>3.78E-2</v>
      </c>
      <c r="AD415" t="s">
        <v>10</v>
      </c>
    </row>
    <row r="416" spans="1:30">
      <c r="A416" s="2">
        <v>125</v>
      </c>
      <c r="B416" s="2" t="s">
        <v>1060</v>
      </c>
      <c r="C416" s="2" t="s">
        <v>1151</v>
      </c>
      <c r="D416" s="2">
        <v>415</v>
      </c>
      <c r="E416" s="3" t="str">
        <f>D416&amp;"g"</f>
        <v>415g</v>
      </c>
      <c r="F416" t="s">
        <v>1152</v>
      </c>
      <c r="G416" s="4">
        <v>44837</v>
      </c>
      <c r="H416" s="5">
        <v>0.9294675925925926</v>
      </c>
      <c r="I416" t="s">
        <v>9</v>
      </c>
      <c r="J416">
        <v>1.4059999999999999</v>
      </c>
      <c r="K416">
        <v>6.3860000000000001</v>
      </c>
      <c r="L416">
        <v>27.938800000000001</v>
      </c>
      <c r="M416" t="s">
        <v>10</v>
      </c>
      <c r="N416" t="s">
        <v>11</v>
      </c>
      <c r="O416">
        <v>1.956</v>
      </c>
      <c r="P416">
        <v>2395.4794000000002</v>
      </c>
      <c r="Q416">
        <v>8643.5239999999994</v>
      </c>
      <c r="R416" t="s">
        <v>10</v>
      </c>
      <c r="S416" t="s">
        <v>1153</v>
      </c>
      <c r="T416" s="4">
        <v>44837</v>
      </c>
      <c r="U416" s="5">
        <v>0.9294675925925926</v>
      </c>
      <c r="V416" t="s">
        <v>13</v>
      </c>
      <c r="W416">
        <v>1.1559999999999999</v>
      </c>
      <c r="X416">
        <v>3452.8546000000001</v>
      </c>
      <c r="Y416">
        <v>164257.12890000001</v>
      </c>
      <c r="Z416" t="s">
        <v>1689</v>
      </c>
      <c r="AA416">
        <v>2.2559999999999998</v>
      </c>
      <c r="AB416">
        <v>151.22929999999999</v>
      </c>
      <c r="AC416">
        <v>0.42109999999999997</v>
      </c>
      <c r="AD416" t="s">
        <v>10</v>
      </c>
    </row>
    <row r="417" spans="1:30">
      <c r="A417" s="2">
        <v>126</v>
      </c>
      <c r="B417" s="2" t="s">
        <v>196</v>
      </c>
      <c r="C417" s="2" t="s">
        <v>196</v>
      </c>
      <c r="D417" s="2">
        <v>416</v>
      </c>
      <c r="E417" s="2" t="s">
        <v>196</v>
      </c>
      <c r="F417" t="s">
        <v>1154</v>
      </c>
      <c r="G417" s="4">
        <v>44837</v>
      </c>
      <c r="H417" s="5">
        <v>0.93322916666666667</v>
      </c>
      <c r="I417" t="s">
        <v>9</v>
      </c>
      <c r="J417">
        <v>1.4059999999999999</v>
      </c>
      <c r="K417">
        <v>0.30299999999999999</v>
      </c>
      <c r="L417">
        <v>1.6285000000000001</v>
      </c>
      <c r="M417" t="s">
        <v>10</v>
      </c>
      <c r="N417" t="s">
        <v>11</v>
      </c>
      <c r="O417">
        <v>1.95</v>
      </c>
      <c r="P417">
        <v>107.7718</v>
      </c>
      <c r="Q417">
        <v>188.73670000000001</v>
      </c>
      <c r="R417" t="s">
        <v>10</v>
      </c>
      <c r="S417" t="s">
        <v>1155</v>
      </c>
      <c r="T417" s="4">
        <v>44837</v>
      </c>
      <c r="U417" s="5">
        <v>0.93322916666666667</v>
      </c>
      <c r="V417" t="s">
        <v>13</v>
      </c>
      <c r="W417">
        <v>1.1599999999999999</v>
      </c>
      <c r="X417">
        <v>3101.6266000000001</v>
      </c>
      <c r="Y417">
        <v>124228.5779</v>
      </c>
      <c r="Z417" t="s">
        <v>1689</v>
      </c>
      <c r="AA417">
        <v>2.2599999999999998</v>
      </c>
      <c r="AB417">
        <v>56.896599999999999</v>
      </c>
      <c r="AC417">
        <v>3.44E-2</v>
      </c>
      <c r="AD417" t="s">
        <v>10</v>
      </c>
    </row>
    <row r="418" spans="1:30">
      <c r="A418" s="2">
        <v>127</v>
      </c>
      <c r="B418" s="2" t="s">
        <v>1060</v>
      </c>
      <c r="C418" s="2" t="s">
        <v>1156</v>
      </c>
      <c r="D418" s="2">
        <v>417</v>
      </c>
      <c r="E418" s="3" t="str">
        <f>D418&amp;"g"</f>
        <v>417g</v>
      </c>
      <c r="F418" t="s">
        <v>1157</v>
      </c>
      <c r="G418" s="4">
        <v>44837</v>
      </c>
      <c r="H418" s="5">
        <v>0.93699074074074085</v>
      </c>
      <c r="I418" t="s">
        <v>9</v>
      </c>
      <c r="J418">
        <v>1.403</v>
      </c>
      <c r="K418">
        <v>1.345</v>
      </c>
      <c r="L418">
        <v>6.1353</v>
      </c>
      <c r="M418" t="s">
        <v>10</v>
      </c>
      <c r="N418" t="s">
        <v>11</v>
      </c>
      <c r="O418">
        <v>1.9259999999999999</v>
      </c>
      <c r="P418">
        <v>20535.057799999999</v>
      </c>
      <c r="Q418">
        <v>75682.806400000001</v>
      </c>
      <c r="R418" t="s">
        <v>10</v>
      </c>
      <c r="S418" t="s">
        <v>1158</v>
      </c>
      <c r="T418" s="4">
        <v>44837</v>
      </c>
      <c r="U418" s="5">
        <v>0.93699074074074085</v>
      </c>
      <c r="V418" t="s">
        <v>13</v>
      </c>
      <c r="W418">
        <v>1.1559999999999999</v>
      </c>
      <c r="X418">
        <v>2071.7937999999999</v>
      </c>
      <c r="Y418">
        <v>53463.3292</v>
      </c>
      <c r="Z418" t="s">
        <v>1689</v>
      </c>
      <c r="AA418">
        <v>2.2530000000000001</v>
      </c>
      <c r="AB418">
        <v>368.48309999999998</v>
      </c>
      <c r="AC418">
        <v>1.3116000000000001</v>
      </c>
      <c r="AD418" t="s">
        <v>10</v>
      </c>
    </row>
    <row r="419" spans="1:30">
      <c r="A419" s="2">
        <v>128</v>
      </c>
      <c r="B419" s="2" t="s">
        <v>196</v>
      </c>
      <c r="C419" s="2" t="s">
        <v>196</v>
      </c>
      <c r="D419" s="2">
        <v>418</v>
      </c>
      <c r="E419" s="2" t="s">
        <v>196</v>
      </c>
      <c r="F419" t="s">
        <v>1159</v>
      </c>
      <c r="G419" s="4">
        <v>44837</v>
      </c>
      <c r="H419" s="5">
        <v>0.94074074074074077</v>
      </c>
      <c r="I419" t="s">
        <v>9</v>
      </c>
      <c r="J419">
        <v>0</v>
      </c>
      <c r="K419">
        <v>0</v>
      </c>
      <c r="L419">
        <v>0</v>
      </c>
      <c r="M419" t="s">
        <v>10</v>
      </c>
      <c r="N419" t="s">
        <v>11</v>
      </c>
      <c r="O419">
        <v>1.946</v>
      </c>
      <c r="P419">
        <v>102.857</v>
      </c>
      <c r="Q419">
        <v>170.5729</v>
      </c>
      <c r="R419" t="s">
        <v>10</v>
      </c>
      <c r="S419" t="s">
        <v>1160</v>
      </c>
      <c r="T419" s="4">
        <v>44837</v>
      </c>
      <c r="U419" s="5">
        <v>0.94074074074074077</v>
      </c>
      <c r="V419" t="s">
        <v>13</v>
      </c>
      <c r="W419">
        <v>1.1559999999999999</v>
      </c>
      <c r="X419">
        <v>3039.7833999999998</v>
      </c>
      <c r="Y419">
        <v>118669.49249999999</v>
      </c>
      <c r="Z419" t="s">
        <v>1689</v>
      </c>
      <c r="AA419">
        <v>2.2599999999999998</v>
      </c>
      <c r="AB419">
        <v>53.848199999999999</v>
      </c>
      <c r="AC419">
        <v>2.1899999999999999E-2</v>
      </c>
      <c r="AD419" t="s">
        <v>10</v>
      </c>
    </row>
    <row r="420" spans="1:30">
      <c r="A420" s="2">
        <v>129</v>
      </c>
      <c r="B420" s="2" t="s">
        <v>1060</v>
      </c>
      <c r="C420" s="2" t="s">
        <v>1161</v>
      </c>
      <c r="D420" s="2">
        <v>419</v>
      </c>
      <c r="E420" s="3" t="str">
        <f>D420&amp;"g"</f>
        <v>419g</v>
      </c>
      <c r="F420" t="s">
        <v>1162</v>
      </c>
      <c r="G420" s="4">
        <v>44837</v>
      </c>
      <c r="H420" s="5">
        <v>0.9444907407407408</v>
      </c>
      <c r="I420" t="s">
        <v>9</v>
      </c>
      <c r="J420">
        <v>1.403</v>
      </c>
      <c r="K420">
        <v>6.5068000000000001</v>
      </c>
      <c r="L420">
        <v>28.461300000000001</v>
      </c>
      <c r="M420" t="s">
        <v>10</v>
      </c>
      <c r="N420" t="s">
        <v>11</v>
      </c>
      <c r="O420">
        <v>1.9530000000000001</v>
      </c>
      <c r="P420">
        <v>7553.5290000000005</v>
      </c>
      <c r="Q420">
        <v>27706.367399999999</v>
      </c>
      <c r="R420" t="s">
        <v>10</v>
      </c>
      <c r="S420" t="s">
        <v>1163</v>
      </c>
      <c r="T420" s="4">
        <v>44837</v>
      </c>
      <c r="U420" s="5">
        <v>0.9444907407407408</v>
      </c>
      <c r="V420" t="s">
        <v>13</v>
      </c>
      <c r="W420">
        <v>1.1559999999999999</v>
      </c>
      <c r="X420">
        <v>2970.8442</v>
      </c>
      <c r="Y420">
        <v>112786.80250000001</v>
      </c>
      <c r="Z420" t="s">
        <v>1689</v>
      </c>
      <c r="AA420">
        <v>2.25</v>
      </c>
      <c r="AB420">
        <v>249.8262</v>
      </c>
      <c r="AC420">
        <v>0.82520000000000004</v>
      </c>
      <c r="AD420" t="s">
        <v>10</v>
      </c>
    </row>
    <row r="421" spans="1:30">
      <c r="A421" s="2">
        <v>130</v>
      </c>
      <c r="B421" s="2" t="s">
        <v>196</v>
      </c>
      <c r="C421" s="2" t="s">
        <v>196</v>
      </c>
      <c r="D421" s="2">
        <v>420</v>
      </c>
      <c r="E421" s="2" t="s">
        <v>196</v>
      </c>
      <c r="F421" t="s">
        <v>1164</v>
      </c>
      <c r="G421" s="4">
        <v>44837</v>
      </c>
      <c r="H421" s="5">
        <v>0.94824074074074083</v>
      </c>
      <c r="I421" t="s">
        <v>9</v>
      </c>
      <c r="J421">
        <v>1.4159999999999999</v>
      </c>
      <c r="K421">
        <v>0.2266</v>
      </c>
      <c r="L421">
        <v>1.298</v>
      </c>
      <c r="M421" t="s">
        <v>10</v>
      </c>
      <c r="N421" t="s">
        <v>11</v>
      </c>
      <c r="O421">
        <v>1.9630000000000001</v>
      </c>
      <c r="P421">
        <v>116.49639999999999</v>
      </c>
      <c r="Q421">
        <v>220.98060000000001</v>
      </c>
      <c r="R421" t="s">
        <v>10</v>
      </c>
      <c r="S421" t="s">
        <v>1165</v>
      </c>
      <c r="T421" s="4">
        <v>44837</v>
      </c>
      <c r="U421" s="5">
        <v>0.94824074074074083</v>
      </c>
      <c r="V421" t="s">
        <v>13</v>
      </c>
      <c r="W421">
        <v>1.17</v>
      </c>
      <c r="X421">
        <v>3205.4344000000001</v>
      </c>
      <c r="Y421">
        <v>134240.6298</v>
      </c>
      <c r="Z421" t="s">
        <v>1689</v>
      </c>
      <c r="AA421">
        <v>2.2730000000000001</v>
      </c>
      <c r="AB421">
        <v>57.647199999999998</v>
      </c>
      <c r="AC421">
        <v>3.7499999999999999E-2</v>
      </c>
      <c r="AD421" t="s">
        <v>10</v>
      </c>
    </row>
    <row r="422" spans="1:30">
      <c r="A422" s="2">
        <v>131</v>
      </c>
      <c r="B422" s="2" t="s">
        <v>1166</v>
      </c>
      <c r="C422" s="2" t="s">
        <v>1167</v>
      </c>
      <c r="D422" s="2">
        <v>421</v>
      </c>
      <c r="E422" s="3" t="str">
        <f>D422&amp;"g"</f>
        <v>421g</v>
      </c>
      <c r="F422" t="s">
        <v>1168</v>
      </c>
      <c r="G422" s="4">
        <v>44837</v>
      </c>
      <c r="H422" s="5">
        <v>0.95199074074074075</v>
      </c>
      <c r="I422" t="s">
        <v>9</v>
      </c>
      <c r="J422">
        <v>1.413</v>
      </c>
      <c r="K422">
        <v>0.44190000000000002</v>
      </c>
      <c r="L422">
        <v>2.2292000000000001</v>
      </c>
      <c r="M422" t="s">
        <v>10</v>
      </c>
      <c r="N422" t="s">
        <v>11</v>
      </c>
      <c r="O422">
        <v>1.96</v>
      </c>
      <c r="P422">
        <v>250.43799999999999</v>
      </c>
      <c r="Q422">
        <v>715.99480000000005</v>
      </c>
      <c r="R422" t="s">
        <v>10</v>
      </c>
      <c r="S422" t="s">
        <v>1169</v>
      </c>
      <c r="T422" s="4">
        <v>44837</v>
      </c>
      <c r="U422" s="5">
        <v>0.95199074074074075</v>
      </c>
      <c r="V422" t="s">
        <v>13</v>
      </c>
      <c r="W422">
        <v>1.1659999999999999</v>
      </c>
      <c r="X422">
        <v>3595.7860000000001</v>
      </c>
      <c r="Y422">
        <v>185336.4736</v>
      </c>
      <c r="Z422" t="s">
        <v>1689</v>
      </c>
      <c r="AA422">
        <v>2.2730000000000001</v>
      </c>
      <c r="AB422">
        <v>80.600200000000001</v>
      </c>
      <c r="AC422">
        <v>0.13159999999999999</v>
      </c>
      <c r="AD422" t="s">
        <v>10</v>
      </c>
    </row>
    <row r="423" spans="1:30">
      <c r="A423" s="2">
        <v>132</v>
      </c>
      <c r="B423" s="2" t="s">
        <v>196</v>
      </c>
      <c r="C423" s="2" t="s">
        <v>196</v>
      </c>
      <c r="D423" s="2">
        <v>422</v>
      </c>
      <c r="E423" s="2" t="s">
        <v>196</v>
      </c>
      <c r="F423" t="s">
        <v>1170</v>
      </c>
      <c r="G423" s="4">
        <v>44837</v>
      </c>
      <c r="H423" s="5">
        <v>0.95574074074074078</v>
      </c>
      <c r="I423" t="s">
        <v>9</v>
      </c>
      <c r="J423">
        <v>1.413</v>
      </c>
      <c r="K423">
        <v>0.34989999999999999</v>
      </c>
      <c r="L423">
        <v>1.8312999999999999</v>
      </c>
      <c r="M423" t="s">
        <v>10</v>
      </c>
      <c r="N423" t="s">
        <v>11</v>
      </c>
      <c r="O423">
        <v>1.9530000000000001</v>
      </c>
      <c r="P423">
        <v>94.887200000000007</v>
      </c>
      <c r="Q423">
        <v>141.11850000000001</v>
      </c>
      <c r="R423" t="s">
        <v>10</v>
      </c>
      <c r="S423" t="s">
        <v>1171</v>
      </c>
      <c r="T423" s="4">
        <v>44837</v>
      </c>
      <c r="U423" s="5">
        <v>0.95574074074074078</v>
      </c>
      <c r="V423" t="s">
        <v>13</v>
      </c>
      <c r="W423">
        <v>1.163</v>
      </c>
      <c r="X423">
        <v>3013.0311999999999</v>
      </c>
      <c r="Y423">
        <v>116374.0147</v>
      </c>
      <c r="Z423" t="s">
        <v>1689</v>
      </c>
      <c r="AA423">
        <v>2.266</v>
      </c>
      <c r="AB423">
        <v>53.438800000000001</v>
      </c>
      <c r="AC423">
        <v>2.0299999999999999E-2</v>
      </c>
      <c r="AD423" t="s">
        <v>10</v>
      </c>
    </row>
    <row r="424" spans="1:30">
      <c r="A424" s="2">
        <v>133</v>
      </c>
      <c r="B424" s="6" t="s">
        <v>238</v>
      </c>
      <c r="C424" s="6" t="s">
        <v>239</v>
      </c>
      <c r="D424" s="2">
        <v>423</v>
      </c>
      <c r="E424" s="7" t="s">
        <v>1172</v>
      </c>
      <c r="F424" t="s">
        <v>1173</v>
      </c>
      <c r="G424" s="4">
        <v>44837</v>
      </c>
      <c r="H424" s="5">
        <v>0.95950231481481485</v>
      </c>
      <c r="I424" t="s">
        <v>9</v>
      </c>
      <c r="J424">
        <v>1.41</v>
      </c>
      <c r="K424">
        <v>0.66839999999999999</v>
      </c>
      <c r="L424">
        <v>3.2088999999999999</v>
      </c>
      <c r="M424" t="s">
        <v>10</v>
      </c>
      <c r="N424" t="s">
        <v>11</v>
      </c>
      <c r="O424">
        <v>1.95</v>
      </c>
      <c r="P424">
        <v>169.8691</v>
      </c>
      <c r="Q424">
        <v>418.23259999999999</v>
      </c>
      <c r="R424" t="s">
        <v>10</v>
      </c>
      <c r="S424" t="s">
        <v>1174</v>
      </c>
      <c r="T424" s="4">
        <v>44837</v>
      </c>
      <c r="U424" s="5">
        <v>0.95950231481481485</v>
      </c>
      <c r="V424" t="s">
        <v>13</v>
      </c>
      <c r="W424">
        <v>1.1599999999999999</v>
      </c>
      <c r="X424">
        <v>3802.0248000000001</v>
      </c>
      <c r="Y424">
        <v>215752.31460000001</v>
      </c>
      <c r="Z424" t="s">
        <v>1689</v>
      </c>
      <c r="AA424">
        <v>2.2629999999999999</v>
      </c>
      <c r="AB424">
        <v>95.794600000000003</v>
      </c>
      <c r="AC424">
        <v>0.19389999999999999</v>
      </c>
      <c r="AD424" t="s">
        <v>10</v>
      </c>
    </row>
    <row r="425" spans="1:30">
      <c r="A425" s="2">
        <v>134</v>
      </c>
      <c r="B425" s="6" t="s">
        <v>196</v>
      </c>
      <c r="C425" s="6" t="s">
        <v>196</v>
      </c>
      <c r="D425" s="2">
        <v>424</v>
      </c>
      <c r="E425" s="6" t="s">
        <v>196</v>
      </c>
      <c r="F425" t="s">
        <v>1175</v>
      </c>
      <c r="G425" s="4">
        <v>44837</v>
      </c>
      <c r="H425" s="5">
        <v>0.96326388888888881</v>
      </c>
      <c r="I425" t="s">
        <v>9</v>
      </c>
      <c r="J425">
        <v>1.4159999999999999</v>
      </c>
      <c r="K425">
        <v>0.33239999999999997</v>
      </c>
      <c r="L425">
        <v>1.7556</v>
      </c>
      <c r="M425" t="s">
        <v>10</v>
      </c>
      <c r="N425" t="s">
        <v>11</v>
      </c>
      <c r="O425">
        <v>1.956</v>
      </c>
      <c r="P425">
        <v>102.6156</v>
      </c>
      <c r="Q425">
        <v>169.6807</v>
      </c>
      <c r="R425" t="s">
        <v>10</v>
      </c>
      <c r="S425" t="s">
        <v>1176</v>
      </c>
      <c r="T425" s="4">
        <v>44837</v>
      </c>
      <c r="U425" s="5">
        <v>0.96326388888888881</v>
      </c>
      <c r="V425" t="s">
        <v>13</v>
      </c>
      <c r="W425">
        <v>1.163</v>
      </c>
      <c r="X425">
        <v>3247.86</v>
      </c>
      <c r="Y425">
        <v>138675.8602</v>
      </c>
      <c r="Z425" t="s">
        <v>1689</v>
      </c>
      <c r="AA425">
        <v>2.266</v>
      </c>
      <c r="AB425">
        <v>60.258099999999999</v>
      </c>
      <c r="AC425">
        <v>4.82E-2</v>
      </c>
      <c r="AD425" t="s">
        <v>10</v>
      </c>
    </row>
    <row r="426" spans="1:30">
      <c r="A426" s="2">
        <v>135</v>
      </c>
      <c r="B426" s="2" t="s">
        <v>1166</v>
      </c>
      <c r="C426" s="2" t="s">
        <v>1177</v>
      </c>
      <c r="D426" s="2">
        <v>425</v>
      </c>
      <c r="E426" s="3" t="str">
        <f>D426&amp;"g"</f>
        <v>425g</v>
      </c>
      <c r="F426" t="s">
        <v>1178</v>
      </c>
      <c r="G426" s="4">
        <v>44837</v>
      </c>
      <c r="H426" s="5">
        <v>0.96701388888888884</v>
      </c>
      <c r="I426" t="s">
        <v>9</v>
      </c>
      <c r="J426">
        <v>1.4059999999999999</v>
      </c>
      <c r="K426">
        <v>3.4838</v>
      </c>
      <c r="L426">
        <v>15.386100000000001</v>
      </c>
      <c r="M426" t="s">
        <v>10</v>
      </c>
      <c r="N426" t="s">
        <v>11</v>
      </c>
      <c r="O426">
        <v>1.96</v>
      </c>
      <c r="P426">
        <v>6108.5333000000001</v>
      </c>
      <c r="Q426">
        <v>22366.029699999999</v>
      </c>
      <c r="R426" t="s">
        <v>10</v>
      </c>
      <c r="S426" t="s">
        <v>1179</v>
      </c>
      <c r="T426" s="4">
        <v>44837</v>
      </c>
      <c r="U426" s="5">
        <v>0.96701388888888884</v>
      </c>
      <c r="V426" t="s">
        <v>13</v>
      </c>
      <c r="W426">
        <v>1.1559999999999999</v>
      </c>
      <c r="X426">
        <v>3236.2802999999999</v>
      </c>
      <c r="Y426">
        <v>137465.30249999999</v>
      </c>
      <c r="Z426" t="s">
        <v>1689</v>
      </c>
      <c r="AA426">
        <v>2.2530000000000001</v>
      </c>
      <c r="AB426">
        <v>218.30099999999999</v>
      </c>
      <c r="AC426">
        <v>0.69599999999999995</v>
      </c>
      <c r="AD426" t="s">
        <v>10</v>
      </c>
    </row>
    <row r="427" spans="1:30">
      <c r="A427" s="2">
        <v>136</v>
      </c>
      <c r="B427" s="2" t="s">
        <v>196</v>
      </c>
      <c r="C427" s="2" t="s">
        <v>196</v>
      </c>
      <c r="D427" s="2">
        <v>426</v>
      </c>
      <c r="E427" s="2" t="s">
        <v>196</v>
      </c>
      <c r="F427" t="s">
        <v>1180</v>
      </c>
      <c r="G427" s="4">
        <v>44837</v>
      </c>
      <c r="H427" s="5">
        <v>0.97076388888888887</v>
      </c>
      <c r="I427" t="s">
        <v>9</v>
      </c>
      <c r="J427">
        <v>1.403</v>
      </c>
      <c r="K427">
        <v>0.25119999999999998</v>
      </c>
      <c r="L427">
        <v>1.4044000000000001</v>
      </c>
      <c r="M427" t="s">
        <v>10</v>
      </c>
      <c r="N427" t="s">
        <v>11</v>
      </c>
      <c r="O427">
        <v>1.946</v>
      </c>
      <c r="P427">
        <v>117.9379</v>
      </c>
      <c r="Q427">
        <v>226.30799999999999</v>
      </c>
      <c r="R427" t="s">
        <v>10</v>
      </c>
      <c r="S427" t="s">
        <v>1181</v>
      </c>
      <c r="T427" s="4">
        <v>44837</v>
      </c>
      <c r="U427" s="5">
        <v>0.97076388888888887</v>
      </c>
      <c r="V427" t="s">
        <v>13</v>
      </c>
      <c r="W427">
        <v>1.1559999999999999</v>
      </c>
      <c r="X427">
        <v>3065.471</v>
      </c>
      <c r="Y427">
        <v>120929.1275</v>
      </c>
      <c r="Z427" t="s">
        <v>1689</v>
      </c>
      <c r="AA427">
        <v>2.2629999999999999</v>
      </c>
      <c r="AB427">
        <v>55.712800000000001</v>
      </c>
      <c r="AC427">
        <v>2.9600000000000001E-2</v>
      </c>
      <c r="AD427" t="s">
        <v>10</v>
      </c>
    </row>
    <row r="428" spans="1:30">
      <c r="A428" s="2">
        <v>137</v>
      </c>
      <c r="B428" s="2" t="s">
        <v>1166</v>
      </c>
      <c r="C428" s="2" t="s">
        <v>1182</v>
      </c>
      <c r="D428" s="2">
        <v>427</v>
      </c>
      <c r="E428" s="3" t="str">
        <f>D428&amp;"g"</f>
        <v>427g</v>
      </c>
      <c r="F428" t="s">
        <v>1183</v>
      </c>
      <c r="G428" s="4">
        <v>44837</v>
      </c>
      <c r="H428" s="5">
        <v>0.97451388888888879</v>
      </c>
      <c r="I428" t="s">
        <v>9</v>
      </c>
      <c r="J428">
        <v>1.403</v>
      </c>
      <c r="K428">
        <v>2.3420000000000001</v>
      </c>
      <c r="L428">
        <v>10.4476</v>
      </c>
      <c r="M428" t="s">
        <v>10</v>
      </c>
      <c r="N428" t="s">
        <v>11</v>
      </c>
      <c r="O428">
        <v>1.8959999999999999</v>
      </c>
      <c r="P428">
        <v>25603.1718</v>
      </c>
      <c r="Q428">
        <v>94413.270699999994</v>
      </c>
      <c r="R428" t="s">
        <v>10</v>
      </c>
      <c r="S428" t="s">
        <v>1184</v>
      </c>
      <c r="T428" s="4">
        <v>44837</v>
      </c>
      <c r="U428" s="5">
        <v>0.97451388888888879</v>
      </c>
      <c r="V428" t="s">
        <v>13</v>
      </c>
      <c r="W428">
        <v>1.153</v>
      </c>
      <c r="X428">
        <v>1266.953</v>
      </c>
      <c r="Y428">
        <v>13866.4254</v>
      </c>
      <c r="Z428" t="s">
        <v>1689</v>
      </c>
      <c r="AA428">
        <v>2.25</v>
      </c>
      <c r="AB428">
        <v>322.59980000000002</v>
      </c>
      <c r="AC428">
        <v>1.1234999999999999</v>
      </c>
      <c r="AD428" t="s">
        <v>10</v>
      </c>
    </row>
    <row r="429" spans="1:30">
      <c r="A429" s="2">
        <v>138</v>
      </c>
      <c r="B429" s="2" t="s">
        <v>196</v>
      </c>
      <c r="C429" s="2" t="s">
        <v>196</v>
      </c>
      <c r="D429" s="2">
        <v>428</v>
      </c>
      <c r="E429" s="2" t="s">
        <v>196</v>
      </c>
      <c r="F429" t="s">
        <v>1185</v>
      </c>
      <c r="G429" s="4">
        <v>44837</v>
      </c>
      <c r="H429" s="5">
        <v>0.97826388888888882</v>
      </c>
      <c r="I429" t="s">
        <v>9</v>
      </c>
      <c r="J429">
        <v>0</v>
      </c>
      <c r="K429">
        <v>0</v>
      </c>
      <c r="L429">
        <v>0</v>
      </c>
      <c r="M429" t="s">
        <v>10</v>
      </c>
      <c r="N429" t="s">
        <v>11</v>
      </c>
      <c r="O429">
        <v>1.95</v>
      </c>
      <c r="P429">
        <v>221.14359999999999</v>
      </c>
      <c r="Q429">
        <v>607.73009999999999</v>
      </c>
      <c r="R429" t="s">
        <v>10</v>
      </c>
      <c r="S429" t="s">
        <v>1186</v>
      </c>
      <c r="T429" s="4">
        <v>44837</v>
      </c>
      <c r="U429" s="5">
        <v>0.97826388888888882</v>
      </c>
      <c r="V429" t="s">
        <v>13</v>
      </c>
      <c r="W429">
        <v>1.1559999999999999</v>
      </c>
      <c r="X429">
        <v>3199.9441999999999</v>
      </c>
      <c r="Y429">
        <v>133666.67670000001</v>
      </c>
      <c r="Z429" t="s">
        <v>1689</v>
      </c>
      <c r="AA429">
        <v>2.2629999999999999</v>
      </c>
      <c r="AB429">
        <v>66.136499999999998</v>
      </c>
      <c r="AC429">
        <v>7.2300000000000003E-2</v>
      </c>
      <c r="AD429" t="s">
        <v>10</v>
      </c>
    </row>
    <row r="430" spans="1:30">
      <c r="A430" s="2">
        <v>139</v>
      </c>
      <c r="B430" s="2" t="s">
        <v>1187</v>
      </c>
      <c r="C430" s="2" t="s">
        <v>1188</v>
      </c>
      <c r="D430" s="2">
        <v>429</v>
      </c>
      <c r="E430" s="3" t="str">
        <f>D430&amp;"g"</f>
        <v>429g</v>
      </c>
      <c r="F430" t="s">
        <v>1189</v>
      </c>
      <c r="G430" s="4">
        <v>44837</v>
      </c>
      <c r="H430" s="5">
        <v>0.98201388888888896</v>
      </c>
      <c r="I430" t="s">
        <v>9</v>
      </c>
      <c r="J430">
        <v>1.4059999999999999</v>
      </c>
      <c r="K430">
        <v>1.1986000000000001</v>
      </c>
      <c r="L430">
        <v>5.5021000000000004</v>
      </c>
      <c r="M430" t="s">
        <v>10</v>
      </c>
      <c r="N430" t="s">
        <v>11</v>
      </c>
      <c r="O430">
        <v>1.9530000000000001</v>
      </c>
      <c r="P430">
        <v>1829.4685999999999</v>
      </c>
      <c r="Q430">
        <v>6551.6916000000001</v>
      </c>
      <c r="R430" t="s">
        <v>10</v>
      </c>
      <c r="S430" t="s">
        <v>1190</v>
      </c>
      <c r="T430" s="4">
        <v>44837</v>
      </c>
      <c r="U430" s="5">
        <v>0.98201388888888896</v>
      </c>
      <c r="V430" t="s">
        <v>13</v>
      </c>
      <c r="W430">
        <v>1.1599999999999999</v>
      </c>
      <c r="X430">
        <v>3341.0992999999999</v>
      </c>
      <c r="Y430">
        <v>149290.39869999999</v>
      </c>
      <c r="Z430" t="s">
        <v>1689</v>
      </c>
      <c r="AA430">
        <v>2.2559999999999998</v>
      </c>
      <c r="AB430">
        <v>134.6182</v>
      </c>
      <c r="AC430">
        <v>0.35299999999999998</v>
      </c>
      <c r="AD430" t="s">
        <v>10</v>
      </c>
    </row>
    <row r="431" spans="1:30">
      <c r="A431" s="2">
        <v>140</v>
      </c>
      <c r="B431" s="2" t="s">
        <v>196</v>
      </c>
      <c r="C431" s="2" t="s">
        <v>196</v>
      </c>
      <c r="D431" s="2">
        <v>430</v>
      </c>
      <c r="E431" s="2" t="s">
        <v>196</v>
      </c>
      <c r="F431" t="s">
        <v>1191</v>
      </c>
      <c r="G431" s="4">
        <v>44837</v>
      </c>
      <c r="H431" s="5">
        <v>0.98577546296296292</v>
      </c>
      <c r="I431" t="s">
        <v>9</v>
      </c>
      <c r="J431">
        <v>1.4059999999999999</v>
      </c>
      <c r="K431">
        <v>0.27210000000000001</v>
      </c>
      <c r="L431">
        <v>1.4947999999999999</v>
      </c>
      <c r="M431" t="s">
        <v>10</v>
      </c>
      <c r="N431" t="s">
        <v>11</v>
      </c>
      <c r="O431">
        <v>1.946</v>
      </c>
      <c r="P431">
        <v>91.410700000000006</v>
      </c>
      <c r="Q431">
        <v>128.27019999999999</v>
      </c>
      <c r="R431" t="s">
        <v>10</v>
      </c>
      <c r="S431" t="s">
        <v>1192</v>
      </c>
      <c r="T431" s="4">
        <v>44837</v>
      </c>
      <c r="U431" s="5">
        <v>0.98577546296296292</v>
      </c>
      <c r="V431" t="s">
        <v>13</v>
      </c>
      <c r="W431">
        <v>1.1559999999999999</v>
      </c>
      <c r="X431">
        <v>2968.3971999999999</v>
      </c>
      <c r="Y431">
        <v>112588.67359999999</v>
      </c>
      <c r="Z431" t="s">
        <v>1689</v>
      </c>
      <c r="AA431">
        <v>2.2559999999999998</v>
      </c>
      <c r="AB431">
        <v>52.092799999999997</v>
      </c>
      <c r="AC431">
        <v>1.47E-2</v>
      </c>
      <c r="AD431" t="s">
        <v>10</v>
      </c>
    </row>
    <row r="432" spans="1:30">
      <c r="A432" s="2">
        <v>141</v>
      </c>
      <c r="B432" s="2" t="s">
        <v>1193</v>
      </c>
      <c r="C432" s="2" t="s">
        <v>1194</v>
      </c>
      <c r="D432" s="2">
        <v>431</v>
      </c>
      <c r="E432" s="3" t="s">
        <v>196</v>
      </c>
      <c r="F432" t="s">
        <v>1195</v>
      </c>
      <c r="G432" s="4">
        <v>44837</v>
      </c>
      <c r="H432" s="5">
        <v>0.98952546296296295</v>
      </c>
      <c r="I432" t="s">
        <v>9</v>
      </c>
      <c r="J432">
        <v>1.4159999999999999</v>
      </c>
      <c r="K432">
        <v>0.30719999999999997</v>
      </c>
      <c r="L432">
        <v>1.6466000000000001</v>
      </c>
      <c r="M432" t="s">
        <v>10</v>
      </c>
      <c r="N432" t="s">
        <v>11</v>
      </c>
      <c r="O432">
        <v>1.956</v>
      </c>
      <c r="P432">
        <v>91.456000000000003</v>
      </c>
      <c r="Q432">
        <v>128.43770000000001</v>
      </c>
      <c r="R432" t="s">
        <v>10</v>
      </c>
      <c r="S432" t="s">
        <v>1196</v>
      </c>
      <c r="T432" s="4">
        <v>44837</v>
      </c>
      <c r="U432" s="5">
        <v>0.98952546296296295</v>
      </c>
      <c r="V432" t="s">
        <v>13</v>
      </c>
      <c r="W432">
        <v>1.1659999999999999</v>
      </c>
      <c r="X432">
        <v>3114.9144000000001</v>
      </c>
      <c r="Y432">
        <v>125441.1822</v>
      </c>
      <c r="Z432" t="s">
        <v>1689</v>
      </c>
      <c r="AA432">
        <v>2.2730000000000001</v>
      </c>
      <c r="AB432">
        <v>51.785200000000003</v>
      </c>
      <c r="AC432">
        <v>1.35E-2</v>
      </c>
      <c r="AD432" t="s">
        <v>10</v>
      </c>
    </row>
    <row r="433" spans="1:30">
      <c r="A433" s="2">
        <v>142</v>
      </c>
      <c r="B433" s="2" t="s">
        <v>196</v>
      </c>
      <c r="C433" s="2" t="s">
        <v>196</v>
      </c>
      <c r="D433" s="2">
        <v>432</v>
      </c>
      <c r="E433" s="2" t="s">
        <v>196</v>
      </c>
      <c r="F433" t="s">
        <v>1197</v>
      </c>
      <c r="G433" s="4">
        <v>44837</v>
      </c>
      <c r="H433" s="5">
        <v>0.99328703703703702</v>
      </c>
      <c r="I433" t="s">
        <v>9</v>
      </c>
      <c r="J433">
        <v>1.42</v>
      </c>
      <c r="K433">
        <v>0.36799999999999999</v>
      </c>
      <c r="L433">
        <v>1.9096</v>
      </c>
      <c r="M433" t="s">
        <v>10</v>
      </c>
      <c r="N433" t="s">
        <v>11</v>
      </c>
      <c r="O433">
        <v>1.9630000000000001</v>
      </c>
      <c r="P433">
        <v>97.768799999999999</v>
      </c>
      <c r="Q433">
        <v>151.76820000000001</v>
      </c>
      <c r="R433" t="s">
        <v>10</v>
      </c>
      <c r="S433" t="s">
        <v>1198</v>
      </c>
      <c r="T433" s="4">
        <v>44837</v>
      </c>
      <c r="U433" s="5">
        <v>0.99328703703703702</v>
      </c>
      <c r="V433" t="s">
        <v>13</v>
      </c>
      <c r="W433">
        <v>1.17</v>
      </c>
      <c r="X433">
        <v>3208.3292000000001</v>
      </c>
      <c r="Y433">
        <v>134543.2561</v>
      </c>
      <c r="Z433" t="s">
        <v>1689</v>
      </c>
      <c r="AA433">
        <v>2.2730000000000001</v>
      </c>
      <c r="AB433">
        <v>55.802999999999997</v>
      </c>
      <c r="AC433">
        <v>0.03</v>
      </c>
      <c r="AD433" t="s">
        <v>10</v>
      </c>
    </row>
    <row r="434" spans="1:30">
      <c r="A434" s="2">
        <v>143</v>
      </c>
      <c r="B434" s="2" t="s">
        <v>1193</v>
      </c>
      <c r="C434" s="2" t="s">
        <v>1199</v>
      </c>
      <c r="D434" s="2">
        <v>433</v>
      </c>
      <c r="E434" s="3" t="str">
        <f>D434&amp;"g"</f>
        <v>433g</v>
      </c>
      <c r="F434" t="s">
        <v>1200</v>
      </c>
      <c r="G434" s="4">
        <v>44837</v>
      </c>
      <c r="H434" s="5">
        <v>0.99703703703703705</v>
      </c>
      <c r="I434" t="s">
        <v>9</v>
      </c>
      <c r="J434">
        <v>1.403</v>
      </c>
      <c r="K434">
        <v>3258.7678000000001</v>
      </c>
      <c r="L434">
        <v>14095.207899999999</v>
      </c>
      <c r="M434" t="s">
        <v>10</v>
      </c>
      <c r="N434" t="s">
        <v>11</v>
      </c>
      <c r="O434">
        <v>1.923</v>
      </c>
      <c r="P434">
        <v>21455.474900000001</v>
      </c>
      <c r="Q434">
        <v>79084.434599999993</v>
      </c>
      <c r="R434" t="s">
        <v>10</v>
      </c>
      <c r="S434" t="s">
        <v>1201</v>
      </c>
      <c r="T434" s="4">
        <v>44837</v>
      </c>
      <c r="U434" s="5">
        <v>0.99703703703703705</v>
      </c>
      <c r="V434" t="s">
        <v>13</v>
      </c>
      <c r="W434">
        <v>1.1559999999999999</v>
      </c>
      <c r="X434">
        <v>1577.7260000000001</v>
      </c>
      <c r="Y434">
        <v>28239.028200000001</v>
      </c>
      <c r="Z434" t="s">
        <v>1689</v>
      </c>
      <c r="AA434">
        <v>2.25</v>
      </c>
      <c r="AB434">
        <v>350.10809999999998</v>
      </c>
      <c r="AC434">
        <v>1.2363</v>
      </c>
      <c r="AD434" t="s">
        <v>10</v>
      </c>
    </row>
    <row r="435" spans="1:30">
      <c r="A435" s="2">
        <v>144</v>
      </c>
      <c r="B435" s="2" t="s">
        <v>196</v>
      </c>
      <c r="C435" s="2" t="s">
        <v>196</v>
      </c>
      <c r="D435" s="2">
        <v>434</v>
      </c>
      <c r="E435" s="2" t="s">
        <v>196</v>
      </c>
      <c r="F435" t="s">
        <v>1202</v>
      </c>
      <c r="G435" s="4">
        <v>44838</v>
      </c>
      <c r="H435" s="5">
        <v>7.8703703703703705E-4</v>
      </c>
      <c r="I435" t="s">
        <v>9</v>
      </c>
      <c r="J435">
        <v>1.413</v>
      </c>
      <c r="K435">
        <v>3.5207999999999999</v>
      </c>
      <c r="L435">
        <v>15.546200000000001</v>
      </c>
      <c r="M435" t="s">
        <v>10</v>
      </c>
      <c r="N435" t="s">
        <v>11</v>
      </c>
      <c r="O435">
        <v>1.9530000000000001</v>
      </c>
      <c r="P435">
        <v>153.34909999999999</v>
      </c>
      <c r="Q435">
        <v>357.1789</v>
      </c>
      <c r="R435" t="s">
        <v>10</v>
      </c>
      <c r="S435" t="s">
        <v>1203</v>
      </c>
      <c r="T435" s="4">
        <v>44838</v>
      </c>
      <c r="U435" s="5">
        <v>7.8703703703703705E-4</v>
      </c>
      <c r="V435" t="s">
        <v>13</v>
      </c>
      <c r="W435">
        <v>1.1659999999999999</v>
      </c>
      <c r="X435">
        <v>3040.8775000000001</v>
      </c>
      <c r="Y435">
        <v>118763.372</v>
      </c>
      <c r="Z435" t="s">
        <v>1689</v>
      </c>
      <c r="AA435">
        <v>2.2629999999999999</v>
      </c>
      <c r="AB435">
        <v>57.66</v>
      </c>
      <c r="AC435">
        <v>3.7600000000000001E-2</v>
      </c>
      <c r="AD435" t="s">
        <v>10</v>
      </c>
    </row>
    <row r="436" spans="1:30">
      <c r="A436" s="2">
        <v>145</v>
      </c>
      <c r="B436" s="2" t="s">
        <v>1193</v>
      </c>
      <c r="C436" s="2" t="s">
        <v>1204</v>
      </c>
      <c r="D436" s="2">
        <v>435</v>
      </c>
      <c r="E436" s="3" t="str">
        <f>D436&amp;"g"</f>
        <v>435g</v>
      </c>
      <c r="F436" t="s">
        <v>1205</v>
      </c>
      <c r="G436" s="4">
        <v>44838</v>
      </c>
      <c r="H436" s="5">
        <v>4.5370370370370365E-3</v>
      </c>
      <c r="I436" t="s">
        <v>9</v>
      </c>
      <c r="J436">
        <v>1.4159999999999999</v>
      </c>
      <c r="K436">
        <v>78.0779</v>
      </c>
      <c r="L436">
        <v>338.02210000000002</v>
      </c>
      <c r="M436" t="s">
        <v>10</v>
      </c>
      <c r="N436" t="s">
        <v>11</v>
      </c>
      <c r="O436">
        <v>1.956</v>
      </c>
      <c r="P436">
        <v>13813.9427</v>
      </c>
      <c r="Q436">
        <v>50843.269099999998</v>
      </c>
      <c r="R436" t="s">
        <v>10</v>
      </c>
      <c r="S436" t="s">
        <v>1206</v>
      </c>
      <c r="T436" s="4">
        <v>44838</v>
      </c>
      <c r="U436" s="5">
        <v>4.5370370370370365E-3</v>
      </c>
      <c r="V436" t="s">
        <v>13</v>
      </c>
      <c r="W436">
        <v>1.1659999999999999</v>
      </c>
      <c r="X436">
        <v>2950.4555999999998</v>
      </c>
      <c r="Y436">
        <v>111135.9765</v>
      </c>
      <c r="Z436" t="s">
        <v>1689</v>
      </c>
      <c r="AA436">
        <v>2.2599999999999998</v>
      </c>
      <c r="AB436">
        <v>298.56880000000001</v>
      </c>
      <c r="AC436">
        <v>1.0249999999999999</v>
      </c>
      <c r="AD436" t="s">
        <v>10</v>
      </c>
    </row>
    <row r="437" spans="1:30">
      <c r="A437" s="2">
        <v>146</v>
      </c>
      <c r="B437" s="2" t="s">
        <v>196</v>
      </c>
      <c r="C437" s="2" t="s">
        <v>196</v>
      </c>
      <c r="D437" s="2">
        <v>436</v>
      </c>
      <c r="E437" s="2" t="s">
        <v>196</v>
      </c>
      <c r="F437" t="s">
        <v>1207</v>
      </c>
      <c r="G437" s="4">
        <v>44838</v>
      </c>
      <c r="H437" s="5">
        <v>8.2870370370370372E-3</v>
      </c>
      <c r="I437" t="s">
        <v>9</v>
      </c>
      <c r="J437">
        <v>0</v>
      </c>
      <c r="K437">
        <v>0</v>
      </c>
      <c r="L437">
        <v>0</v>
      </c>
      <c r="M437" t="s">
        <v>10</v>
      </c>
      <c r="N437" t="s">
        <v>11</v>
      </c>
      <c r="O437">
        <v>1.9430000000000001</v>
      </c>
      <c r="P437">
        <v>132.2688</v>
      </c>
      <c r="Q437">
        <v>279.27140000000003</v>
      </c>
      <c r="R437" t="s">
        <v>10</v>
      </c>
      <c r="S437" t="s">
        <v>1208</v>
      </c>
      <c r="T437" s="4">
        <v>44838</v>
      </c>
      <c r="U437" s="5">
        <v>8.2870370370370372E-3</v>
      </c>
      <c r="V437" t="s">
        <v>13</v>
      </c>
      <c r="W437">
        <v>1.1559999999999999</v>
      </c>
      <c r="X437">
        <v>3132.3314</v>
      </c>
      <c r="Y437">
        <v>127055.2953</v>
      </c>
      <c r="Z437" t="s">
        <v>1689</v>
      </c>
      <c r="AA437">
        <v>2.2559999999999998</v>
      </c>
      <c r="AB437">
        <v>59.594000000000001</v>
      </c>
      <c r="AC437">
        <v>4.5499999999999999E-2</v>
      </c>
      <c r="AD437" t="s">
        <v>10</v>
      </c>
    </row>
    <row r="438" spans="1:30">
      <c r="A438" s="2">
        <v>147</v>
      </c>
      <c r="B438" s="2" t="s">
        <v>1193</v>
      </c>
      <c r="C438" s="2" t="s">
        <v>1209</v>
      </c>
      <c r="D438" s="2">
        <v>437</v>
      </c>
      <c r="E438" s="3" t="str">
        <f>D438&amp;"g"</f>
        <v>437g</v>
      </c>
      <c r="F438" t="s">
        <v>1210</v>
      </c>
      <c r="G438" s="4">
        <v>44838</v>
      </c>
      <c r="H438" s="5">
        <v>1.2037037037037035E-2</v>
      </c>
      <c r="I438" t="s">
        <v>9</v>
      </c>
      <c r="J438">
        <v>1.403</v>
      </c>
      <c r="K438">
        <v>4153.4485999999997</v>
      </c>
      <c r="L438">
        <v>17964.899799999999</v>
      </c>
      <c r="M438" t="s">
        <v>10</v>
      </c>
      <c r="N438" t="s">
        <v>11</v>
      </c>
      <c r="O438">
        <v>1.9330000000000001</v>
      </c>
      <c r="P438">
        <v>18935.7821</v>
      </c>
      <c r="Q438">
        <v>69772.2889</v>
      </c>
      <c r="R438" t="s">
        <v>10</v>
      </c>
      <c r="S438" t="s">
        <v>1211</v>
      </c>
      <c r="T438" s="4">
        <v>44838</v>
      </c>
      <c r="U438" s="5">
        <v>1.2037037037037035E-2</v>
      </c>
      <c r="V438" t="s">
        <v>13</v>
      </c>
      <c r="W438">
        <v>1.1559999999999999</v>
      </c>
      <c r="X438">
        <v>2990.328</v>
      </c>
      <c r="Y438">
        <v>114425.96219999999</v>
      </c>
      <c r="Z438" t="s">
        <v>1689</v>
      </c>
      <c r="AA438">
        <v>2.2530000000000001</v>
      </c>
      <c r="AB438">
        <v>329.02780000000001</v>
      </c>
      <c r="AC438">
        <v>1.1498999999999999</v>
      </c>
      <c r="AD438" t="s">
        <v>10</v>
      </c>
    </row>
    <row r="439" spans="1:30">
      <c r="A439" s="2">
        <v>148</v>
      </c>
      <c r="B439" s="2" t="s">
        <v>196</v>
      </c>
      <c r="C439" s="2" t="s">
        <v>196</v>
      </c>
      <c r="D439" s="2">
        <v>438</v>
      </c>
      <c r="E439" s="2" t="s">
        <v>196</v>
      </c>
      <c r="F439" t="s">
        <v>1212</v>
      </c>
      <c r="G439" s="4">
        <v>44838</v>
      </c>
      <c r="H439" s="5">
        <v>1.5787037037037037E-2</v>
      </c>
      <c r="I439" t="s">
        <v>9</v>
      </c>
      <c r="J439">
        <v>0</v>
      </c>
      <c r="K439">
        <v>0</v>
      </c>
      <c r="L439">
        <v>0</v>
      </c>
      <c r="M439" t="s">
        <v>10</v>
      </c>
      <c r="N439" t="s">
        <v>11</v>
      </c>
      <c r="O439">
        <v>1.9359999999999999</v>
      </c>
      <c r="P439">
        <v>93.321799999999996</v>
      </c>
      <c r="Q439">
        <v>135.33320000000001</v>
      </c>
      <c r="R439" t="s">
        <v>10</v>
      </c>
      <c r="S439" t="s">
        <v>1213</v>
      </c>
      <c r="T439" s="4">
        <v>44838</v>
      </c>
      <c r="U439" s="5">
        <v>1.5787037037037037E-2</v>
      </c>
      <c r="V439" t="s">
        <v>13</v>
      </c>
      <c r="W439">
        <v>1.1559999999999999</v>
      </c>
      <c r="X439">
        <v>2811.5659999999998</v>
      </c>
      <c r="Y439">
        <v>100251.9681</v>
      </c>
      <c r="Z439" t="s">
        <v>1689</v>
      </c>
      <c r="AA439">
        <v>2.25</v>
      </c>
      <c r="AB439">
        <v>50.109299999999998</v>
      </c>
      <c r="AC439">
        <v>6.6E-3</v>
      </c>
      <c r="AD439" t="s">
        <v>10</v>
      </c>
    </row>
    <row r="440" spans="1:30">
      <c r="A440" s="2">
        <v>149</v>
      </c>
      <c r="B440" s="2" t="s">
        <v>1193</v>
      </c>
      <c r="C440" s="2" t="s">
        <v>1214</v>
      </c>
      <c r="D440" s="2">
        <v>439</v>
      </c>
      <c r="E440" s="3" t="str">
        <f>D440&amp;"g"</f>
        <v>439g</v>
      </c>
      <c r="F440" t="s">
        <v>1215</v>
      </c>
      <c r="G440" s="4">
        <v>44838</v>
      </c>
      <c r="H440" s="5">
        <v>1.954861111111111E-2</v>
      </c>
      <c r="I440" t="s">
        <v>9</v>
      </c>
      <c r="J440">
        <v>1.413</v>
      </c>
      <c r="K440">
        <v>478.6798</v>
      </c>
      <c r="L440">
        <v>2070.7136999999998</v>
      </c>
      <c r="M440" t="s">
        <v>10</v>
      </c>
      <c r="N440" t="s">
        <v>11</v>
      </c>
      <c r="O440">
        <v>1.9630000000000001</v>
      </c>
      <c r="P440">
        <v>3294.3672000000001</v>
      </c>
      <c r="Q440">
        <v>11965.5854</v>
      </c>
      <c r="R440" t="s">
        <v>10</v>
      </c>
      <c r="S440" t="s">
        <v>1216</v>
      </c>
      <c r="T440" s="4">
        <v>44838</v>
      </c>
      <c r="U440" s="5">
        <v>1.954861111111111E-2</v>
      </c>
      <c r="V440" t="s">
        <v>13</v>
      </c>
      <c r="W440">
        <v>1.163</v>
      </c>
      <c r="X440">
        <v>3363.6687999999999</v>
      </c>
      <c r="Y440">
        <v>152051.8308</v>
      </c>
      <c r="Z440" t="s">
        <v>1689</v>
      </c>
      <c r="AA440">
        <v>2.2599999999999998</v>
      </c>
      <c r="AB440">
        <v>163.06720000000001</v>
      </c>
      <c r="AC440">
        <v>0.46960000000000002</v>
      </c>
      <c r="AD440" t="s">
        <v>10</v>
      </c>
    </row>
    <row r="441" spans="1:30">
      <c r="A441" s="2">
        <v>150</v>
      </c>
      <c r="B441" s="2" t="s">
        <v>196</v>
      </c>
      <c r="C441" s="2" t="s">
        <v>196</v>
      </c>
      <c r="D441" s="2">
        <v>440</v>
      </c>
      <c r="E441" s="2" t="s">
        <v>196</v>
      </c>
      <c r="F441" t="s">
        <v>1217</v>
      </c>
      <c r="G441" s="4">
        <v>44838</v>
      </c>
      <c r="H441" s="5">
        <v>2.3310185185185187E-2</v>
      </c>
      <c r="I441" t="s">
        <v>9</v>
      </c>
      <c r="J441">
        <v>1.4159999999999999</v>
      </c>
      <c r="K441">
        <v>0.4708</v>
      </c>
      <c r="L441">
        <v>2.3542000000000001</v>
      </c>
      <c r="M441" t="s">
        <v>10</v>
      </c>
      <c r="N441" t="s">
        <v>11</v>
      </c>
      <c r="O441">
        <v>1.96</v>
      </c>
      <c r="P441">
        <v>94.515900000000002</v>
      </c>
      <c r="Q441">
        <v>139.74629999999999</v>
      </c>
      <c r="R441" t="s">
        <v>10</v>
      </c>
      <c r="S441" t="s">
        <v>1218</v>
      </c>
      <c r="T441" s="4">
        <v>44838</v>
      </c>
      <c r="U441" s="5">
        <v>2.3310185185185187E-2</v>
      </c>
      <c r="V441" t="s">
        <v>13</v>
      </c>
      <c r="W441">
        <v>1.1659999999999999</v>
      </c>
      <c r="X441">
        <v>3100.0711999999999</v>
      </c>
      <c r="Y441">
        <v>124086.63679999999</v>
      </c>
      <c r="Z441" t="s">
        <v>1689</v>
      </c>
      <c r="AA441">
        <v>2.2730000000000001</v>
      </c>
      <c r="AB441">
        <v>52.429400000000001</v>
      </c>
      <c r="AC441">
        <v>1.61E-2</v>
      </c>
      <c r="AD441" t="s">
        <v>10</v>
      </c>
    </row>
    <row r="442" spans="1:30">
      <c r="A442" s="2">
        <v>151</v>
      </c>
      <c r="B442" s="2" t="s">
        <v>1193</v>
      </c>
      <c r="C442" s="2" t="s">
        <v>1219</v>
      </c>
      <c r="D442" s="2">
        <v>441</v>
      </c>
      <c r="E442" s="3" t="str">
        <f>D442&amp;"g"</f>
        <v>441g</v>
      </c>
      <c r="F442" t="s">
        <v>1220</v>
      </c>
      <c r="G442" s="4">
        <v>44838</v>
      </c>
      <c r="H442" s="5">
        <v>2.7071759259259257E-2</v>
      </c>
      <c r="I442" t="s">
        <v>9</v>
      </c>
      <c r="J442">
        <v>1.4059999999999999</v>
      </c>
      <c r="K442">
        <v>313.22160000000002</v>
      </c>
      <c r="L442">
        <v>1355.0705</v>
      </c>
      <c r="M442" t="s">
        <v>10</v>
      </c>
      <c r="N442" t="s">
        <v>11</v>
      </c>
      <c r="O442">
        <v>1.956</v>
      </c>
      <c r="P442">
        <v>4233.5603000000001</v>
      </c>
      <c r="Q442">
        <v>15436.6049</v>
      </c>
      <c r="R442" t="s">
        <v>10</v>
      </c>
      <c r="S442" t="s">
        <v>1221</v>
      </c>
      <c r="T442" s="4">
        <v>44838</v>
      </c>
      <c r="U442" s="5">
        <v>2.7071759259259257E-2</v>
      </c>
      <c r="V442" t="s">
        <v>13</v>
      </c>
      <c r="W442">
        <v>1.1559999999999999</v>
      </c>
      <c r="X442">
        <v>3324.1019000000001</v>
      </c>
      <c r="Y442">
        <v>147210.72640000001</v>
      </c>
      <c r="Z442" t="s">
        <v>1689</v>
      </c>
      <c r="AA442">
        <v>2.2530000000000001</v>
      </c>
      <c r="AB442">
        <v>187.22659999999999</v>
      </c>
      <c r="AC442">
        <v>0.56859999999999999</v>
      </c>
      <c r="AD442" t="s">
        <v>10</v>
      </c>
    </row>
    <row r="443" spans="1:30">
      <c r="A443" s="2">
        <v>152</v>
      </c>
      <c r="B443" s="2" t="s">
        <v>196</v>
      </c>
      <c r="C443" s="2" t="s">
        <v>196</v>
      </c>
      <c r="D443" s="2">
        <v>442</v>
      </c>
      <c r="E443" s="2" t="s">
        <v>196</v>
      </c>
      <c r="F443" t="s">
        <v>1222</v>
      </c>
      <c r="G443" s="4">
        <v>44838</v>
      </c>
      <c r="H443" s="5">
        <v>3.0821759259259257E-2</v>
      </c>
      <c r="I443" t="s">
        <v>9</v>
      </c>
      <c r="J443">
        <v>1.4059999999999999</v>
      </c>
      <c r="K443">
        <v>0.62980000000000003</v>
      </c>
      <c r="L443">
        <v>3.0419</v>
      </c>
      <c r="M443" t="s">
        <v>10</v>
      </c>
      <c r="N443" t="s">
        <v>11</v>
      </c>
      <c r="O443">
        <v>1.946</v>
      </c>
      <c r="P443">
        <v>100.9743</v>
      </c>
      <c r="Q443">
        <v>163.61490000000001</v>
      </c>
      <c r="R443" t="s">
        <v>10</v>
      </c>
      <c r="S443" t="s">
        <v>1223</v>
      </c>
      <c r="T443" s="4">
        <v>44838</v>
      </c>
      <c r="U443" s="5">
        <v>3.0821759259259257E-2</v>
      </c>
      <c r="V443" t="s">
        <v>13</v>
      </c>
      <c r="W443">
        <v>1.1559999999999999</v>
      </c>
      <c r="X443">
        <v>3029.0605</v>
      </c>
      <c r="Y443">
        <v>117749.412</v>
      </c>
      <c r="Z443" t="s">
        <v>1689</v>
      </c>
      <c r="AA443">
        <v>2.2599999999999998</v>
      </c>
      <c r="AB443">
        <v>53.866</v>
      </c>
      <c r="AC443">
        <v>2.1999999999999999E-2</v>
      </c>
      <c r="AD443" t="s">
        <v>10</v>
      </c>
    </row>
    <row r="444" spans="1:30">
      <c r="A444" s="2">
        <v>153</v>
      </c>
      <c r="B444" s="6" t="s">
        <v>238</v>
      </c>
      <c r="C444" s="6" t="s">
        <v>239</v>
      </c>
      <c r="D444" s="2">
        <v>443</v>
      </c>
      <c r="E444" s="7" t="s">
        <v>1224</v>
      </c>
      <c r="F444" t="s">
        <v>1225</v>
      </c>
      <c r="G444" s="4">
        <v>44838</v>
      </c>
      <c r="H444" s="5">
        <v>3.4571759259259253E-2</v>
      </c>
      <c r="I444" t="s">
        <v>9</v>
      </c>
      <c r="J444">
        <v>1.4059999999999999</v>
      </c>
      <c r="K444">
        <v>0.71020000000000005</v>
      </c>
      <c r="L444">
        <v>3.3896999999999999</v>
      </c>
      <c r="M444" t="s">
        <v>10</v>
      </c>
      <c r="N444" t="s">
        <v>11</v>
      </c>
      <c r="O444">
        <v>1.95</v>
      </c>
      <c r="P444">
        <v>172.13939999999999</v>
      </c>
      <c r="Q444">
        <v>426.62299999999999</v>
      </c>
      <c r="R444" t="s">
        <v>10</v>
      </c>
      <c r="S444" t="s">
        <v>1226</v>
      </c>
      <c r="T444" s="4">
        <v>44838</v>
      </c>
      <c r="U444" s="5">
        <v>3.4571759259259253E-2</v>
      </c>
      <c r="V444" t="s">
        <v>13</v>
      </c>
      <c r="W444">
        <v>1.1599999999999999</v>
      </c>
      <c r="X444">
        <v>3803.0441999999998</v>
      </c>
      <c r="Y444">
        <v>215902.6544</v>
      </c>
      <c r="Z444" t="s">
        <v>1689</v>
      </c>
      <c r="AA444">
        <v>2.2599999999999998</v>
      </c>
      <c r="AB444">
        <v>93.950100000000006</v>
      </c>
      <c r="AC444">
        <v>0.18629999999999999</v>
      </c>
      <c r="AD444" t="s">
        <v>10</v>
      </c>
    </row>
    <row r="445" spans="1:30">
      <c r="A445" s="2">
        <v>154</v>
      </c>
      <c r="B445" s="6" t="s">
        <v>196</v>
      </c>
      <c r="C445" s="6" t="s">
        <v>196</v>
      </c>
      <c r="D445" s="2">
        <v>444</v>
      </c>
      <c r="E445" s="6" t="s">
        <v>196</v>
      </c>
      <c r="F445" t="s">
        <v>1227</v>
      </c>
      <c r="G445" s="4">
        <v>44838</v>
      </c>
      <c r="H445" s="5">
        <v>3.8321759259259257E-2</v>
      </c>
      <c r="I445" t="s">
        <v>9</v>
      </c>
      <c r="J445">
        <v>1.4059999999999999</v>
      </c>
      <c r="K445">
        <v>0.37380000000000002</v>
      </c>
      <c r="L445">
        <v>1.9347000000000001</v>
      </c>
      <c r="M445" t="s">
        <v>10</v>
      </c>
      <c r="N445" t="s">
        <v>11</v>
      </c>
      <c r="O445">
        <v>1.946</v>
      </c>
      <c r="P445">
        <v>101.76949999999999</v>
      </c>
      <c r="Q445">
        <v>166.55369999999999</v>
      </c>
      <c r="R445" t="s">
        <v>10</v>
      </c>
      <c r="S445" t="s">
        <v>1228</v>
      </c>
      <c r="T445" s="4">
        <v>44838</v>
      </c>
      <c r="U445" s="5">
        <v>3.8321759259259257E-2</v>
      </c>
      <c r="V445" t="s">
        <v>13</v>
      </c>
      <c r="W445">
        <v>1.1559999999999999</v>
      </c>
      <c r="X445">
        <v>3188.4564</v>
      </c>
      <c r="Y445">
        <v>132524.59299999999</v>
      </c>
      <c r="Z445" t="s">
        <v>1689</v>
      </c>
      <c r="AA445">
        <v>2.2599999999999998</v>
      </c>
      <c r="AB445">
        <v>57.186399999999999</v>
      </c>
      <c r="AC445">
        <v>3.56E-2</v>
      </c>
      <c r="AD445" t="s">
        <v>10</v>
      </c>
    </row>
    <row r="446" spans="1:30">
      <c r="A446" s="2">
        <v>155</v>
      </c>
      <c r="B446" s="2" t="s">
        <v>1193</v>
      </c>
      <c r="C446" s="2" t="s">
        <v>1229</v>
      </c>
      <c r="D446" s="2">
        <v>445</v>
      </c>
      <c r="E446" s="3" t="str">
        <f>D446&amp;"g"</f>
        <v>445g</v>
      </c>
      <c r="F446" t="s">
        <v>1230</v>
      </c>
      <c r="G446" s="4">
        <v>44838</v>
      </c>
      <c r="H446" s="5">
        <v>4.207175925925926E-2</v>
      </c>
      <c r="I446" t="s">
        <v>9</v>
      </c>
      <c r="J446">
        <v>1.4059999999999999</v>
      </c>
      <c r="K446">
        <v>101.8712</v>
      </c>
      <c r="L446">
        <v>440.93329999999997</v>
      </c>
      <c r="M446" t="s">
        <v>10</v>
      </c>
      <c r="N446" t="s">
        <v>11</v>
      </c>
      <c r="O446">
        <v>1.956</v>
      </c>
      <c r="P446">
        <v>11044.2345</v>
      </c>
      <c r="Q446">
        <v>40607.1299</v>
      </c>
      <c r="R446" t="s">
        <v>10</v>
      </c>
      <c r="S446" t="s">
        <v>1231</v>
      </c>
      <c r="T446" s="4">
        <v>44838</v>
      </c>
      <c r="U446" s="5">
        <v>4.207175925925926E-2</v>
      </c>
      <c r="V446" t="s">
        <v>13</v>
      </c>
      <c r="W446">
        <v>1.1559999999999999</v>
      </c>
      <c r="X446">
        <v>3066.9034000000001</v>
      </c>
      <c r="Y446">
        <v>121059.844</v>
      </c>
      <c r="Z446" t="s">
        <v>1689</v>
      </c>
      <c r="AA446">
        <v>2.2559999999999998</v>
      </c>
      <c r="AB446">
        <v>275.9452</v>
      </c>
      <c r="AC446">
        <v>0.93230000000000002</v>
      </c>
      <c r="AD446" t="s">
        <v>10</v>
      </c>
    </row>
    <row r="447" spans="1:30">
      <c r="A447" s="2">
        <v>156</v>
      </c>
      <c r="B447" s="2" t="s">
        <v>196</v>
      </c>
      <c r="C447" s="2" t="s">
        <v>196</v>
      </c>
      <c r="D447" s="2">
        <v>446</v>
      </c>
      <c r="E447" s="2" t="s">
        <v>196</v>
      </c>
      <c r="F447" t="s">
        <v>1232</v>
      </c>
      <c r="G447" s="4">
        <v>44838</v>
      </c>
      <c r="H447" s="5">
        <v>4.5821759259259263E-2</v>
      </c>
      <c r="I447" t="s">
        <v>9</v>
      </c>
      <c r="J447">
        <v>1.41</v>
      </c>
      <c r="K447">
        <v>0.28339999999999999</v>
      </c>
      <c r="L447">
        <v>1.5437000000000001</v>
      </c>
      <c r="M447" t="s">
        <v>10</v>
      </c>
      <c r="N447" t="s">
        <v>11</v>
      </c>
      <c r="O447">
        <v>1.9530000000000001</v>
      </c>
      <c r="P447">
        <v>122.8008</v>
      </c>
      <c r="Q447">
        <v>244.2801</v>
      </c>
      <c r="R447" t="s">
        <v>10</v>
      </c>
      <c r="S447" t="s">
        <v>1233</v>
      </c>
      <c r="T447" s="4">
        <v>44838</v>
      </c>
      <c r="U447" s="5">
        <v>4.5821759259259263E-2</v>
      </c>
      <c r="V447" t="s">
        <v>13</v>
      </c>
      <c r="W447">
        <v>1.1659999999999999</v>
      </c>
      <c r="X447">
        <v>3093.2676999999999</v>
      </c>
      <c r="Y447">
        <v>123465.77</v>
      </c>
      <c r="Z447" t="s">
        <v>1689</v>
      </c>
      <c r="AA447">
        <v>2.266</v>
      </c>
      <c r="AB447">
        <v>56.962200000000003</v>
      </c>
      <c r="AC447">
        <v>3.4700000000000002E-2</v>
      </c>
      <c r="AD447" t="s">
        <v>10</v>
      </c>
    </row>
    <row r="448" spans="1:30">
      <c r="A448" s="2">
        <v>157</v>
      </c>
      <c r="B448" s="2" t="s">
        <v>1193</v>
      </c>
      <c r="C448" s="2" t="s">
        <v>1234</v>
      </c>
      <c r="D448" s="2">
        <v>447</v>
      </c>
      <c r="E448" s="3" t="str">
        <f>D448&amp;"g"</f>
        <v>447g</v>
      </c>
      <c r="F448" t="s">
        <v>1235</v>
      </c>
      <c r="G448" s="4">
        <v>44838</v>
      </c>
      <c r="H448" s="5">
        <v>4.9571759259259253E-2</v>
      </c>
      <c r="I448" t="s">
        <v>9</v>
      </c>
      <c r="J448">
        <v>1.42</v>
      </c>
      <c r="K448">
        <v>126.9555</v>
      </c>
      <c r="L448">
        <v>549.42849999999999</v>
      </c>
      <c r="M448" t="s">
        <v>10</v>
      </c>
      <c r="N448" t="s">
        <v>11</v>
      </c>
      <c r="O448">
        <v>1.97</v>
      </c>
      <c r="P448">
        <v>8273.8611999999994</v>
      </c>
      <c r="Q448">
        <v>30368.532599999999</v>
      </c>
      <c r="R448" t="s">
        <v>10</v>
      </c>
      <c r="S448" t="s">
        <v>1236</v>
      </c>
      <c r="T448" s="4">
        <v>44838</v>
      </c>
      <c r="U448" s="5">
        <v>4.9571759259259253E-2</v>
      </c>
      <c r="V448" t="s">
        <v>13</v>
      </c>
      <c r="W448">
        <v>1.1659999999999999</v>
      </c>
      <c r="X448">
        <v>3341.3008</v>
      </c>
      <c r="Y448">
        <v>149315.0528</v>
      </c>
      <c r="Z448" t="s">
        <v>1689</v>
      </c>
      <c r="AA448">
        <v>2.27</v>
      </c>
      <c r="AB448">
        <v>244.19880000000001</v>
      </c>
      <c r="AC448">
        <v>0.80220000000000002</v>
      </c>
      <c r="AD448" t="s">
        <v>10</v>
      </c>
    </row>
    <row r="449" spans="1:30">
      <c r="A449" s="2">
        <v>158</v>
      </c>
      <c r="B449" s="2" t="s">
        <v>196</v>
      </c>
      <c r="C449" s="2" t="s">
        <v>196</v>
      </c>
      <c r="D449" s="2">
        <v>448</v>
      </c>
      <c r="E449" s="2" t="s">
        <v>196</v>
      </c>
      <c r="F449" t="s">
        <v>1237</v>
      </c>
      <c r="G449" s="4">
        <v>44838</v>
      </c>
      <c r="H449" s="5">
        <v>5.3333333333333337E-2</v>
      </c>
      <c r="I449" t="s">
        <v>9</v>
      </c>
      <c r="J449">
        <v>1.4059999999999999</v>
      </c>
      <c r="K449">
        <v>0.5262</v>
      </c>
      <c r="L449">
        <v>2.5937999999999999</v>
      </c>
      <c r="M449" t="s">
        <v>10</v>
      </c>
      <c r="N449" t="s">
        <v>11</v>
      </c>
      <c r="O449">
        <v>1.946</v>
      </c>
      <c r="P449">
        <v>141.98939999999999</v>
      </c>
      <c r="Q449">
        <v>315.19630000000001</v>
      </c>
      <c r="R449" t="s">
        <v>10</v>
      </c>
      <c r="S449" t="s">
        <v>1238</v>
      </c>
      <c r="T449" s="4">
        <v>44838</v>
      </c>
      <c r="U449" s="5">
        <v>5.3333333333333337E-2</v>
      </c>
      <c r="V449" t="s">
        <v>13</v>
      </c>
      <c r="W449">
        <v>1.1599999999999999</v>
      </c>
      <c r="X449">
        <v>3281.2890000000002</v>
      </c>
      <c r="Y449">
        <v>142340.9601</v>
      </c>
      <c r="Z449" t="s">
        <v>1689</v>
      </c>
      <c r="AA449">
        <v>2.2599999999999998</v>
      </c>
      <c r="AB449">
        <v>64.555199999999999</v>
      </c>
      <c r="AC449">
        <v>6.5799999999999997E-2</v>
      </c>
      <c r="AD449" t="s">
        <v>10</v>
      </c>
    </row>
    <row r="450" spans="1:30">
      <c r="A450" s="2">
        <v>159</v>
      </c>
      <c r="B450" s="2" t="s">
        <v>1193</v>
      </c>
      <c r="C450" s="2" t="s">
        <v>1239</v>
      </c>
      <c r="D450" s="2">
        <v>449</v>
      </c>
      <c r="E450" s="3" t="str">
        <f>D450&amp;"g"</f>
        <v>449g</v>
      </c>
      <c r="F450" t="s">
        <v>1240</v>
      </c>
      <c r="G450" s="4">
        <v>44838</v>
      </c>
      <c r="H450" s="5">
        <v>5.7094907407407407E-2</v>
      </c>
      <c r="I450" t="s">
        <v>9</v>
      </c>
      <c r="J450">
        <v>1.41</v>
      </c>
      <c r="K450">
        <v>1373.6289999999999</v>
      </c>
      <c r="L450">
        <v>5941.5664999999999</v>
      </c>
      <c r="M450" t="s">
        <v>10</v>
      </c>
      <c r="N450" t="s">
        <v>11</v>
      </c>
      <c r="O450">
        <v>1.8959999999999999</v>
      </c>
      <c r="P450">
        <v>27991.009600000001</v>
      </c>
      <c r="Q450">
        <v>103238.11380000001</v>
      </c>
      <c r="R450" t="s">
        <v>10</v>
      </c>
      <c r="S450" t="s">
        <v>1241</v>
      </c>
      <c r="T450" s="4">
        <v>44838</v>
      </c>
      <c r="U450" s="5">
        <v>5.7094907407407407E-2</v>
      </c>
      <c r="V450" t="s">
        <v>13</v>
      </c>
      <c r="W450">
        <v>1.163</v>
      </c>
      <c r="X450">
        <v>1764.3432</v>
      </c>
      <c r="Y450">
        <v>37388.352500000001</v>
      </c>
      <c r="Z450" t="s">
        <v>1689</v>
      </c>
      <c r="AA450">
        <v>2.2530000000000001</v>
      </c>
      <c r="AB450">
        <v>367.92219999999998</v>
      </c>
      <c r="AC450">
        <v>1.3092999999999999</v>
      </c>
      <c r="AD450" t="s">
        <v>10</v>
      </c>
    </row>
    <row r="451" spans="1:30">
      <c r="A451" s="2">
        <v>160</v>
      </c>
      <c r="B451" s="2" t="s">
        <v>196</v>
      </c>
      <c r="C451" s="2" t="s">
        <v>196</v>
      </c>
      <c r="D451" s="2">
        <v>450</v>
      </c>
      <c r="E451" s="2" t="s">
        <v>196</v>
      </c>
      <c r="F451" t="s">
        <v>1242</v>
      </c>
      <c r="G451" s="4">
        <v>44838</v>
      </c>
      <c r="H451" s="5">
        <v>6.084490740740741E-2</v>
      </c>
      <c r="I451" t="s">
        <v>9</v>
      </c>
      <c r="J451">
        <v>0</v>
      </c>
      <c r="K451">
        <v>0</v>
      </c>
      <c r="L451">
        <v>0</v>
      </c>
      <c r="M451" t="s">
        <v>10</v>
      </c>
      <c r="N451" t="s">
        <v>11</v>
      </c>
      <c r="O451">
        <v>1.946</v>
      </c>
      <c r="P451">
        <v>140.20060000000001</v>
      </c>
      <c r="Q451">
        <v>308.58530000000002</v>
      </c>
      <c r="R451" t="s">
        <v>10</v>
      </c>
      <c r="S451" t="s">
        <v>1243</v>
      </c>
      <c r="T451" s="4">
        <v>44838</v>
      </c>
      <c r="U451" s="5">
        <v>6.084490740740741E-2</v>
      </c>
      <c r="V451" t="s">
        <v>13</v>
      </c>
      <c r="W451">
        <v>1.1559999999999999</v>
      </c>
      <c r="X451">
        <v>3047.3166000000001</v>
      </c>
      <c r="Y451">
        <v>119315.8802</v>
      </c>
      <c r="Z451" t="s">
        <v>1689</v>
      </c>
      <c r="AA451">
        <v>2.2559999999999998</v>
      </c>
      <c r="AB451">
        <v>58.336500000000001</v>
      </c>
      <c r="AC451">
        <v>4.0300000000000002E-2</v>
      </c>
      <c r="AD451" t="s">
        <v>10</v>
      </c>
    </row>
    <row r="452" spans="1:30">
      <c r="A452" s="2">
        <v>161</v>
      </c>
      <c r="B452" s="2" t="s">
        <v>1193</v>
      </c>
      <c r="C452" s="2" t="s">
        <v>1244</v>
      </c>
      <c r="D452" s="2">
        <v>451</v>
      </c>
      <c r="E452" s="3" t="str">
        <f>D452&amp;"g"</f>
        <v>451g</v>
      </c>
      <c r="F452" t="s">
        <v>1245</v>
      </c>
      <c r="G452" s="4">
        <v>44838</v>
      </c>
      <c r="H452" s="5">
        <v>6.4594907407407406E-2</v>
      </c>
      <c r="I452" t="s">
        <v>9</v>
      </c>
      <c r="J452">
        <v>1.4159999999999999</v>
      </c>
      <c r="K452">
        <v>1548.6188999999999</v>
      </c>
      <c r="L452">
        <v>6698.4363999999996</v>
      </c>
      <c r="M452" t="s">
        <v>10</v>
      </c>
      <c r="N452" t="s">
        <v>11</v>
      </c>
      <c r="O452">
        <v>1.94</v>
      </c>
      <c r="P452">
        <v>20385.921300000002</v>
      </c>
      <c r="Q452">
        <v>75131.635699999999</v>
      </c>
      <c r="R452" t="s">
        <v>10</v>
      </c>
      <c r="S452" t="s">
        <v>1246</v>
      </c>
      <c r="T452" s="4">
        <v>44838</v>
      </c>
      <c r="U452" s="5">
        <v>6.4594907407407406E-2</v>
      </c>
      <c r="V452" t="s">
        <v>13</v>
      </c>
      <c r="W452">
        <v>1.1659999999999999</v>
      </c>
      <c r="X452">
        <v>2609.0259999999998</v>
      </c>
      <c r="Y452">
        <v>85915.404800000004</v>
      </c>
      <c r="Z452" t="s">
        <v>1689</v>
      </c>
      <c r="AA452">
        <v>2.2629999999999999</v>
      </c>
      <c r="AB452">
        <v>361.161</v>
      </c>
      <c r="AC452">
        <v>1.2816000000000001</v>
      </c>
      <c r="AD452" t="s">
        <v>10</v>
      </c>
    </row>
    <row r="453" spans="1:30">
      <c r="A453" s="2">
        <v>162</v>
      </c>
      <c r="B453" s="2" t="s">
        <v>196</v>
      </c>
      <c r="C453" s="2" t="s">
        <v>196</v>
      </c>
      <c r="D453" s="2">
        <v>452</v>
      </c>
      <c r="E453" s="2" t="s">
        <v>196</v>
      </c>
      <c r="F453" t="s">
        <v>1247</v>
      </c>
      <c r="G453" s="4">
        <v>44838</v>
      </c>
      <c r="H453" s="5">
        <v>6.8356481481481476E-2</v>
      </c>
      <c r="I453" t="s">
        <v>9</v>
      </c>
      <c r="J453">
        <v>1.41</v>
      </c>
      <c r="K453">
        <v>2.3752</v>
      </c>
      <c r="L453">
        <v>10.591200000000001</v>
      </c>
      <c r="M453" t="s">
        <v>10</v>
      </c>
      <c r="N453" t="s">
        <v>11</v>
      </c>
      <c r="O453">
        <v>1.946</v>
      </c>
      <c r="P453">
        <v>166.0444</v>
      </c>
      <c r="Q453">
        <v>404.09750000000003</v>
      </c>
      <c r="R453" t="s">
        <v>10</v>
      </c>
      <c r="S453" t="s">
        <v>1248</v>
      </c>
      <c r="T453" s="4">
        <v>44838</v>
      </c>
      <c r="U453" s="5">
        <v>6.8356481481481476E-2</v>
      </c>
      <c r="V453" t="s">
        <v>13</v>
      </c>
      <c r="W453">
        <v>1.1599999999999999</v>
      </c>
      <c r="X453">
        <v>3042.0360000000001</v>
      </c>
      <c r="Y453">
        <v>118862.7773</v>
      </c>
      <c r="Z453" t="s">
        <v>1689</v>
      </c>
      <c r="AA453">
        <v>2.2599999999999998</v>
      </c>
      <c r="AB453">
        <v>56.7151</v>
      </c>
      <c r="AC453">
        <v>3.3700000000000001E-2</v>
      </c>
      <c r="AD453" t="s">
        <v>10</v>
      </c>
    </row>
    <row r="454" spans="1:30">
      <c r="A454" s="2">
        <v>163</v>
      </c>
      <c r="B454" s="2" t="s">
        <v>1193</v>
      </c>
      <c r="C454" s="2" t="s">
        <v>1249</v>
      </c>
      <c r="D454" s="2">
        <v>453</v>
      </c>
      <c r="E454" s="3" t="str">
        <f>D454&amp;"g"</f>
        <v>453g</v>
      </c>
      <c r="F454" t="s">
        <v>1250</v>
      </c>
      <c r="G454" s="4">
        <v>44838</v>
      </c>
      <c r="H454" s="5">
        <v>7.210648148148148E-2</v>
      </c>
      <c r="I454" t="s">
        <v>9</v>
      </c>
      <c r="J454">
        <v>1.41</v>
      </c>
      <c r="K454">
        <v>4.6913999999999998</v>
      </c>
      <c r="L454">
        <v>20.609300000000001</v>
      </c>
      <c r="M454" t="s">
        <v>10</v>
      </c>
      <c r="N454" t="s">
        <v>11</v>
      </c>
      <c r="O454">
        <v>1.956</v>
      </c>
      <c r="P454">
        <v>1318.0087000000001</v>
      </c>
      <c r="Q454">
        <v>4661.4654</v>
      </c>
      <c r="R454" t="s">
        <v>10</v>
      </c>
      <c r="S454" t="s">
        <v>1251</v>
      </c>
      <c r="T454" s="4">
        <v>44838</v>
      </c>
      <c r="U454" s="5">
        <v>7.210648148148148E-2</v>
      </c>
      <c r="V454" t="s">
        <v>13</v>
      </c>
      <c r="W454">
        <v>1.163</v>
      </c>
      <c r="X454">
        <v>3491.5056</v>
      </c>
      <c r="Y454">
        <v>169957.3302</v>
      </c>
      <c r="Z454" t="s">
        <v>1689</v>
      </c>
      <c r="AA454">
        <v>2.2599999999999998</v>
      </c>
      <c r="AB454">
        <v>116.79519999999999</v>
      </c>
      <c r="AC454">
        <v>0.28000000000000003</v>
      </c>
      <c r="AD454" t="s">
        <v>10</v>
      </c>
    </row>
    <row r="455" spans="1:30">
      <c r="A455" s="2">
        <v>164</v>
      </c>
      <c r="B455" s="2" t="s">
        <v>196</v>
      </c>
      <c r="C455" s="2" t="s">
        <v>196</v>
      </c>
      <c r="D455" s="2">
        <v>454</v>
      </c>
      <c r="E455" s="2" t="s">
        <v>196</v>
      </c>
      <c r="F455" t="s">
        <v>1252</v>
      </c>
      <c r="G455" s="4">
        <v>44838</v>
      </c>
      <c r="H455" s="5">
        <v>7.5856481481481483E-2</v>
      </c>
      <c r="I455" t="s">
        <v>9</v>
      </c>
      <c r="J455">
        <v>1.4159999999999999</v>
      </c>
      <c r="K455">
        <v>0.28720000000000001</v>
      </c>
      <c r="L455">
        <v>1.5601</v>
      </c>
      <c r="M455" t="s">
        <v>10</v>
      </c>
      <c r="N455" t="s">
        <v>11</v>
      </c>
      <c r="O455">
        <v>1.9530000000000001</v>
      </c>
      <c r="P455">
        <v>101.8638</v>
      </c>
      <c r="Q455">
        <v>166.90219999999999</v>
      </c>
      <c r="R455" t="s">
        <v>10</v>
      </c>
      <c r="S455" t="s">
        <v>1253</v>
      </c>
      <c r="T455" s="4">
        <v>44838</v>
      </c>
      <c r="U455" s="5">
        <v>7.5856481481481483E-2</v>
      </c>
      <c r="V455" t="s">
        <v>13</v>
      </c>
      <c r="W455">
        <v>1.1659999999999999</v>
      </c>
      <c r="X455">
        <v>3079.7565</v>
      </c>
      <c r="Y455">
        <v>122232.7789</v>
      </c>
      <c r="Z455" t="s">
        <v>1689</v>
      </c>
      <c r="AA455">
        <v>2.2629999999999999</v>
      </c>
      <c r="AB455">
        <v>58.070399999999999</v>
      </c>
      <c r="AC455">
        <v>3.9300000000000002E-2</v>
      </c>
      <c r="AD455" t="s">
        <v>10</v>
      </c>
    </row>
    <row r="456" spans="1:30">
      <c r="A456" s="2">
        <v>165</v>
      </c>
      <c r="B456" s="2" t="s">
        <v>1193</v>
      </c>
      <c r="C456" s="2" t="s">
        <v>1254</v>
      </c>
      <c r="D456" s="2">
        <v>455</v>
      </c>
      <c r="E456" s="3" t="str">
        <f>D456&amp;"g"</f>
        <v>455g</v>
      </c>
      <c r="F456" t="s">
        <v>1255</v>
      </c>
      <c r="G456" s="4">
        <v>44838</v>
      </c>
      <c r="H456" s="5">
        <v>7.9606481481481486E-2</v>
      </c>
      <c r="I456" t="s">
        <v>9</v>
      </c>
      <c r="J456">
        <v>1.4159999999999999</v>
      </c>
      <c r="K456">
        <v>21.065999999999999</v>
      </c>
      <c r="L456">
        <v>91.433000000000007</v>
      </c>
      <c r="M456" t="s">
        <v>10</v>
      </c>
      <c r="N456" t="s">
        <v>11</v>
      </c>
      <c r="O456">
        <v>1.966</v>
      </c>
      <c r="P456">
        <v>1927.1682000000001</v>
      </c>
      <c r="Q456">
        <v>6912.7645000000002</v>
      </c>
      <c r="R456" t="s">
        <v>10</v>
      </c>
      <c r="S456" t="s">
        <v>1256</v>
      </c>
      <c r="T456" s="4">
        <v>44838</v>
      </c>
      <c r="U456" s="5">
        <v>7.9606481481481486E-2</v>
      </c>
      <c r="V456" t="s">
        <v>13</v>
      </c>
      <c r="W456">
        <v>1.1659999999999999</v>
      </c>
      <c r="X456">
        <v>3609.393</v>
      </c>
      <c r="Y456">
        <v>187343.217</v>
      </c>
      <c r="Z456" t="s">
        <v>1689</v>
      </c>
      <c r="AA456">
        <v>2.266</v>
      </c>
      <c r="AB456">
        <v>133.6052</v>
      </c>
      <c r="AC456">
        <v>0.34889999999999999</v>
      </c>
      <c r="AD456" t="s">
        <v>10</v>
      </c>
    </row>
    <row r="457" spans="1:30">
      <c r="A457" s="2">
        <v>166</v>
      </c>
      <c r="B457" s="2" t="s">
        <v>196</v>
      </c>
      <c r="C457" s="2" t="s">
        <v>196</v>
      </c>
      <c r="D457" s="2">
        <v>456</v>
      </c>
      <c r="E457" s="2" t="s">
        <v>196</v>
      </c>
      <c r="F457" t="s">
        <v>1257</v>
      </c>
      <c r="G457" s="4">
        <v>44838</v>
      </c>
      <c r="H457" s="5">
        <v>8.335648148148149E-2</v>
      </c>
      <c r="I457" t="s">
        <v>9</v>
      </c>
      <c r="J457">
        <v>1.4159999999999999</v>
      </c>
      <c r="K457">
        <v>0.3352</v>
      </c>
      <c r="L457">
        <v>1.7677</v>
      </c>
      <c r="M457" t="s">
        <v>10</v>
      </c>
      <c r="N457" t="s">
        <v>11</v>
      </c>
      <c r="O457">
        <v>1.96</v>
      </c>
      <c r="P457">
        <v>97.601900000000001</v>
      </c>
      <c r="Q457">
        <v>151.15129999999999</v>
      </c>
      <c r="R457" t="s">
        <v>10</v>
      </c>
      <c r="S457" t="s">
        <v>1258</v>
      </c>
      <c r="T457" s="4">
        <v>44838</v>
      </c>
      <c r="U457" s="5">
        <v>8.335648148148149E-2</v>
      </c>
      <c r="V457" t="s">
        <v>13</v>
      </c>
      <c r="W457">
        <v>1.1659999999999999</v>
      </c>
      <c r="X457">
        <v>3145.2748999999999</v>
      </c>
      <c r="Y457">
        <v>128316.6201</v>
      </c>
      <c r="Z457" t="s">
        <v>1689</v>
      </c>
      <c r="AA457">
        <v>2.27</v>
      </c>
      <c r="AB457">
        <v>53.49</v>
      </c>
      <c r="AC457">
        <v>2.0500000000000001E-2</v>
      </c>
      <c r="AD457" t="s">
        <v>10</v>
      </c>
    </row>
    <row r="458" spans="1:30">
      <c r="A458" s="2">
        <v>167</v>
      </c>
      <c r="B458" s="2" t="s">
        <v>1193</v>
      </c>
      <c r="C458" s="2" t="s">
        <v>1259</v>
      </c>
      <c r="D458" s="2">
        <v>457</v>
      </c>
      <c r="E458" s="3" t="str">
        <f>D458&amp;"g"</f>
        <v>457g</v>
      </c>
      <c r="F458" t="s">
        <v>1260</v>
      </c>
      <c r="G458" s="4">
        <v>44838</v>
      </c>
      <c r="H458" s="5">
        <v>8.711805555555556E-2</v>
      </c>
      <c r="I458" t="s">
        <v>9</v>
      </c>
      <c r="J458">
        <v>1.4159999999999999</v>
      </c>
      <c r="K458">
        <v>54.481400000000001</v>
      </c>
      <c r="L458">
        <v>235.96199999999999</v>
      </c>
      <c r="M458" t="s">
        <v>10</v>
      </c>
      <c r="N458" t="s">
        <v>11</v>
      </c>
      <c r="O458">
        <v>1.9530000000000001</v>
      </c>
      <c r="P458">
        <v>694.57870000000003</v>
      </c>
      <c r="Q458">
        <v>2357.4261999999999</v>
      </c>
      <c r="R458" t="s">
        <v>10</v>
      </c>
      <c r="S458" t="s">
        <v>1261</v>
      </c>
      <c r="T458" s="4">
        <v>44838</v>
      </c>
      <c r="U458" s="5">
        <v>8.711805555555556E-2</v>
      </c>
      <c r="V458" t="s">
        <v>13</v>
      </c>
      <c r="W458">
        <v>1.1659999999999999</v>
      </c>
      <c r="X458">
        <v>3454.5126</v>
      </c>
      <c r="Y458">
        <v>164501.64869999999</v>
      </c>
      <c r="Z458" t="s">
        <v>1689</v>
      </c>
      <c r="AA458">
        <v>2.2599999999999998</v>
      </c>
      <c r="AB458">
        <v>95.255600000000001</v>
      </c>
      <c r="AC458">
        <v>0.19170000000000001</v>
      </c>
      <c r="AD458" t="s">
        <v>10</v>
      </c>
    </row>
    <row r="459" spans="1:30">
      <c r="A459" s="2">
        <v>168</v>
      </c>
      <c r="B459" s="2" t="s">
        <v>196</v>
      </c>
      <c r="C459" s="2" t="s">
        <v>196</v>
      </c>
      <c r="D459" s="2">
        <v>458</v>
      </c>
      <c r="E459" s="2" t="s">
        <v>196</v>
      </c>
      <c r="F459" t="s">
        <v>1262</v>
      </c>
      <c r="G459" s="4">
        <v>44838</v>
      </c>
      <c r="H459" s="5">
        <v>9.0868055555555549E-2</v>
      </c>
      <c r="I459" t="s">
        <v>9</v>
      </c>
      <c r="J459">
        <v>1.413</v>
      </c>
      <c r="K459">
        <v>0.47310000000000002</v>
      </c>
      <c r="L459">
        <v>2.3641999999999999</v>
      </c>
      <c r="M459" t="s">
        <v>10</v>
      </c>
      <c r="N459" t="s">
        <v>11</v>
      </c>
      <c r="O459">
        <v>1.9530000000000001</v>
      </c>
      <c r="P459">
        <v>97.456100000000006</v>
      </c>
      <c r="Q459">
        <v>150.61250000000001</v>
      </c>
      <c r="R459" t="s">
        <v>10</v>
      </c>
      <c r="S459" t="s">
        <v>1263</v>
      </c>
      <c r="T459" s="4">
        <v>44838</v>
      </c>
      <c r="U459" s="5">
        <v>9.0868055555555549E-2</v>
      </c>
      <c r="V459" t="s">
        <v>13</v>
      </c>
      <c r="W459">
        <v>1.1659999999999999</v>
      </c>
      <c r="X459">
        <v>3067.2937999999999</v>
      </c>
      <c r="Y459">
        <v>121095.47070000001</v>
      </c>
      <c r="Z459" t="s">
        <v>1689</v>
      </c>
      <c r="AA459">
        <v>2.266</v>
      </c>
      <c r="AB459">
        <v>53.388599999999997</v>
      </c>
      <c r="AC459">
        <v>2.01E-2</v>
      </c>
      <c r="AD459" t="s">
        <v>10</v>
      </c>
    </row>
    <row r="460" spans="1:30">
      <c r="A460" s="2">
        <v>169</v>
      </c>
      <c r="B460" s="2" t="s">
        <v>1193</v>
      </c>
      <c r="C460" s="2" t="s">
        <v>1264</v>
      </c>
      <c r="D460" s="2">
        <v>459</v>
      </c>
      <c r="E460" s="3" t="str">
        <f>D460&amp;"g"</f>
        <v>459g</v>
      </c>
      <c r="F460" t="s">
        <v>1265</v>
      </c>
      <c r="G460" s="4">
        <v>44838</v>
      </c>
      <c r="H460" s="5">
        <v>9.4618055555555566E-2</v>
      </c>
      <c r="I460" t="s">
        <v>9</v>
      </c>
      <c r="J460">
        <v>1.37</v>
      </c>
      <c r="K460">
        <v>11701.7268</v>
      </c>
      <c r="L460">
        <v>50612.868999999999</v>
      </c>
      <c r="M460" t="s">
        <v>10</v>
      </c>
      <c r="N460" t="s">
        <v>11</v>
      </c>
      <c r="O460">
        <v>1.87</v>
      </c>
      <c r="P460">
        <v>30230.6021</v>
      </c>
      <c r="Q460">
        <v>111515.07980000001</v>
      </c>
      <c r="R460" t="s">
        <v>10</v>
      </c>
      <c r="S460" t="s">
        <v>1266</v>
      </c>
      <c r="T460" s="4">
        <v>44838</v>
      </c>
      <c r="U460" s="5">
        <v>9.4618055555555566E-2</v>
      </c>
      <c r="V460" t="s">
        <v>13</v>
      </c>
      <c r="W460">
        <v>1.153</v>
      </c>
      <c r="X460">
        <v>1868.1844000000001</v>
      </c>
      <c r="Y460">
        <v>42670.972999999998</v>
      </c>
      <c r="Z460" t="s">
        <v>1689</v>
      </c>
      <c r="AA460">
        <v>2.2429999999999999</v>
      </c>
      <c r="AB460">
        <v>397.78559999999999</v>
      </c>
      <c r="AC460">
        <v>1.4317</v>
      </c>
      <c r="AD460" t="s">
        <v>10</v>
      </c>
    </row>
    <row r="461" spans="1:30">
      <c r="A461" s="2">
        <v>170</v>
      </c>
      <c r="B461" s="2" t="s">
        <v>196</v>
      </c>
      <c r="C461" s="2" t="s">
        <v>196</v>
      </c>
      <c r="D461" s="2">
        <v>460</v>
      </c>
      <c r="E461" s="2" t="s">
        <v>196</v>
      </c>
      <c r="F461" t="s">
        <v>1267</v>
      </c>
      <c r="G461" s="4">
        <v>44838</v>
      </c>
      <c r="H461" s="5">
        <v>9.8368055555555556E-2</v>
      </c>
      <c r="I461" t="s">
        <v>9</v>
      </c>
      <c r="J461">
        <v>1.4059999999999999</v>
      </c>
      <c r="K461">
        <v>30.479399999999998</v>
      </c>
      <c r="L461">
        <v>132.1481</v>
      </c>
      <c r="M461" t="s">
        <v>10</v>
      </c>
      <c r="N461" t="s">
        <v>11</v>
      </c>
      <c r="O461">
        <v>1.946</v>
      </c>
      <c r="P461">
        <v>247.03800000000001</v>
      </c>
      <c r="Q461">
        <v>703.42930000000001</v>
      </c>
      <c r="R461" t="s">
        <v>10</v>
      </c>
      <c r="S461" t="s">
        <v>1268</v>
      </c>
      <c r="T461" s="4">
        <v>44838</v>
      </c>
      <c r="U461" s="5">
        <v>9.8368055555555556E-2</v>
      </c>
      <c r="V461" t="s">
        <v>13</v>
      </c>
      <c r="W461">
        <v>1.1599999999999999</v>
      </c>
      <c r="X461">
        <v>3178.4380000000001</v>
      </c>
      <c r="Y461">
        <v>131548.3149</v>
      </c>
      <c r="Z461" t="s">
        <v>1689</v>
      </c>
      <c r="AA461">
        <v>2.2530000000000001</v>
      </c>
      <c r="AB461">
        <v>70.016000000000005</v>
      </c>
      <c r="AC461">
        <v>8.8200000000000001E-2</v>
      </c>
      <c r="AD461" t="s">
        <v>10</v>
      </c>
    </row>
    <row r="462" spans="1:30">
      <c r="A462" s="2">
        <v>171</v>
      </c>
      <c r="B462" s="2" t="s">
        <v>1193</v>
      </c>
      <c r="C462" s="2" t="s">
        <v>1269</v>
      </c>
      <c r="D462" s="2">
        <v>461</v>
      </c>
      <c r="E462" s="3" t="str">
        <f>D462&amp;"g"</f>
        <v>461g</v>
      </c>
      <c r="F462" t="s">
        <v>1270</v>
      </c>
      <c r="G462" s="4">
        <v>44838</v>
      </c>
      <c r="H462" s="5">
        <v>0.10212962962962963</v>
      </c>
      <c r="I462" t="s">
        <v>9</v>
      </c>
      <c r="J462">
        <v>1.413</v>
      </c>
      <c r="K462">
        <v>94.480199999999996</v>
      </c>
      <c r="L462">
        <v>408.96559999999999</v>
      </c>
      <c r="M462" t="s">
        <v>10</v>
      </c>
      <c r="N462" t="s">
        <v>11</v>
      </c>
      <c r="O462">
        <v>1.9530000000000001</v>
      </c>
      <c r="P462">
        <v>1195.2698</v>
      </c>
      <c r="Q462">
        <v>4207.8536000000004</v>
      </c>
      <c r="R462" t="s">
        <v>10</v>
      </c>
      <c r="S462" t="s">
        <v>1271</v>
      </c>
      <c r="T462" s="4">
        <v>44838</v>
      </c>
      <c r="U462" s="5">
        <v>0.10212962962962963</v>
      </c>
      <c r="V462" t="s">
        <v>13</v>
      </c>
      <c r="W462">
        <v>1.163</v>
      </c>
      <c r="X462">
        <v>3515.2927</v>
      </c>
      <c r="Y462">
        <v>173465.4221</v>
      </c>
      <c r="Z462" t="s">
        <v>1689</v>
      </c>
      <c r="AA462">
        <v>2.2559999999999998</v>
      </c>
      <c r="AB462">
        <v>115.851</v>
      </c>
      <c r="AC462">
        <v>0.27610000000000001</v>
      </c>
      <c r="AD462" t="s">
        <v>10</v>
      </c>
    </row>
    <row r="463" spans="1:30">
      <c r="A463" s="2">
        <v>172</v>
      </c>
      <c r="B463" s="2" t="s">
        <v>196</v>
      </c>
      <c r="C463" s="2" t="s">
        <v>196</v>
      </c>
      <c r="D463" s="2">
        <v>462</v>
      </c>
      <c r="E463" s="2" t="s">
        <v>196</v>
      </c>
      <c r="F463" t="s">
        <v>1272</v>
      </c>
      <c r="G463" s="4">
        <v>44838</v>
      </c>
      <c r="H463" s="5">
        <v>0.10587962962962964</v>
      </c>
      <c r="I463" t="s">
        <v>9</v>
      </c>
      <c r="J463">
        <v>1.4059999999999999</v>
      </c>
      <c r="K463">
        <v>0.35560000000000003</v>
      </c>
      <c r="L463">
        <v>1.8560000000000001</v>
      </c>
      <c r="M463" t="s">
        <v>10</v>
      </c>
      <c r="N463" t="s">
        <v>11</v>
      </c>
      <c r="O463">
        <v>1.946</v>
      </c>
      <c r="P463">
        <v>93.103200000000001</v>
      </c>
      <c r="Q463">
        <v>134.52529999999999</v>
      </c>
      <c r="R463" t="s">
        <v>10</v>
      </c>
      <c r="S463" t="s">
        <v>1273</v>
      </c>
      <c r="T463" s="4">
        <v>44838</v>
      </c>
      <c r="U463" s="5">
        <v>0.10587962962962964</v>
      </c>
      <c r="V463" t="s">
        <v>13</v>
      </c>
      <c r="W463">
        <v>1.1599999999999999</v>
      </c>
      <c r="X463">
        <v>3047.0466000000001</v>
      </c>
      <c r="Y463">
        <v>119292.71279999999</v>
      </c>
      <c r="Z463" t="s">
        <v>1689</v>
      </c>
      <c r="AA463">
        <v>2.2599999999999998</v>
      </c>
      <c r="AB463">
        <v>51.144399999999997</v>
      </c>
      <c r="AC463">
        <v>1.09E-2</v>
      </c>
      <c r="AD463" t="s">
        <v>10</v>
      </c>
    </row>
    <row r="464" spans="1:30">
      <c r="A464" s="2">
        <v>173</v>
      </c>
      <c r="B464" s="6" t="s">
        <v>238</v>
      </c>
      <c r="C464" s="6" t="s">
        <v>239</v>
      </c>
      <c r="D464" s="2">
        <v>463</v>
      </c>
      <c r="E464" s="7" t="s">
        <v>1274</v>
      </c>
      <c r="F464" t="s">
        <v>1275</v>
      </c>
      <c r="G464" s="4">
        <v>44838</v>
      </c>
      <c r="H464" s="5">
        <v>0.10962962962962963</v>
      </c>
      <c r="I464" t="s">
        <v>9</v>
      </c>
      <c r="J464">
        <v>1.4159999999999999</v>
      </c>
      <c r="K464">
        <v>0.7278</v>
      </c>
      <c r="L464">
        <v>3.4658000000000002</v>
      </c>
      <c r="M464" t="s">
        <v>10</v>
      </c>
      <c r="N464" t="s">
        <v>11</v>
      </c>
      <c r="O464">
        <v>1.956</v>
      </c>
      <c r="P464">
        <v>172.333</v>
      </c>
      <c r="Q464">
        <v>427.33850000000001</v>
      </c>
      <c r="R464" t="s">
        <v>10</v>
      </c>
      <c r="S464" t="s">
        <v>1276</v>
      </c>
      <c r="T464" s="4">
        <v>44838</v>
      </c>
      <c r="U464" s="5">
        <v>0.10962962962962963</v>
      </c>
      <c r="V464" t="s">
        <v>13</v>
      </c>
      <c r="W464">
        <v>1.17</v>
      </c>
      <c r="X464">
        <v>3883.3629000000001</v>
      </c>
      <c r="Y464">
        <v>227747.95619999999</v>
      </c>
      <c r="Z464" t="s">
        <v>1689</v>
      </c>
      <c r="AA464">
        <v>2.266</v>
      </c>
      <c r="AB464">
        <v>95.951800000000006</v>
      </c>
      <c r="AC464">
        <v>0.19450000000000001</v>
      </c>
      <c r="AD464" t="s">
        <v>10</v>
      </c>
    </row>
    <row r="465" spans="1:30">
      <c r="A465" s="2">
        <v>174</v>
      </c>
      <c r="B465" s="6" t="s">
        <v>196</v>
      </c>
      <c r="C465" s="6" t="s">
        <v>196</v>
      </c>
      <c r="D465" s="2">
        <v>464</v>
      </c>
      <c r="E465" s="6" t="s">
        <v>196</v>
      </c>
      <c r="F465" t="s">
        <v>1277</v>
      </c>
      <c r="G465" s="4">
        <v>44838</v>
      </c>
      <c r="H465" s="5">
        <v>0.1133912037037037</v>
      </c>
      <c r="I465" t="s">
        <v>9</v>
      </c>
      <c r="J465">
        <v>1.41</v>
      </c>
      <c r="K465">
        <v>0.3594</v>
      </c>
      <c r="L465">
        <v>1.8724000000000001</v>
      </c>
      <c r="M465" t="s">
        <v>10</v>
      </c>
      <c r="N465" t="s">
        <v>11</v>
      </c>
      <c r="O465">
        <v>1.95</v>
      </c>
      <c r="P465">
        <v>99.247200000000007</v>
      </c>
      <c r="Q465">
        <v>157.232</v>
      </c>
      <c r="R465" t="s">
        <v>10</v>
      </c>
      <c r="S465" t="s">
        <v>1278</v>
      </c>
      <c r="T465" s="4">
        <v>44838</v>
      </c>
      <c r="U465" s="5">
        <v>0.1133912037037037</v>
      </c>
      <c r="V465" t="s">
        <v>13</v>
      </c>
      <c r="W465">
        <v>1.163</v>
      </c>
      <c r="X465">
        <v>3069.7901000000002</v>
      </c>
      <c r="Y465">
        <v>121323.2755</v>
      </c>
      <c r="Z465" t="s">
        <v>1689</v>
      </c>
      <c r="AA465">
        <v>2.266</v>
      </c>
      <c r="AB465">
        <v>55.4514</v>
      </c>
      <c r="AC465">
        <v>2.8500000000000001E-2</v>
      </c>
      <c r="AD465" t="s">
        <v>10</v>
      </c>
    </row>
    <row r="466" spans="1:30">
      <c r="A466" s="2">
        <v>175</v>
      </c>
      <c r="B466" s="2" t="s">
        <v>1279</v>
      </c>
      <c r="C466" s="2" t="s">
        <v>1280</v>
      </c>
      <c r="D466" s="2">
        <v>465</v>
      </c>
      <c r="E466" s="3" t="str">
        <f>D466&amp;"g"</f>
        <v>465g</v>
      </c>
      <c r="F466" t="s">
        <v>1281</v>
      </c>
      <c r="G466" s="4">
        <v>44838</v>
      </c>
      <c r="H466" s="5">
        <v>0.11714120370370369</v>
      </c>
      <c r="I466" t="s">
        <v>9</v>
      </c>
      <c r="J466">
        <v>1.41</v>
      </c>
      <c r="K466">
        <v>2413.6550000000002</v>
      </c>
      <c r="L466">
        <v>10439.9085</v>
      </c>
      <c r="M466" t="s">
        <v>10</v>
      </c>
      <c r="N466" t="s">
        <v>11</v>
      </c>
      <c r="O466">
        <v>1.96</v>
      </c>
      <c r="P466">
        <v>10270.1095</v>
      </c>
      <c r="Q466">
        <v>37746.160199999998</v>
      </c>
      <c r="R466" t="s">
        <v>10</v>
      </c>
      <c r="S466" t="s">
        <v>1282</v>
      </c>
      <c r="T466" s="4">
        <v>44838</v>
      </c>
      <c r="U466" s="5">
        <v>0.11714120370370369</v>
      </c>
      <c r="V466" t="s">
        <v>13</v>
      </c>
      <c r="W466">
        <v>1.1659999999999999</v>
      </c>
      <c r="X466">
        <v>3210.6770999999999</v>
      </c>
      <c r="Y466">
        <v>134788.70879999999</v>
      </c>
      <c r="Z466" t="s">
        <v>1689</v>
      </c>
      <c r="AA466">
        <v>2.2599999999999998</v>
      </c>
      <c r="AB466">
        <v>263.15960000000001</v>
      </c>
      <c r="AC466">
        <v>0.87990000000000002</v>
      </c>
      <c r="AD466" t="s">
        <v>10</v>
      </c>
    </row>
    <row r="467" spans="1:30">
      <c r="A467" s="2">
        <v>176</v>
      </c>
      <c r="B467" s="2" t="s">
        <v>196</v>
      </c>
      <c r="C467" s="2" t="s">
        <v>196</v>
      </c>
      <c r="D467" s="2">
        <v>466</v>
      </c>
      <c r="E467" s="2" t="s">
        <v>196</v>
      </c>
      <c r="F467" t="s">
        <v>1283</v>
      </c>
      <c r="G467" s="4">
        <v>44838</v>
      </c>
      <c r="H467" s="5">
        <v>0.12090277777777779</v>
      </c>
      <c r="I467" t="s">
        <v>9</v>
      </c>
      <c r="J467">
        <v>1.4059999999999999</v>
      </c>
      <c r="K467">
        <v>5.1420000000000003</v>
      </c>
      <c r="L467">
        <v>22.558199999999999</v>
      </c>
      <c r="M467" t="s">
        <v>10</v>
      </c>
      <c r="N467" t="s">
        <v>11</v>
      </c>
      <c r="O467">
        <v>1.946</v>
      </c>
      <c r="P467">
        <v>130.453</v>
      </c>
      <c r="Q467">
        <v>272.5607</v>
      </c>
      <c r="R467" t="s">
        <v>10</v>
      </c>
      <c r="S467" t="s">
        <v>1284</v>
      </c>
      <c r="T467" s="4">
        <v>44838</v>
      </c>
      <c r="U467" s="5">
        <v>0.12090277777777779</v>
      </c>
      <c r="V467" t="s">
        <v>13</v>
      </c>
      <c r="W467">
        <v>1.1559999999999999</v>
      </c>
      <c r="X467">
        <v>3115.8827999999999</v>
      </c>
      <c r="Y467">
        <v>125529.5554</v>
      </c>
      <c r="Z467" t="s">
        <v>1689</v>
      </c>
      <c r="AA467">
        <v>2.2559999999999998</v>
      </c>
      <c r="AB467">
        <v>58.5687</v>
      </c>
      <c r="AC467">
        <v>4.1300000000000003E-2</v>
      </c>
      <c r="AD467" t="s">
        <v>10</v>
      </c>
    </row>
    <row r="468" spans="1:30">
      <c r="A468" s="2">
        <v>177</v>
      </c>
      <c r="B468" s="2" t="s">
        <v>1285</v>
      </c>
      <c r="C468" s="2" t="s">
        <v>1286</v>
      </c>
      <c r="D468" s="2">
        <v>467</v>
      </c>
      <c r="E468" s="3" t="str">
        <f>D468&amp;"g"</f>
        <v>467g</v>
      </c>
      <c r="F468" t="s">
        <v>1287</v>
      </c>
      <c r="G468" s="4">
        <v>44838</v>
      </c>
      <c r="H468" s="5">
        <v>0.12465277777777778</v>
      </c>
      <c r="I468" t="s">
        <v>9</v>
      </c>
      <c r="J468">
        <v>1.4059999999999999</v>
      </c>
      <c r="K468">
        <v>53.478200000000001</v>
      </c>
      <c r="L468">
        <v>231.62289999999999</v>
      </c>
      <c r="M468" t="s">
        <v>10</v>
      </c>
      <c r="N468" t="s">
        <v>11</v>
      </c>
      <c r="O468">
        <v>1.95</v>
      </c>
      <c r="P468">
        <v>719.93539999999996</v>
      </c>
      <c r="Q468">
        <v>2451.1381999999999</v>
      </c>
      <c r="R468" t="s">
        <v>10</v>
      </c>
      <c r="S468" t="s">
        <v>1288</v>
      </c>
      <c r="T468" s="4">
        <v>44838</v>
      </c>
      <c r="U468" s="5">
        <v>0.12465277777777778</v>
      </c>
      <c r="V468" t="s">
        <v>13</v>
      </c>
      <c r="W468">
        <v>1.1599999999999999</v>
      </c>
      <c r="X468">
        <v>3465.6026999999999</v>
      </c>
      <c r="Y468">
        <v>166137.2028</v>
      </c>
      <c r="Z468" t="s">
        <v>1689</v>
      </c>
      <c r="AA468">
        <v>2.2559999999999998</v>
      </c>
      <c r="AB468">
        <v>96.919799999999995</v>
      </c>
      <c r="AC468">
        <v>0.19850000000000001</v>
      </c>
      <c r="AD468" t="s">
        <v>10</v>
      </c>
    </row>
    <row r="469" spans="1:30">
      <c r="A469" s="2">
        <v>178</v>
      </c>
      <c r="B469" s="2" t="s">
        <v>196</v>
      </c>
      <c r="C469" s="2" t="s">
        <v>196</v>
      </c>
      <c r="D469" s="2">
        <v>468</v>
      </c>
      <c r="E469" s="2" t="s">
        <v>196</v>
      </c>
      <c r="F469" t="s">
        <v>1289</v>
      </c>
      <c r="G469" s="4">
        <v>44838</v>
      </c>
      <c r="H469" s="5">
        <v>0.12840277777777778</v>
      </c>
      <c r="I469" t="s">
        <v>9</v>
      </c>
      <c r="J469">
        <v>1.41</v>
      </c>
      <c r="K469">
        <v>0.42980000000000002</v>
      </c>
      <c r="L469">
        <v>2.1768999999999998</v>
      </c>
      <c r="M469" t="s">
        <v>10</v>
      </c>
      <c r="N469" t="s">
        <v>11</v>
      </c>
      <c r="O469">
        <v>1.95</v>
      </c>
      <c r="P469">
        <v>101.52119999999999</v>
      </c>
      <c r="Q469">
        <v>165.6361</v>
      </c>
      <c r="R469" t="s">
        <v>10</v>
      </c>
      <c r="S469" t="s">
        <v>1290</v>
      </c>
      <c r="T469" s="4">
        <v>44838</v>
      </c>
      <c r="U469" s="5">
        <v>0.12840277777777778</v>
      </c>
      <c r="V469" t="s">
        <v>13</v>
      </c>
      <c r="W469">
        <v>1.1659999999999999</v>
      </c>
      <c r="X469">
        <v>3096.4254000000001</v>
      </c>
      <c r="Y469">
        <v>123753.93210000001</v>
      </c>
      <c r="Z469" t="s">
        <v>1689</v>
      </c>
      <c r="AA469">
        <v>2.2599999999999998</v>
      </c>
      <c r="AB469">
        <v>58.001399999999997</v>
      </c>
      <c r="AC469">
        <v>3.9E-2</v>
      </c>
      <c r="AD469" t="s">
        <v>10</v>
      </c>
    </row>
    <row r="470" spans="1:30">
      <c r="A470" s="2">
        <v>179</v>
      </c>
      <c r="B470" s="2" t="s">
        <v>1291</v>
      </c>
      <c r="C470" s="2" t="s">
        <v>1292</v>
      </c>
      <c r="D470" s="2">
        <v>469</v>
      </c>
      <c r="E470" s="3" t="str">
        <f>D470&amp;"g"</f>
        <v>469g</v>
      </c>
      <c r="F470" t="s">
        <v>1293</v>
      </c>
      <c r="G470" s="4">
        <v>44838</v>
      </c>
      <c r="H470" s="5">
        <v>0.13216435185185185</v>
      </c>
      <c r="I470" t="s">
        <v>9</v>
      </c>
      <c r="J470">
        <v>1.4059999999999999</v>
      </c>
      <c r="K470">
        <v>89.744500000000002</v>
      </c>
      <c r="L470">
        <v>388.48270000000002</v>
      </c>
      <c r="M470" t="s">
        <v>10</v>
      </c>
      <c r="N470" t="s">
        <v>11</v>
      </c>
      <c r="O470">
        <v>1.956</v>
      </c>
      <c r="P470">
        <v>3140.6813999999999</v>
      </c>
      <c r="Q470">
        <v>11397.6016</v>
      </c>
      <c r="R470" t="s">
        <v>10</v>
      </c>
      <c r="S470" t="s">
        <v>1294</v>
      </c>
      <c r="T470" s="4">
        <v>44838</v>
      </c>
      <c r="U470" s="5">
        <v>0.13216435185185185</v>
      </c>
      <c r="V470" t="s">
        <v>13</v>
      </c>
      <c r="W470">
        <v>1.1559999999999999</v>
      </c>
      <c r="X470">
        <v>3296.145</v>
      </c>
      <c r="Y470">
        <v>144015.94140000001</v>
      </c>
      <c r="Z470" t="s">
        <v>1689</v>
      </c>
      <c r="AA470">
        <v>2.2530000000000001</v>
      </c>
      <c r="AB470">
        <v>162.63589999999999</v>
      </c>
      <c r="AC470">
        <v>0.46789999999999998</v>
      </c>
      <c r="AD470" t="s">
        <v>10</v>
      </c>
    </row>
    <row r="471" spans="1:30">
      <c r="A471" s="2">
        <v>180</v>
      </c>
      <c r="B471" s="2" t="s">
        <v>196</v>
      </c>
      <c r="C471" s="2" t="s">
        <v>196</v>
      </c>
      <c r="D471" s="2">
        <v>470</v>
      </c>
      <c r="E471" s="2" t="s">
        <v>196</v>
      </c>
      <c r="F471" t="s">
        <v>1295</v>
      </c>
      <c r="G471" s="4">
        <v>44838</v>
      </c>
      <c r="H471" s="5">
        <v>0.13591435185185186</v>
      </c>
      <c r="I471" t="s">
        <v>9</v>
      </c>
      <c r="J471">
        <v>1.4159999999999999</v>
      </c>
      <c r="K471">
        <v>0.4012</v>
      </c>
      <c r="L471">
        <v>2.0531999999999999</v>
      </c>
      <c r="M471" t="s">
        <v>10</v>
      </c>
      <c r="N471" t="s">
        <v>11</v>
      </c>
      <c r="O471">
        <v>1.96</v>
      </c>
      <c r="P471">
        <v>111.7633</v>
      </c>
      <c r="Q471">
        <v>203.48830000000001</v>
      </c>
      <c r="R471" t="s">
        <v>10</v>
      </c>
      <c r="S471" t="s">
        <v>1296</v>
      </c>
      <c r="T471" s="4">
        <v>44838</v>
      </c>
      <c r="U471" s="5">
        <v>0.13591435185185186</v>
      </c>
      <c r="V471" t="s">
        <v>13</v>
      </c>
      <c r="W471">
        <v>1.1659999999999999</v>
      </c>
      <c r="X471">
        <v>3204.6891999999998</v>
      </c>
      <c r="Y471">
        <v>134162.7255</v>
      </c>
      <c r="Z471" t="s">
        <v>1689</v>
      </c>
      <c r="AA471">
        <v>2.27</v>
      </c>
      <c r="AB471">
        <v>56.184600000000003</v>
      </c>
      <c r="AC471">
        <v>3.15E-2</v>
      </c>
      <c r="AD471" t="s">
        <v>10</v>
      </c>
    </row>
    <row r="472" spans="1:30">
      <c r="A472" s="2">
        <v>181</v>
      </c>
      <c r="B472" s="2" t="s">
        <v>1291</v>
      </c>
      <c r="C472" s="2" t="s">
        <v>1297</v>
      </c>
      <c r="D472" s="2">
        <v>471</v>
      </c>
      <c r="E472" s="3" t="str">
        <f>D472&amp;"g"</f>
        <v>471g</v>
      </c>
      <c r="F472" t="s">
        <v>1298</v>
      </c>
      <c r="G472" s="4">
        <v>44838</v>
      </c>
      <c r="H472" s="5">
        <v>0.13966435185185186</v>
      </c>
      <c r="I472" t="s">
        <v>9</v>
      </c>
      <c r="J472">
        <v>1.41</v>
      </c>
      <c r="K472">
        <v>1.546</v>
      </c>
      <c r="L472">
        <v>7.0046999999999997</v>
      </c>
      <c r="M472" t="s">
        <v>10</v>
      </c>
      <c r="N472" t="s">
        <v>11</v>
      </c>
      <c r="O472">
        <v>1.956</v>
      </c>
      <c r="P472">
        <v>1800.0118</v>
      </c>
      <c r="Q472">
        <v>6442.8266999999996</v>
      </c>
      <c r="R472" t="s">
        <v>10</v>
      </c>
      <c r="S472" t="s">
        <v>1299</v>
      </c>
      <c r="T472" s="4">
        <v>44838</v>
      </c>
      <c r="U472" s="5">
        <v>0.13966435185185186</v>
      </c>
      <c r="V472" t="s">
        <v>13</v>
      </c>
      <c r="W472">
        <v>1.1599999999999999</v>
      </c>
      <c r="X472">
        <v>3329.2541999999999</v>
      </c>
      <c r="Y472">
        <v>147841.1226</v>
      </c>
      <c r="Z472" t="s">
        <v>1689</v>
      </c>
      <c r="AA472">
        <v>2.2629999999999999</v>
      </c>
      <c r="AB472">
        <v>128.8818</v>
      </c>
      <c r="AC472">
        <v>0.32950000000000002</v>
      </c>
      <c r="AD472" t="s">
        <v>10</v>
      </c>
    </row>
    <row r="473" spans="1:30">
      <c r="A473" s="2">
        <v>182</v>
      </c>
      <c r="B473" s="2" t="s">
        <v>196</v>
      </c>
      <c r="C473" s="2" t="s">
        <v>196</v>
      </c>
      <c r="D473" s="2">
        <v>472</v>
      </c>
      <c r="E473" s="2" t="s">
        <v>196</v>
      </c>
      <c r="F473" t="s">
        <v>1300</v>
      </c>
      <c r="G473" s="4">
        <v>44838</v>
      </c>
      <c r="H473" s="5">
        <v>0.14342592592592593</v>
      </c>
      <c r="I473" t="s">
        <v>9</v>
      </c>
      <c r="J473">
        <v>1.4059999999999999</v>
      </c>
      <c r="K473">
        <v>0.28220000000000001</v>
      </c>
      <c r="L473">
        <v>1.5385</v>
      </c>
      <c r="M473" t="s">
        <v>10</v>
      </c>
      <c r="N473" t="s">
        <v>11</v>
      </c>
      <c r="O473">
        <v>1.946</v>
      </c>
      <c r="P473">
        <v>90.436400000000006</v>
      </c>
      <c r="Q473">
        <v>124.6695</v>
      </c>
      <c r="R473" t="s">
        <v>10</v>
      </c>
      <c r="S473" t="s">
        <v>1301</v>
      </c>
      <c r="T473" s="4">
        <v>44838</v>
      </c>
      <c r="U473" s="5">
        <v>0.14342592592592593</v>
      </c>
      <c r="V473" t="s">
        <v>13</v>
      </c>
      <c r="W473">
        <v>1.1559999999999999</v>
      </c>
      <c r="X473">
        <v>2903.7246</v>
      </c>
      <c r="Y473">
        <v>107352.25659999999</v>
      </c>
      <c r="Z473" t="s">
        <v>1689</v>
      </c>
      <c r="AA473">
        <v>2.2599999999999998</v>
      </c>
      <c r="AB473">
        <v>50.439599999999999</v>
      </c>
      <c r="AC473">
        <v>8.0000000000000002E-3</v>
      </c>
      <c r="AD473" t="s">
        <v>10</v>
      </c>
    </row>
    <row r="474" spans="1:30">
      <c r="A474" s="2">
        <v>183</v>
      </c>
      <c r="B474" s="2" t="s">
        <v>1291</v>
      </c>
      <c r="C474" s="2" t="s">
        <v>1302</v>
      </c>
      <c r="D474" s="2">
        <v>473</v>
      </c>
      <c r="E474" s="3" t="str">
        <f>D474&amp;"g"</f>
        <v>473g</v>
      </c>
      <c r="F474" t="s">
        <v>1303</v>
      </c>
      <c r="G474" s="4">
        <v>44838</v>
      </c>
      <c r="H474" s="5">
        <v>0.14717592592592593</v>
      </c>
      <c r="I474" t="s">
        <v>9</v>
      </c>
      <c r="J474">
        <v>1.4059999999999999</v>
      </c>
      <c r="K474">
        <v>2.4592000000000001</v>
      </c>
      <c r="L474">
        <v>10.954499999999999</v>
      </c>
      <c r="M474" t="s">
        <v>10</v>
      </c>
      <c r="N474" t="s">
        <v>11</v>
      </c>
      <c r="O474">
        <v>1.95</v>
      </c>
      <c r="P474">
        <v>1096.2704000000001</v>
      </c>
      <c r="Q474">
        <v>3841.9769000000001</v>
      </c>
      <c r="R474" t="s">
        <v>10</v>
      </c>
      <c r="S474" t="s">
        <v>1304</v>
      </c>
      <c r="T474" s="4">
        <v>44838</v>
      </c>
      <c r="U474" s="5">
        <v>0.14717592592592593</v>
      </c>
      <c r="V474" t="s">
        <v>13</v>
      </c>
      <c r="W474">
        <v>1.1599999999999999</v>
      </c>
      <c r="X474">
        <v>3320.8289</v>
      </c>
      <c r="Y474">
        <v>146810.26699999999</v>
      </c>
      <c r="Z474" t="s">
        <v>1689</v>
      </c>
      <c r="AA474">
        <v>2.2530000000000001</v>
      </c>
      <c r="AB474">
        <v>112.00920000000001</v>
      </c>
      <c r="AC474">
        <v>0.26029999999999998</v>
      </c>
      <c r="AD474" t="s">
        <v>10</v>
      </c>
    </row>
    <row r="475" spans="1:30">
      <c r="A475" s="2">
        <v>184</v>
      </c>
      <c r="B475" s="2" t="s">
        <v>196</v>
      </c>
      <c r="C475" s="2" t="s">
        <v>196</v>
      </c>
      <c r="D475" s="2">
        <v>474</v>
      </c>
      <c r="E475" s="2" t="s">
        <v>196</v>
      </c>
      <c r="F475" t="s">
        <v>1305</v>
      </c>
      <c r="G475" s="4">
        <v>44838</v>
      </c>
      <c r="H475" s="5">
        <v>0.1509375</v>
      </c>
      <c r="I475" t="s">
        <v>9</v>
      </c>
      <c r="J475">
        <v>1.4059999999999999</v>
      </c>
      <c r="K475">
        <v>0.25700000000000001</v>
      </c>
      <c r="L475">
        <v>1.4295</v>
      </c>
      <c r="M475" t="s">
        <v>10</v>
      </c>
      <c r="N475" t="s">
        <v>11</v>
      </c>
      <c r="O475">
        <v>1.9430000000000001</v>
      </c>
      <c r="P475">
        <v>83.056200000000004</v>
      </c>
      <c r="Q475">
        <v>97.394099999999995</v>
      </c>
      <c r="R475" t="s">
        <v>10</v>
      </c>
      <c r="S475" t="s">
        <v>1306</v>
      </c>
      <c r="T475" s="4">
        <v>44838</v>
      </c>
      <c r="U475" s="5">
        <v>0.1509375</v>
      </c>
      <c r="V475" t="s">
        <v>13</v>
      </c>
      <c r="W475">
        <v>1.1559999999999999</v>
      </c>
      <c r="X475">
        <v>2871.2134000000001</v>
      </c>
      <c r="Y475">
        <v>104823.7773</v>
      </c>
      <c r="Z475" t="s">
        <v>1689</v>
      </c>
      <c r="AA475">
        <v>2.2530000000000001</v>
      </c>
      <c r="AB475">
        <v>48.896000000000001</v>
      </c>
      <c r="AC475">
        <v>1.6000000000000001E-3</v>
      </c>
      <c r="AD475" t="s">
        <v>10</v>
      </c>
    </row>
    <row r="476" spans="1:30">
      <c r="A476" s="2">
        <v>185</v>
      </c>
      <c r="B476" s="2" t="s">
        <v>1291</v>
      </c>
      <c r="C476" s="2" t="s">
        <v>1307</v>
      </c>
      <c r="D476" s="2">
        <v>475</v>
      </c>
      <c r="E476" s="3" t="str">
        <f>D476&amp;"g"</f>
        <v>475g</v>
      </c>
      <c r="F476" t="s">
        <v>1308</v>
      </c>
      <c r="G476" s="4">
        <v>44838</v>
      </c>
      <c r="H476" s="5">
        <v>0.15468750000000001</v>
      </c>
      <c r="I476" t="s">
        <v>9</v>
      </c>
      <c r="J476">
        <v>1.403</v>
      </c>
      <c r="K476">
        <v>4.3895999999999997</v>
      </c>
      <c r="L476">
        <v>19.303899999999999</v>
      </c>
      <c r="M476" t="s">
        <v>10</v>
      </c>
      <c r="N476" t="s">
        <v>11</v>
      </c>
      <c r="O476">
        <v>1.9430000000000001</v>
      </c>
      <c r="P476">
        <v>668.73180000000002</v>
      </c>
      <c r="Q476">
        <v>2261.9025999999999</v>
      </c>
      <c r="R476" t="s">
        <v>10</v>
      </c>
      <c r="S476" t="s">
        <v>1309</v>
      </c>
      <c r="T476" s="4">
        <v>44838</v>
      </c>
      <c r="U476" s="5">
        <v>0.15468750000000001</v>
      </c>
      <c r="V476" t="s">
        <v>13</v>
      </c>
      <c r="W476">
        <v>1.1599999999999999</v>
      </c>
      <c r="X476">
        <v>3257.7494000000002</v>
      </c>
      <c r="Y476">
        <v>139709.71160000001</v>
      </c>
      <c r="Z476" t="s">
        <v>1689</v>
      </c>
      <c r="AA476">
        <v>2.25</v>
      </c>
      <c r="AB476">
        <v>95.027699999999996</v>
      </c>
      <c r="AC476">
        <v>0.19070000000000001</v>
      </c>
      <c r="AD476" t="s">
        <v>10</v>
      </c>
    </row>
    <row r="477" spans="1:30">
      <c r="A477" s="2">
        <v>186</v>
      </c>
      <c r="B477" s="2" t="s">
        <v>196</v>
      </c>
      <c r="C477" s="2" t="s">
        <v>196</v>
      </c>
      <c r="D477" s="2">
        <v>476</v>
      </c>
      <c r="E477" s="2" t="s">
        <v>196</v>
      </c>
      <c r="F477" t="s">
        <v>1310</v>
      </c>
      <c r="G477" s="4">
        <v>44838</v>
      </c>
      <c r="H477" s="5">
        <v>0.15844907407407408</v>
      </c>
      <c r="I477" t="s">
        <v>9</v>
      </c>
      <c r="J477">
        <v>1.4059999999999999</v>
      </c>
      <c r="K477">
        <v>0.3342</v>
      </c>
      <c r="L477">
        <v>1.7634000000000001</v>
      </c>
      <c r="M477" t="s">
        <v>10</v>
      </c>
      <c r="N477" t="s">
        <v>11</v>
      </c>
      <c r="O477">
        <v>1.95</v>
      </c>
      <c r="P477">
        <v>97.455799999999996</v>
      </c>
      <c r="Q477">
        <v>150.6114</v>
      </c>
      <c r="R477" t="s">
        <v>10</v>
      </c>
      <c r="S477" t="s">
        <v>1311</v>
      </c>
      <c r="T477" s="4">
        <v>44838</v>
      </c>
      <c r="U477" s="5">
        <v>0.15844907407407408</v>
      </c>
      <c r="V477" t="s">
        <v>13</v>
      </c>
      <c r="W477">
        <v>1.1599999999999999</v>
      </c>
      <c r="X477">
        <v>3031.1120999999998</v>
      </c>
      <c r="Y477">
        <v>117925.44990000001</v>
      </c>
      <c r="Z477" t="s">
        <v>1689</v>
      </c>
      <c r="AA477">
        <v>2.2599999999999998</v>
      </c>
      <c r="AB477">
        <v>55.378799999999998</v>
      </c>
      <c r="AC477">
        <v>2.8199999999999999E-2</v>
      </c>
      <c r="AD477" t="s">
        <v>10</v>
      </c>
    </row>
    <row r="478" spans="1:30">
      <c r="A478" s="2">
        <v>187</v>
      </c>
      <c r="B478" s="2" t="s">
        <v>1291</v>
      </c>
      <c r="C478" s="2" t="s">
        <v>1312</v>
      </c>
      <c r="D478" s="2">
        <v>477</v>
      </c>
      <c r="E478" s="3" t="str">
        <f>D478&amp;"g"</f>
        <v>477g</v>
      </c>
      <c r="F478" t="s">
        <v>1313</v>
      </c>
      <c r="G478" s="4">
        <v>44838</v>
      </c>
      <c r="H478" s="5">
        <v>0.16219907407407408</v>
      </c>
      <c r="I478" t="s">
        <v>9</v>
      </c>
      <c r="J478">
        <v>1.4059999999999999</v>
      </c>
      <c r="K478">
        <v>0.47260000000000002</v>
      </c>
      <c r="L478">
        <v>2.3620000000000001</v>
      </c>
      <c r="M478" t="s">
        <v>10</v>
      </c>
      <c r="N478" t="s">
        <v>11</v>
      </c>
      <c r="O478">
        <v>1.9530000000000001</v>
      </c>
      <c r="P478">
        <v>202.1481</v>
      </c>
      <c r="Q478">
        <v>537.52760000000001</v>
      </c>
      <c r="R478" t="s">
        <v>10</v>
      </c>
      <c r="S478" t="s">
        <v>1314</v>
      </c>
      <c r="T478" s="4">
        <v>44838</v>
      </c>
      <c r="U478" s="5">
        <v>0.16219907407407408</v>
      </c>
      <c r="V478" t="s">
        <v>13</v>
      </c>
      <c r="W478">
        <v>1.1599999999999999</v>
      </c>
      <c r="X478">
        <v>3461.6343999999999</v>
      </c>
      <c r="Y478">
        <v>165551.96290000001</v>
      </c>
      <c r="Z478" t="s">
        <v>1689</v>
      </c>
      <c r="AA478">
        <v>2.2629999999999999</v>
      </c>
      <c r="AB478">
        <v>79.667699999999996</v>
      </c>
      <c r="AC478">
        <v>0.1278</v>
      </c>
      <c r="AD478" t="s">
        <v>10</v>
      </c>
    </row>
    <row r="479" spans="1:30">
      <c r="A479" s="2">
        <v>188</v>
      </c>
      <c r="B479" s="2" t="s">
        <v>196</v>
      </c>
      <c r="C479" s="2" t="s">
        <v>196</v>
      </c>
      <c r="D479" s="2">
        <v>478</v>
      </c>
      <c r="E479" s="2" t="s">
        <v>196</v>
      </c>
      <c r="F479" t="s">
        <v>1315</v>
      </c>
      <c r="G479" s="4">
        <v>44838</v>
      </c>
      <c r="H479" s="5">
        <v>0.16594907407407408</v>
      </c>
      <c r="I479" t="s">
        <v>9</v>
      </c>
      <c r="J479">
        <v>1.4059999999999999</v>
      </c>
      <c r="K479">
        <v>0.34920000000000001</v>
      </c>
      <c r="L479">
        <v>1.8283</v>
      </c>
      <c r="M479" t="s">
        <v>10</v>
      </c>
      <c r="N479" t="s">
        <v>11</v>
      </c>
      <c r="O479">
        <v>1.95</v>
      </c>
      <c r="P479">
        <v>101.50960000000001</v>
      </c>
      <c r="Q479">
        <v>165.5932</v>
      </c>
      <c r="R479" t="s">
        <v>10</v>
      </c>
      <c r="S479" t="s">
        <v>1316</v>
      </c>
      <c r="T479" s="4">
        <v>44838</v>
      </c>
      <c r="U479" s="5">
        <v>0.16594907407407408</v>
      </c>
      <c r="V479" t="s">
        <v>13</v>
      </c>
      <c r="W479">
        <v>1.1599999999999999</v>
      </c>
      <c r="X479">
        <v>3109.8715999999999</v>
      </c>
      <c r="Y479">
        <v>124980.9915</v>
      </c>
      <c r="Z479" t="s">
        <v>1689</v>
      </c>
      <c r="AA479">
        <v>2.2629999999999999</v>
      </c>
      <c r="AB479">
        <v>58.390700000000002</v>
      </c>
      <c r="AC479">
        <v>4.0599999999999997E-2</v>
      </c>
      <c r="AD479" t="s">
        <v>10</v>
      </c>
    </row>
    <row r="480" spans="1:30">
      <c r="A480" s="2">
        <v>189</v>
      </c>
      <c r="B480" s="2" t="s">
        <v>1291</v>
      </c>
      <c r="C480" s="2" t="s">
        <v>1317</v>
      </c>
      <c r="D480" s="2">
        <v>479</v>
      </c>
      <c r="E480" s="3" t="str">
        <f>D480&amp;"g"</f>
        <v>479g</v>
      </c>
      <c r="F480" t="s">
        <v>1318</v>
      </c>
      <c r="G480" s="4">
        <v>44838</v>
      </c>
      <c r="H480" s="5">
        <v>0.16969907407407406</v>
      </c>
      <c r="I480" t="s">
        <v>9</v>
      </c>
      <c r="J480">
        <v>1.4059999999999999</v>
      </c>
      <c r="K480">
        <v>0.45979999999999999</v>
      </c>
      <c r="L480">
        <v>2.3067000000000002</v>
      </c>
      <c r="M480" t="s">
        <v>10</v>
      </c>
      <c r="N480" t="s">
        <v>11</v>
      </c>
      <c r="O480">
        <v>1.9530000000000001</v>
      </c>
      <c r="P480">
        <v>332.1429</v>
      </c>
      <c r="Q480">
        <v>1017.9554000000001</v>
      </c>
      <c r="R480" t="s">
        <v>10</v>
      </c>
      <c r="S480" t="s">
        <v>1319</v>
      </c>
      <c r="T480" s="4">
        <v>44838</v>
      </c>
      <c r="U480" s="5">
        <v>0.16969907407407406</v>
      </c>
      <c r="V480" t="s">
        <v>13</v>
      </c>
      <c r="W480">
        <v>1.1599999999999999</v>
      </c>
      <c r="X480">
        <v>3464.6568000000002</v>
      </c>
      <c r="Y480">
        <v>165997.70269999999</v>
      </c>
      <c r="Z480" t="s">
        <v>1689</v>
      </c>
      <c r="AA480">
        <v>2.266</v>
      </c>
      <c r="AB480">
        <v>85.922399999999996</v>
      </c>
      <c r="AC480">
        <v>0.15340000000000001</v>
      </c>
      <c r="AD480" t="s">
        <v>10</v>
      </c>
    </row>
    <row r="481" spans="1:30">
      <c r="A481" s="2">
        <v>190</v>
      </c>
      <c r="B481" s="2" t="s">
        <v>196</v>
      </c>
      <c r="C481" s="2" t="s">
        <v>196</v>
      </c>
      <c r="D481" s="2">
        <v>480</v>
      </c>
      <c r="E481" s="2" t="s">
        <v>196</v>
      </c>
      <c r="F481" t="s">
        <v>1320</v>
      </c>
      <c r="G481" s="4">
        <v>44838</v>
      </c>
      <c r="H481" s="5">
        <v>0.17344907407407406</v>
      </c>
      <c r="I481" t="s">
        <v>9</v>
      </c>
      <c r="J481">
        <v>1.41</v>
      </c>
      <c r="K481">
        <v>0.32979999999999998</v>
      </c>
      <c r="L481">
        <v>1.7444</v>
      </c>
      <c r="M481" t="s">
        <v>10</v>
      </c>
      <c r="N481" t="s">
        <v>11</v>
      </c>
      <c r="O481">
        <v>1.946</v>
      </c>
      <c r="P481">
        <v>87.720799999999997</v>
      </c>
      <c r="Q481">
        <v>114.63330000000001</v>
      </c>
      <c r="R481" t="s">
        <v>10</v>
      </c>
      <c r="S481" t="s">
        <v>1321</v>
      </c>
      <c r="T481" s="4">
        <v>44838</v>
      </c>
      <c r="U481" s="5">
        <v>0.17344907407407406</v>
      </c>
      <c r="V481" t="s">
        <v>13</v>
      </c>
      <c r="W481">
        <v>1.1599999999999999</v>
      </c>
      <c r="X481">
        <v>2934.6534999999999</v>
      </c>
      <c r="Y481">
        <v>109856.51059999999</v>
      </c>
      <c r="Z481" t="s">
        <v>1689</v>
      </c>
      <c r="AA481">
        <v>2.2629999999999999</v>
      </c>
      <c r="AB481">
        <v>50.46</v>
      </c>
      <c r="AC481">
        <v>8.0999999999999996E-3</v>
      </c>
      <c r="AD481" t="s">
        <v>10</v>
      </c>
    </row>
    <row r="482" spans="1:30">
      <c r="A482" s="2">
        <v>191</v>
      </c>
      <c r="B482" s="2" t="s">
        <v>1291</v>
      </c>
      <c r="C482" s="2" t="s">
        <v>1322</v>
      </c>
      <c r="D482" s="2">
        <v>481</v>
      </c>
      <c r="E482" s="3" t="s">
        <v>196</v>
      </c>
      <c r="F482" t="s">
        <v>1323</v>
      </c>
      <c r="G482" s="4">
        <v>44838</v>
      </c>
      <c r="H482" s="5">
        <v>0.17719907407407409</v>
      </c>
      <c r="I482" t="s">
        <v>9</v>
      </c>
      <c r="J482">
        <v>1.42</v>
      </c>
      <c r="K482">
        <v>0.39589999999999997</v>
      </c>
      <c r="L482">
        <v>2.0303</v>
      </c>
      <c r="M482" t="s">
        <v>10</v>
      </c>
      <c r="N482" t="s">
        <v>11</v>
      </c>
      <c r="O482">
        <v>1.9630000000000001</v>
      </c>
      <c r="P482">
        <v>99.486999999999995</v>
      </c>
      <c r="Q482">
        <v>158.1182</v>
      </c>
      <c r="R482" t="s">
        <v>10</v>
      </c>
      <c r="S482" t="s">
        <v>1324</v>
      </c>
      <c r="T482" s="4">
        <v>44838</v>
      </c>
      <c r="U482" s="5">
        <v>0.17719907407407409</v>
      </c>
      <c r="V482" t="s">
        <v>13</v>
      </c>
      <c r="W482">
        <v>1.17</v>
      </c>
      <c r="X482">
        <v>3181.0605999999998</v>
      </c>
      <c r="Y482">
        <v>131803.88329999999</v>
      </c>
      <c r="Z482" t="s">
        <v>1689</v>
      </c>
      <c r="AA482">
        <v>2.2759999999999998</v>
      </c>
      <c r="AB482">
        <v>57.718600000000002</v>
      </c>
      <c r="AC482">
        <v>3.78E-2</v>
      </c>
      <c r="AD482" t="s">
        <v>10</v>
      </c>
    </row>
    <row r="483" spans="1:30">
      <c r="A483" s="2">
        <v>192</v>
      </c>
      <c r="B483" s="2" t="s">
        <v>196</v>
      </c>
      <c r="C483" s="2" t="s">
        <v>196</v>
      </c>
      <c r="D483" s="2">
        <v>482</v>
      </c>
      <c r="E483" s="2" t="s">
        <v>196</v>
      </c>
      <c r="F483" t="s">
        <v>1325</v>
      </c>
      <c r="G483" s="4">
        <v>44838</v>
      </c>
      <c r="H483" s="5">
        <v>0.1809490740740741</v>
      </c>
      <c r="I483" t="s">
        <v>9</v>
      </c>
      <c r="J483">
        <v>1.41</v>
      </c>
      <c r="K483">
        <v>0.37159999999999999</v>
      </c>
      <c r="L483">
        <v>1.9252</v>
      </c>
      <c r="M483" t="s">
        <v>10</v>
      </c>
      <c r="N483" t="s">
        <v>11</v>
      </c>
      <c r="O483">
        <v>1.946</v>
      </c>
      <c r="P483">
        <v>98.523600000000002</v>
      </c>
      <c r="Q483">
        <v>154.55770000000001</v>
      </c>
      <c r="R483" t="s">
        <v>10</v>
      </c>
      <c r="S483" t="s">
        <v>1326</v>
      </c>
      <c r="T483" s="4">
        <v>44838</v>
      </c>
      <c r="U483" s="5">
        <v>0.1809490740740741</v>
      </c>
      <c r="V483" t="s">
        <v>13</v>
      </c>
      <c r="W483">
        <v>1.1559999999999999</v>
      </c>
      <c r="X483">
        <v>3106.0925000000002</v>
      </c>
      <c r="Y483">
        <v>124636.1223</v>
      </c>
      <c r="Z483" t="s">
        <v>1689</v>
      </c>
      <c r="AA483">
        <v>2.2599999999999998</v>
      </c>
      <c r="AB483">
        <v>57.756500000000003</v>
      </c>
      <c r="AC483">
        <v>3.7999999999999999E-2</v>
      </c>
      <c r="AD483" t="s">
        <v>10</v>
      </c>
    </row>
    <row r="484" spans="1:30">
      <c r="A484" s="2">
        <v>193</v>
      </c>
      <c r="B484" s="6" t="s">
        <v>238</v>
      </c>
      <c r="C484" s="6" t="s">
        <v>239</v>
      </c>
      <c r="D484" s="2">
        <v>483</v>
      </c>
      <c r="E484" s="7" t="s">
        <v>1327</v>
      </c>
      <c r="F484" t="s">
        <v>1328</v>
      </c>
      <c r="G484" s="4">
        <v>44838</v>
      </c>
      <c r="H484" s="5">
        <v>0.18471064814814817</v>
      </c>
      <c r="I484" t="s">
        <v>9</v>
      </c>
      <c r="J484">
        <v>1.4059999999999999</v>
      </c>
      <c r="K484">
        <v>0.68540000000000001</v>
      </c>
      <c r="L484">
        <v>3.2824</v>
      </c>
      <c r="M484" t="s">
        <v>10</v>
      </c>
      <c r="N484" t="s">
        <v>11</v>
      </c>
      <c r="O484">
        <v>1.946</v>
      </c>
      <c r="P484">
        <v>175.46019999999999</v>
      </c>
      <c r="Q484">
        <v>438.89589999999998</v>
      </c>
      <c r="R484" t="s">
        <v>10</v>
      </c>
      <c r="S484" t="s">
        <v>1329</v>
      </c>
      <c r="T484" s="4">
        <v>44838</v>
      </c>
      <c r="U484" s="5">
        <v>0.18471064814814817</v>
      </c>
      <c r="V484" t="s">
        <v>13</v>
      </c>
      <c r="W484">
        <v>1.1599999999999999</v>
      </c>
      <c r="X484">
        <v>3769.2453999999998</v>
      </c>
      <c r="Y484">
        <v>210918.0496</v>
      </c>
      <c r="Z484" t="s">
        <v>1689</v>
      </c>
      <c r="AA484">
        <v>2.2559999999999998</v>
      </c>
      <c r="AB484">
        <v>95.391999999999996</v>
      </c>
      <c r="AC484">
        <v>0.19220000000000001</v>
      </c>
      <c r="AD484" t="s">
        <v>10</v>
      </c>
    </row>
    <row r="485" spans="1:30">
      <c r="A485" s="2">
        <v>194</v>
      </c>
      <c r="B485" s="6" t="s">
        <v>196</v>
      </c>
      <c r="C485" s="6" t="s">
        <v>196</v>
      </c>
      <c r="D485" s="2">
        <v>484</v>
      </c>
      <c r="E485" s="6" t="s">
        <v>196</v>
      </c>
      <c r="F485" t="s">
        <v>1330</v>
      </c>
      <c r="G485" s="4">
        <v>44838</v>
      </c>
      <c r="H485" s="5">
        <v>0.18847222222222224</v>
      </c>
      <c r="I485" t="s">
        <v>9</v>
      </c>
      <c r="J485">
        <v>1.4159999999999999</v>
      </c>
      <c r="K485">
        <v>0.32340000000000002</v>
      </c>
      <c r="L485">
        <v>1.7166999999999999</v>
      </c>
      <c r="M485" t="s">
        <v>10</v>
      </c>
      <c r="N485" t="s">
        <v>11</v>
      </c>
      <c r="O485">
        <v>1.96</v>
      </c>
      <c r="P485">
        <v>88.327500000000001</v>
      </c>
      <c r="Q485">
        <v>116.8755</v>
      </c>
      <c r="R485" t="s">
        <v>10</v>
      </c>
      <c r="S485" t="s">
        <v>1331</v>
      </c>
      <c r="T485" s="4">
        <v>44838</v>
      </c>
      <c r="U485" s="5">
        <v>0.18847222222222224</v>
      </c>
      <c r="V485" t="s">
        <v>13</v>
      </c>
      <c r="W485">
        <v>1.1659999999999999</v>
      </c>
      <c r="X485">
        <v>3061.9587000000001</v>
      </c>
      <c r="Y485">
        <v>120608.6057</v>
      </c>
      <c r="Z485" t="s">
        <v>1689</v>
      </c>
      <c r="AA485">
        <v>2.27</v>
      </c>
      <c r="AB485">
        <v>50.945999999999998</v>
      </c>
      <c r="AC485">
        <v>0.01</v>
      </c>
      <c r="AD485" t="s">
        <v>10</v>
      </c>
    </row>
    <row r="486" spans="1:30">
      <c r="A486" s="2">
        <v>195</v>
      </c>
      <c r="B486" s="2" t="s">
        <v>1291</v>
      </c>
      <c r="C486" s="2" t="s">
        <v>1332</v>
      </c>
      <c r="D486" s="2">
        <v>485</v>
      </c>
      <c r="E486" s="3" t="str">
        <f>D486&amp;"g"</f>
        <v>485g</v>
      </c>
      <c r="F486" t="s">
        <v>1333</v>
      </c>
      <c r="G486" s="4">
        <v>44838</v>
      </c>
      <c r="H486" s="5">
        <v>0.19222222222222221</v>
      </c>
      <c r="I486" t="s">
        <v>9</v>
      </c>
      <c r="J486">
        <v>1.413</v>
      </c>
      <c r="K486">
        <v>48.898800000000001</v>
      </c>
      <c r="L486">
        <v>211.816</v>
      </c>
      <c r="M486" t="s">
        <v>10</v>
      </c>
      <c r="N486" t="s">
        <v>11</v>
      </c>
      <c r="O486">
        <v>1.96</v>
      </c>
      <c r="P486">
        <v>2459.8939</v>
      </c>
      <c r="Q486">
        <v>8881.5835999999999</v>
      </c>
      <c r="R486" t="s">
        <v>10</v>
      </c>
      <c r="S486" t="s">
        <v>1334</v>
      </c>
      <c r="T486" s="4">
        <v>44838</v>
      </c>
      <c r="U486" s="5">
        <v>0.19222222222222221</v>
      </c>
      <c r="V486" t="s">
        <v>13</v>
      </c>
      <c r="W486">
        <v>1.1659999999999999</v>
      </c>
      <c r="X486">
        <v>3345.8166000000001</v>
      </c>
      <c r="Y486">
        <v>149867.5716</v>
      </c>
      <c r="Z486" t="s">
        <v>1689</v>
      </c>
      <c r="AA486">
        <v>2.2599999999999998</v>
      </c>
      <c r="AB486">
        <v>151.14609999999999</v>
      </c>
      <c r="AC486">
        <v>0.42080000000000001</v>
      </c>
      <c r="AD486" t="s">
        <v>10</v>
      </c>
    </row>
    <row r="487" spans="1:30">
      <c r="A487" s="2">
        <v>196</v>
      </c>
      <c r="B487" s="2" t="s">
        <v>196</v>
      </c>
      <c r="C487" s="2" t="s">
        <v>196</v>
      </c>
      <c r="D487" s="2">
        <v>486</v>
      </c>
      <c r="E487" s="2" t="s">
        <v>196</v>
      </c>
      <c r="F487" t="s">
        <v>1335</v>
      </c>
      <c r="G487" s="4">
        <v>44838</v>
      </c>
      <c r="H487" s="5">
        <v>0.19597222222222221</v>
      </c>
      <c r="I487" t="s">
        <v>9</v>
      </c>
      <c r="J487">
        <v>1.42</v>
      </c>
      <c r="K487">
        <v>0.34570000000000001</v>
      </c>
      <c r="L487">
        <v>1.8130999999999999</v>
      </c>
      <c r="M487" t="s">
        <v>10</v>
      </c>
      <c r="N487" t="s">
        <v>11</v>
      </c>
      <c r="O487">
        <v>1.96</v>
      </c>
      <c r="P487">
        <v>100.1549</v>
      </c>
      <c r="Q487">
        <v>160.5866</v>
      </c>
      <c r="R487" t="s">
        <v>10</v>
      </c>
      <c r="S487" t="s">
        <v>1336</v>
      </c>
      <c r="T487" s="4">
        <v>44838</v>
      </c>
      <c r="U487" s="5">
        <v>0.19597222222222221</v>
      </c>
      <c r="V487" t="s">
        <v>13</v>
      </c>
      <c r="W487">
        <v>1.1659999999999999</v>
      </c>
      <c r="X487">
        <v>3142.7350000000001</v>
      </c>
      <c r="Y487">
        <v>128069.1106</v>
      </c>
      <c r="Z487" t="s">
        <v>1689</v>
      </c>
      <c r="AA487">
        <v>2.2759999999999998</v>
      </c>
      <c r="AB487">
        <v>56.853000000000002</v>
      </c>
      <c r="AC487">
        <v>3.4299999999999997E-2</v>
      </c>
      <c r="AD487" t="s">
        <v>10</v>
      </c>
    </row>
    <row r="488" spans="1:30">
      <c r="A488" s="2">
        <v>197</v>
      </c>
      <c r="B488" s="2" t="s">
        <v>1291</v>
      </c>
      <c r="C488" s="2" t="s">
        <v>1337</v>
      </c>
      <c r="D488" s="2">
        <v>487</v>
      </c>
      <c r="E488" s="3" t="str">
        <f>D488&amp;"g"</f>
        <v>487g</v>
      </c>
      <c r="F488" t="s">
        <v>1338</v>
      </c>
      <c r="G488" s="4">
        <v>44838</v>
      </c>
      <c r="H488" s="5">
        <v>0.19972222222222222</v>
      </c>
      <c r="I488" t="s">
        <v>9</v>
      </c>
      <c r="J488">
        <v>1.41</v>
      </c>
      <c r="K488">
        <v>589.255</v>
      </c>
      <c r="L488">
        <v>2548.9758000000002</v>
      </c>
      <c r="M488" t="s">
        <v>10</v>
      </c>
      <c r="N488" t="s">
        <v>11</v>
      </c>
      <c r="O488">
        <v>1.96</v>
      </c>
      <c r="P488">
        <v>8576.1762999999992</v>
      </c>
      <c r="Q488">
        <v>31485.812600000001</v>
      </c>
      <c r="R488" t="s">
        <v>10</v>
      </c>
      <c r="S488" t="s">
        <v>1339</v>
      </c>
      <c r="T488" s="4">
        <v>44838</v>
      </c>
      <c r="U488" s="5">
        <v>0.19972222222222222</v>
      </c>
      <c r="V488" t="s">
        <v>13</v>
      </c>
      <c r="W488">
        <v>1.1599999999999999</v>
      </c>
      <c r="X488">
        <v>2766.3067999999998</v>
      </c>
      <c r="Y488">
        <v>96945.954299999998</v>
      </c>
      <c r="Z488" t="s">
        <v>1689</v>
      </c>
      <c r="AA488">
        <v>2.2559999999999998</v>
      </c>
      <c r="AB488">
        <v>263.44170000000003</v>
      </c>
      <c r="AC488">
        <v>0.88100000000000001</v>
      </c>
      <c r="AD488" t="s">
        <v>10</v>
      </c>
    </row>
    <row r="489" spans="1:30">
      <c r="A489" s="2">
        <v>198</v>
      </c>
      <c r="B489" s="2" t="s">
        <v>196</v>
      </c>
      <c r="C489" s="2" t="s">
        <v>196</v>
      </c>
      <c r="D489" s="2">
        <v>488</v>
      </c>
      <c r="E489" s="2" t="s">
        <v>196</v>
      </c>
      <c r="F489" t="s">
        <v>1340</v>
      </c>
      <c r="G489" s="4">
        <v>44838</v>
      </c>
      <c r="H489" s="5">
        <v>0.20347222222222219</v>
      </c>
      <c r="I489" t="s">
        <v>9</v>
      </c>
      <c r="J489">
        <v>1.42</v>
      </c>
      <c r="K489">
        <v>0.42620000000000002</v>
      </c>
      <c r="L489">
        <v>2.1613000000000002</v>
      </c>
      <c r="M489" t="s">
        <v>10</v>
      </c>
      <c r="N489" t="s">
        <v>11</v>
      </c>
      <c r="O489">
        <v>1.9630000000000001</v>
      </c>
      <c r="P489">
        <v>91.784800000000004</v>
      </c>
      <c r="Q489">
        <v>129.65280000000001</v>
      </c>
      <c r="R489" t="s">
        <v>10</v>
      </c>
      <c r="S489" t="s">
        <v>1341</v>
      </c>
      <c r="T489" s="4">
        <v>44838</v>
      </c>
      <c r="U489" s="5">
        <v>0.20347222222222219</v>
      </c>
      <c r="V489" t="s">
        <v>13</v>
      </c>
      <c r="W489">
        <v>1.17</v>
      </c>
      <c r="X489">
        <v>2987.5659999999998</v>
      </c>
      <c r="Y489">
        <v>114188.96829999999</v>
      </c>
      <c r="Z489" t="s">
        <v>1689</v>
      </c>
      <c r="AA489">
        <v>2.2730000000000001</v>
      </c>
      <c r="AB489">
        <v>50.645400000000002</v>
      </c>
      <c r="AC489">
        <v>8.8000000000000005E-3</v>
      </c>
      <c r="AD489" t="s">
        <v>10</v>
      </c>
    </row>
    <row r="490" spans="1:30">
      <c r="A490" s="2">
        <v>199</v>
      </c>
      <c r="B490" s="2" t="s">
        <v>1291</v>
      </c>
      <c r="C490" s="2" t="s">
        <v>1342</v>
      </c>
      <c r="D490" s="2">
        <v>489</v>
      </c>
      <c r="E490" s="3" t="str">
        <f>D490&amp;"g"</f>
        <v>489g</v>
      </c>
      <c r="F490" t="s">
        <v>1343</v>
      </c>
      <c r="G490" s="4">
        <v>44838</v>
      </c>
      <c r="H490" s="5">
        <v>0.20723379629629632</v>
      </c>
      <c r="I490" t="s">
        <v>9</v>
      </c>
      <c r="J490">
        <v>1.413</v>
      </c>
      <c r="K490">
        <v>0.68679999999999997</v>
      </c>
      <c r="L490">
        <v>3.2885</v>
      </c>
      <c r="M490" t="s">
        <v>10</v>
      </c>
      <c r="N490" t="s">
        <v>11</v>
      </c>
      <c r="O490">
        <v>1.96</v>
      </c>
      <c r="P490">
        <v>1463.7485999999999</v>
      </c>
      <c r="Q490">
        <v>5200.0832</v>
      </c>
      <c r="R490" t="s">
        <v>10</v>
      </c>
      <c r="S490" t="s">
        <v>1344</v>
      </c>
      <c r="T490" s="4">
        <v>44838</v>
      </c>
      <c r="U490" s="5">
        <v>0.20723379629629632</v>
      </c>
      <c r="V490" t="s">
        <v>13</v>
      </c>
      <c r="W490">
        <v>1.1659999999999999</v>
      </c>
      <c r="X490">
        <v>3379.7498000000001</v>
      </c>
      <c r="Y490">
        <v>154083.2604</v>
      </c>
      <c r="Z490" t="s">
        <v>1689</v>
      </c>
      <c r="AA490">
        <v>2.2629999999999999</v>
      </c>
      <c r="AB490">
        <v>124.25839999999999</v>
      </c>
      <c r="AC490">
        <v>0.3105</v>
      </c>
      <c r="AD490" t="s">
        <v>10</v>
      </c>
    </row>
    <row r="491" spans="1:30">
      <c r="A491" s="2">
        <v>200</v>
      </c>
      <c r="B491" s="2" t="s">
        <v>196</v>
      </c>
      <c r="C491" s="2" t="s">
        <v>196</v>
      </c>
      <c r="D491" s="2">
        <v>490</v>
      </c>
      <c r="E491" s="2" t="s">
        <v>196</v>
      </c>
      <c r="F491" t="s">
        <v>1345</v>
      </c>
      <c r="G491" s="4">
        <v>44838</v>
      </c>
      <c r="H491" s="5">
        <v>0.21098379629629629</v>
      </c>
      <c r="I491" t="s">
        <v>9</v>
      </c>
      <c r="J491">
        <v>1.41</v>
      </c>
      <c r="K491">
        <v>0.31290000000000001</v>
      </c>
      <c r="L491">
        <v>1.6713</v>
      </c>
      <c r="M491" t="s">
        <v>10</v>
      </c>
      <c r="N491" t="s">
        <v>11</v>
      </c>
      <c r="O491">
        <v>1.946</v>
      </c>
      <c r="P491">
        <v>101.32989999999999</v>
      </c>
      <c r="Q491">
        <v>164.92910000000001</v>
      </c>
      <c r="R491" t="s">
        <v>10</v>
      </c>
      <c r="S491" t="s">
        <v>1346</v>
      </c>
      <c r="T491" s="4">
        <v>44838</v>
      </c>
      <c r="U491" s="5">
        <v>0.21098379629629629</v>
      </c>
      <c r="V491" t="s">
        <v>13</v>
      </c>
      <c r="W491">
        <v>1.1599999999999999</v>
      </c>
      <c r="X491">
        <v>3048.3721999999998</v>
      </c>
      <c r="Y491">
        <v>119406.4562</v>
      </c>
      <c r="Z491" t="s">
        <v>1689</v>
      </c>
      <c r="AA491">
        <v>2.2559999999999998</v>
      </c>
      <c r="AB491">
        <v>57.713799999999999</v>
      </c>
      <c r="AC491">
        <v>3.78E-2</v>
      </c>
      <c r="AD491" t="s">
        <v>10</v>
      </c>
    </row>
    <row r="492" spans="1:30">
      <c r="A492" s="2">
        <v>201</v>
      </c>
      <c r="B492" s="2" t="s">
        <v>1291</v>
      </c>
      <c r="C492" s="2" t="s">
        <v>1347</v>
      </c>
      <c r="D492" s="2">
        <v>491</v>
      </c>
      <c r="E492" s="3" t="str">
        <f>D492&amp;"g"</f>
        <v>491g</v>
      </c>
      <c r="F492" t="s">
        <v>1348</v>
      </c>
      <c r="G492" s="4">
        <v>44838</v>
      </c>
      <c r="H492" s="5">
        <v>0.21474537037037036</v>
      </c>
      <c r="I492" t="s">
        <v>9</v>
      </c>
      <c r="J492">
        <v>1.4059999999999999</v>
      </c>
      <c r="K492">
        <v>0.63300000000000001</v>
      </c>
      <c r="L492">
        <v>3.0558000000000001</v>
      </c>
      <c r="M492" t="s">
        <v>10</v>
      </c>
      <c r="N492" t="s">
        <v>11</v>
      </c>
      <c r="O492">
        <v>1.956</v>
      </c>
      <c r="P492">
        <v>3266.9807999999998</v>
      </c>
      <c r="Q492">
        <v>11864.3722</v>
      </c>
      <c r="R492" t="s">
        <v>10</v>
      </c>
      <c r="S492" t="s">
        <v>1349</v>
      </c>
      <c r="T492" s="4">
        <v>44838</v>
      </c>
      <c r="U492" s="5">
        <v>0.21474537037037036</v>
      </c>
      <c r="V492" t="s">
        <v>13</v>
      </c>
      <c r="W492">
        <v>1.1559999999999999</v>
      </c>
      <c r="X492">
        <v>3196.4400999999998</v>
      </c>
      <c r="Y492">
        <v>133302.59270000001</v>
      </c>
      <c r="Z492" t="s">
        <v>1689</v>
      </c>
      <c r="AA492">
        <v>2.2530000000000001</v>
      </c>
      <c r="AB492">
        <v>174.13399999999999</v>
      </c>
      <c r="AC492">
        <v>0.51500000000000001</v>
      </c>
      <c r="AD492" t="s">
        <v>10</v>
      </c>
    </row>
    <row r="493" spans="1:30">
      <c r="A493" s="2">
        <v>202</v>
      </c>
      <c r="B493" s="2" t="s">
        <v>196</v>
      </c>
      <c r="C493" s="2" t="s">
        <v>196</v>
      </c>
      <c r="D493" s="2">
        <v>492</v>
      </c>
      <c r="E493" s="2" t="s">
        <v>196</v>
      </c>
      <c r="F493" t="s">
        <v>1350</v>
      </c>
      <c r="G493" s="4">
        <v>44838</v>
      </c>
      <c r="H493" s="5">
        <v>0.21849537037037037</v>
      </c>
      <c r="I493" t="s">
        <v>9</v>
      </c>
      <c r="J493">
        <v>1.4059999999999999</v>
      </c>
      <c r="K493">
        <v>0.26200000000000001</v>
      </c>
      <c r="L493">
        <v>1.4511000000000001</v>
      </c>
      <c r="M493" t="s">
        <v>10</v>
      </c>
      <c r="N493" t="s">
        <v>11</v>
      </c>
      <c r="O493">
        <v>1.9530000000000001</v>
      </c>
      <c r="P493">
        <v>92.715999999999994</v>
      </c>
      <c r="Q493">
        <v>133.0943</v>
      </c>
      <c r="R493" t="s">
        <v>10</v>
      </c>
      <c r="S493" t="s">
        <v>1351</v>
      </c>
      <c r="T493" s="4">
        <v>44838</v>
      </c>
      <c r="U493" s="5">
        <v>0.21849537037037037</v>
      </c>
      <c r="V493" t="s">
        <v>13</v>
      </c>
      <c r="W493">
        <v>1.163</v>
      </c>
      <c r="X493">
        <v>3007.3062</v>
      </c>
      <c r="Y493">
        <v>115882.78</v>
      </c>
      <c r="Z493" t="s">
        <v>1689</v>
      </c>
      <c r="AA493">
        <v>2.266</v>
      </c>
      <c r="AB493">
        <v>51.163499999999999</v>
      </c>
      <c r="AC493">
        <v>1.09E-2</v>
      </c>
      <c r="AD493" t="s">
        <v>10</v>
      </c>
    </row>
    <row r="494" spans="1:30">
      <c r="A494" s="2">
        <v>203</v>
      </c>
      <c r="B494" s="2" t="s">
        <v>1291</v>
      </c>
      <c r="C494" s="2" t="s">
        <v>1352</v>
      </c>
      <c r="D494" s="2">
        <v>493</v>
      </c>
      <c r="E494" s="3" t="str">
        <f>D494&amp;"g"</f>
        <v>493g</v>
      </c>
      <c r="F494" t="s">
        <v>1353</v>
      </c>
      <c r="G494" s="4">
        <v>44838</v>
      </c>
      <c r="H494" s="5">
        <v>0.22224537037037037</v>
      </c>
      <c r="I494" t="s">
        <v>9</v>
      </c>
      <c r="J494">
        <v>1.4059999999999999</v>
      </c>
      <c r="K494">
        <v>2.3601999999999999</v>
      </c>
      <c r="L494">
        <v>10.526300000000001</v>
      </c>
      <c r="M494" t="s">
        <v>10</v>
      </c>
      <c r="N494" t="s">
        <v>11</v>
      </c>
      <c r="O494">
        <v>1.9530000000000001</v>
      </c>
      <c r="P494">
        <v>1340.8688999999999</v>
      </c>
      <c r="Q494">
        <v>4745.9508999999998</v>
      </c>
      <c r="R494" t="s">
        <v>10</v>
      </c>
      <c r="S494" t="s">
        <v>1354</v>
      </c>
      <c r="T494" s="4">
        <v>44838</v>
      </c>
      <c r="U494" s="5">
        <v>0.22224537037037037</v>
      </c>
      <c r="V494" t="s">
        <v>13</v>
      </c>
      <c r="W494">
        <v>1.1599999999999999</v>
      </c>
      <c r="X494">
        <v>3486.7736</v>
      </c>
      <c r="Y494">
        <v>169259.4608</v>
      </c>
      <c r="Z494" t="s">
        <v>1689</v>
      </c>
      <c r="AA494">
        <v>2.2530000000000001</v>
      </c>
      <c r="AB494">
        <v>121.25</v>
      </c>
      <c r="AC494">
        <v>0.29820000000000002</v>
      </c>
      <c r="AD494" t="s">
        <v>10</v>
      </c>
    </row>
    <row r="495" spans="1:30">
      <c r="A495" s="2">
        <v>204</v>
      </c>
      <c r="B495" s="2" t="s">
        <v>196</v>
      </c>
      <c r="C495" s="2" t="s">
        <v>196</v>
      </c>
      <c r="D495" s="2">
        <v>494</v>
      </c>
      <c r="E495" s="2" t="s">
        <v>196</v>
      </c>
      <c r="F495" t="s">
        <v>1355</v>
      </c>
      <c r="G495" s="4">
        <v>44838</v>
      </c>
      <c r="H495" s="5">
        <v>0.22599537037037035</v>
      </c>
      <c r="I495" t="s">
        <v>9</v>
      </c>
      <c r="J495">
        <v>1.413</v>
      </c>
      <c r="K495">
        <v>0.33539999999999998</v>
      </c>
      <c r="L495">
        <v>1.7685999999999999</v>
      </c>
      <c r="M495" t="s">
        <v>10</v>
      </c>
      <c r="N495" t="s">
        <v>11</v>
      </c>
      <c r="O495">
        <v>1.9530000000000001</v>
      </c>
      <c r="P495">
        <v>101.56780000000001</v>
      </c>
      <c r="Q495">
        <v>165.8083</v>
      </c>
      <c r="R495" t="s">
        <v>10</v>
      </c>
      <c r="S495" t="s">
        <v>1356</v>
      </c>
      <c r="T495" s="4">
        <v>44838</v>
      </c>
      <c r="U495" s="5">
        <v>0.22599537037037035</v>
      </c>
      <c r="V495" t="s">
        <v>13</v>
      </c>
      <c r="W495">
        <v>1.1659999999999999</v>
      </c>
      <c r="X495">
        <v>3099.8822</v>
      </c>
      <c r="Y495">
        <v>124069.38920000001</v>
      </c>
      <c r="Z495" t="s">
        <v>1689</v>
      </c>
      <c r="AA495">
        <v>2.266</v>
      </c>
      <c r="AB495">
        <v>57.2378</v>
      </c>
      <c r="AC495">
        <v>3.5799999999999998E-2</v>
      </c>
      <c r="AD495" t="s">
        <v>10</v>
      </c>
    </row>
    <row r="496" spans="1:30">
      <c r="A496" s="2">
        <v>205</v>
      </c>
      <c r="B496" s="2" t="s">
        <v>1291</v>
      </c>
      <c r="C496" s="2" t="s">
        <v>1357</v>
      </c>
      <c r="D496" s="2">
        <v>495</v>
      </c>
      <c r="E496" s="3" t="str">
        <f>D496&amp;"g"</f>
        <v>495g</v>
      </c>
      <c r="F496" t="s">
        <v>1358</v>
      </c>
      <c r="G496" s="4">
        <v>44838</v>
      </c>
      <c r="H496" s="5">
        <v>0.22975694444444442</v>
      </c>
      <c r="I496" t="s">
        <v>9</v>
      </c>
      <c r="J496">
        <v>1.41</v>
      </c>
      <c r="K496">
        <v>2.4790000000000001</v>
      </c>
      <c r="L496">
        <v>11.040100000000001</v>
      </c>
      <c r="M496" t="s">
        <v>10</v>
      </c>
      <c r="N496" t="s">
        <v>11</v>
      </c>
      <c r="O496">
        <v>1.96</v>
      </c>
      <c r="P496">
        <v>2578.86</v>
      </c>
      <c r="Q496">
        <v>9321.2522000000008</v>
      </c>
      <c r="R496" t="s">
        <v>10</v>
      </c>
      <c r="S496" t="s">
        <v>1359</v>
      </c>
      <c r="T496" s="4">
        <v>44838</v>
      </c>
      <c r="U496" s="5">
        <v>0.22975694444444442</v>
      </c>
      <c r="V496" t="s">
        <v>13</v>
      </c>
      <c r="W496">
        <v>1.163</v>
      </c>
      <c r="X496">
        <v>3391.1635999999999</v>
      </c>
      <c r="Y496">
        <v>155609.80710000001</v>
      </c>
      <c r="Z496" t="s">
        <v>1689</v>
      </c>
      <c r="AA496">
        <v>2.2599999999999998</v>
      </c>
      <c r="AB496">
        <v>154.48599999999999</v>
      </c>
      <c r="AC496">
        <v>0.43440000000000001</v>
      </c>
      <c r="AD496" t="s">
        <v>10</v>
      </c>
    </row>
    <row r="497" spans="1:30">
      <c r="A497" s="2">
        <v>206</v>
      </c>
      <c r="B497" s="2" t="s">
        <v>196</v>
      </c>
      <c r="C497" s="2" t="s">
        <v>196</v>
      </c>
      <c r="D497" s="2">
        <v>496</v>
      </c>
      <c r="E497" s="2" t="s">
        <v>196</v>
      </c>
      <c r="F497" t="s">
        <v>1360</v>
      </c>
      <c r="G497" s="4">
        <v>44838</v>
      </c>
      <c r="H497" s="5">
        <v>0.23350694444444445</v>
      </c>
      <c r="I497" t="s">
        <v>9</v>
      </c>
      <c r="J497">
        <v>1.4059999999999999</v>
      </c>
      <c r="K497">
        <v>0.30349999999999999</v>
      </c>
      <c r="L497">
        <v>1.6306</v>
      </c>
      <c r="M497" t="s">
        <v>10</v>
      </c>
      <c r="N497" t="s">
        <v>11</v>
      </c>
      <c r="O497">
        <v>1.946</v>
      </c>
      <c r="P497">
        <v>109.02249999999999</v>
      </c>
      <c r="Q497">
        <v>193.35900000000001</v>
      </c>
      <c r="R497" t="s">
        <v>10</v>
      </c>
      <c r="S497" t="s">
        <v>1361</v>
      </c>
      <c r="T497" s="4">
        <v>44838</v>
      </c>
      <c r="U497" s="5">
        <v>0.23350694444444445</v>
      </c>
      <c r="V497" t="s">
        <v>13</v>
      </c>
      <c r="W497">
        <v>1.1599999999999999</v>
      </c>
      <c r="X497">
        <v>3088.4173999999998</v>
      </c>
      <c r="Y497">
        <v>123023.14629999999</v>
      </c>
      <c r="Z497" t="s">
        <v>1689</v>
      </c>
      <c r="AA497">
        <v>2.2559999999999998</v>
      </c>
      <c r="AB497">
        <v>58.357900000000001</v>
      </c>
      <c r="AC497">
        <v>4.0399999999999998E-2</v>
      </c>
      <c r="AD497" t="s">
        <v>10</v>
      </c>
    </row>
    <row r="498" spans="1:30">
      <c r="A498" s="2">
        <v>207</v>
      </c>
      <c r="B498" s="2" t="s">
        <v>1291</v>
      </c>
      <c r="C498" s="2" t="s">
        <v>1362</v>
      </c>
      <c r="D498" s="2">
        <v>497</v>
      </c>
      <c r="E498" s="3" t="str">
        <f>D498&amp;"g"</f>
        <v>497g</v>
      </c>
      <c r="F498" t="s">
        <v>1363</v>
      </c>
      <c r="G498" s="4">
        <v>44838</v>
      </c>
      <c r="H498" s="5">
        <v>0.23726851851851852</v>
      </c>
      <c r="I498" t="s">
        <v>9</v>
      </c>
      <c r="J498">
        <v>1.413</v>
      </c>
      <c r="K498">
        <v>0.5323</v>
      </c>
      <c r="L498">
        <v>2.6202000000000001</v>
      </c>
      <c r="M498" t="s">
        <v>10</v>
      </c>
      <c r="N498" t="s">
        <v>11</v>
      </c>
      <c r="O498">
        <v>1.96</v>
      </c>
      <c r="P498">
        <v>943.178</v>
      </c>
      <c r="Q498">
        <v>3276.1862000000001</v>
      </c>
      <c r="R498" t="s">
        <v>10</v>
      </c>
      <c r="S498" t="s">
        <v>1364</v>
      </c>
      <c r="T498" s="4">
        <v>44838</v>
      </c>
      <c r="U498" s="5">
        <v>0.23726851851851852</v>
      </c>
      <c r="V498" t="s">
        <v>13</v>
      </c>
      <c r="W498">
        <v>1.1659999999999999</v>
      </c>
      <c r="X498">
        <v>3467.1695</v>
      </c>
      <c r="Y498">
        <v>166368.27249999999</v>
      </c>
      <c r="Z498" t="s">
        <v>1689</v>
      </c>
      <c r="AA498">
        <v>2.2629999999999999</v>
      </c>
      <c r="AB498">
        <v>107.5479</v>
      </c>
      <c r="AC498">
        <v>0.24210000000000001</v>
      </c>
      <c r="AD498" t="s">
        <v>10</v>
      </c>
    </row>
    <row r="499" spans="1:30">
      <c r="A499" s="2">
        <v>208</v>
      </c>
      <c r="B499" s="2" t="s">
        <v>196</v>
      </c>
      <c r="C499" s="2" t="s">
        <v>196</v>
      </c>
      <c r="D499" s="2">
        <v>498</v>
      </c>
      <c r="E499" s="2" t="s">
        <v>196</v>
      </c>
      <c r="F499" t="s">
        <v>1365</v>
      </c>
      <c r="G499" s="4">
        <v>44838</v>
      </c>
      <c r="H499" s="5">
        <v>0.24103009259259259</v>
      </c>
      <c r="I499" t="s">
        <v>9</v>
      </c>
      <c r="J499">
        <v>1.4059999999999999</v>
      </c>
      <c r="K499">
        <v>0.35699999999999998</v>
      </c>
      <c r="L499">
        <v>1.8620000000000001</v>
      </c>
      <c r="M499" t="s">
        <v>10</v>
      </c>
      <c r="N499" t="s">
        <v>11</v>
      </c>
      <c r="O499">
        <v>1.95</v>
      </c>
      <c r="P499">
        <v>100.45740000000001</v>
      </c>
      <c r="Q499">
        <v>161.7046</v>
      </c>
      <c r="R499" t="s">
        <v>10</v>
      </c>
      <c r="S499" t="s">
        <v>1366</v>
      </c>
      <c r="T499" s="4">
        <v>44838</v>
      </c>
      <c r="U499" s="5">
        <v>0.24103009259259259</v>
      </c>
      <c r="V499" t="s">
        <v>13</v>
      </c>
      <c r="W499">
        <v>1.1599999999999999</v>
      </c>
      <c r="X499">
        <v>3124.1466</v>
      </c>
      <c r="Y499">
        <v>126283.6847</v>
      </c>
      <c r="Z499" t="s">
        <v>1689</v>
      </c>
      <c r="AA499">
        <v>2.2559999999999998</v>
      </c>
      <c r="AB499">
        <v>58.018000000000001</v>
      </c>
      <c r="AC499">
        <v>3.9E-2</v>
      </c>
      <c r="AD499" t="s">
        <v>10</v>
      </c>
    </row>
    <row r="500" spans="1:30">
      <c r="A500" s="2">
        <v>209</v>
      </c>
      <c r="B500" s="2" t="s">
        <v>1291</v>
      </c>
      <c r="C500" s="2" t="s">
        <v>1367</v>
      </c>
      <c r="D500" s="2">
        <v>499</v>
      </c>
      <c r="E500" s="3" t="str">
        <f>D500&amp;"g"</f>
        <v>499g</v>
      </c>
      <c r="F500" t="s">
        <v>1368</v>
      </c>
      <c r="G500" s="4">
        <v>44838</v>
      </c>
      <c r="H500" s="5">
        <v>0.24478009259259259</v>
      </c>
      <c r="I500" t="s">
        <v>9</v>
      </c>
      <c r="J500">
        <v>1.41</v>
      </c>
      <c r="K500">
        <v>0.82199999999999995</v>
      </c>
      <c r="L500">
        <v>3.8732000000000002</v>
      </c>
      <c r="M500" t="s">
        <v>10</v>
      </c>
      <c r="N500" t="s">
        <v>11</v>
      </c>
      <c r="O500">
        <v>1.96</v>
      </c>
      <c r="P500">
        <v>3674.3611999999998</v>
      </c>
      <c r="Q500">
        <v>13369.9468</v>
      </c>
      <c r="R500" t="s">
        <v>10</v>
      </c>
      <c r="S500" t="s">
        <v>1369</v>
      </c>
      <c r="T500" s="4">
        <v>44838</v>
      </c>
      <c r="U500" s="5">
        <v>0.24478009259259259</v>
      </c>
      <c r="V500" t="s">
        <v>13</v>
      </c>
      <c r="W500">
        <v>1.1599999999999999</v>
      </c>
      <c r="X500">
        <v>3289.7898</v>
      </c>
      <c r="Y500">
        <v>143299.40659999999</v>
      </c>
      <c r="Z500" t="s">
        <v>1689</v>
      </c>
      <c r="AA500">
        <v>2.2559999999999998</v>
      </c>
      <c r="AB500">
        <v>183.74610000000001</v>
      </c>
      <c r="AC500">
        <v>0.5544</v>
      </c>
      <c r="AD500" t="s">
        <v>10</v>
      </c>
    </row>
    <row r="501" spans="1:30">
      <c r="A501" s="2">
        <v>210</v>
      </c>
      <c r="B501" s="2" t="s">
        <v>196</v>
      </c>
      <c r="C501" s="2" t="s">
        <v>196</v>
      </c>
      <c r="D501" s="2">
        <v>500</v>
      </c>
      <c r="E501" s="2" t="s">
        <v>196</v>
      </c>
      <c r="F501" t="s">
        <v>1370</v>
      </c>
      <c r="G501" s="4">
        <v>44838</v>
      </c>
      <c r="H501" s="5">
        <v>0.24854166666666666</v>
      </c>
      <c r="I501" t="s">
        <v>9</v>
      </c>
      <c r="J501">
        <v>1.4159999999999999</v>
      </c>
      <c r="K501">
        <v>0.307</v>
      </c>
      <c r="L501">
        <v>1.6457999999999999</v>
      </c>
      <c r="M501" t="s">
        <v>10</v>
      </c>
      <c r="N501" t="s">
        <v>11</v>
      </c>
      <c r="O501">
        <v>1.96</v>
      </c>
      <c r="P501">
        <v>116.07340000000001</v>
      </c>
      <c r="Q501">
        <v>219.41730000000001</v>
      </c>
      <c r="R501" t="s">
        <v>10</v>
      </c>
      <c r="S501" t="s">
        <v>1371</v>
      </c>
      <c r="T501" s="4">
        <v>44838</v>
      </c>
      <c r="U501" s="5">
        <v>0.24854166666666666</v>
      </c>
      <c r="V501" t="s">
        <v>13</v>
      </c>
      <c r="W501">
        <v>1.17</v>
      </c>
      <c r="X501">
        <v>3268.8076000000001</v>
      </c>
      <c r="Y501">
        <v>140933.70970000001</v>
      </c>
      <c r="Z501" t="s">
        <v>1689</v>
      </c>
      <c r="AA501">
        <v>2.2730000000000001</v>
      </c>
      <c r="AB501">
        <v>61.906300000000002</v>
      </c>
      <c r="AC501">
        <v>5.5E-2</v>
      </c>
      <c r="AD501" t="s">
        <v>10</v>
      </c>
    </row>
    <row r="502" spans="1:30">
      <c r="A502" s="2">
        <v>211</v>
      </c>
      <c r="B502" s="2" t="s">
        <v>1291</v>
      </c>
      <c r="C502" s="2" t="s">
        <v>1372</v>
      </c>
      <c r="D502" s="2">
        <v>501</v>
      </c>
      <c r="E502" s="3" t="str">
        <f>D502&amp;"g"</f>
        <v>501g</v>
      </c>
      <c r="F502" t="s">
        <v>1373</v>
      </c>
      <c r="G502" s="4">
        <v>44838</v>
      </c>
      <c r="H502" s="5">
        <v>0.25229166666666664</v>
      </c>
      <c r="I502" t="s">
        <v>9</v>
      </c>
      <c r="J502">
        <v>1.42</v>
      </c>
      <c r="K502">
        <v>0.71479999999999999</v>
      </c>
      <c r="L502">
        <v>3.4096000000000002</v>
      </c>
      <c r="M502" t="s">
        <v>10</v>
      </c>
      <c r="N502" t="s">
        <v>11</v>
      </c>
      <c r="O502">
        <v>1.9730000000000001</v>
      </c>
      <c r="P502">
        <v>3142.3987000000002</v>
      </c>
      <c r="Q502">
        <v>11403.9483</v>
      </c>
      <c r="R502" t="s">
        <v>10</v>
      </c>
      <c r="S502" t="s">
        <v>1374</v>
      </c>
      <c r="T502" s="4">
        <v>44838</v>
      </c>
      <c r="U502" s="5">
        <v>0.25229166666666664</v>
      </c>
      <c r="V502" t="s">
        <v>13</v>
      </c>
      <c r="W502">
        <v>1.17</v>
      </c>
      <c r="X502">
        <v>3457.8471</v>
      </c>
      <c r="Y502">
        <v>164993.4166</v>
      </c>
      <c r="Z502" t="s">
        <v>1689</v>
      </c>
      <c r="AA502">
        <v>2.27</v>
      </c>
      <c r="AB502">
        <v>174.50299999999999</v>
      </c>
      <c r="AC502">
        <v>0.51649999999999996</v>
      </c>
      <c r="AD502" t="s">
        <v>10</v>
      </c>
    </row>
    <row r="503" spans="1:30">
      <c r="A503" s="2">
        <v>212</v>
      </c>
      <c r="B503" s="2" t="s">
        <v>196</v>
      </c>
      <c r="C503" s="2" t="s">
        <v>196</v>
      </c>
      <c r="D503" s="2">
        <v>502</v>
      </c>
      <c r="E503" s="2" t="s">
        <v>196</v>
      </c>
      <c r="F503" t="s">
        <v>1375</v>
      </c>
      <c r="G503" s="4">
        <v>44838</v>
      </c>
      <c r="H503" s="5">
        <v>0.25604166666666667</v>
      </c>
      <c r="I503" t="s">
        <v>9</v>
      </c>
      <c r="J503">
        <v>1.4159999999999999</v>
      </c>
      <c r="K503">
        <v>0.27300000000000002</v>
      </c>
      <c r="L503">
        <v>1.4986999999999999</v>
      </c>
      <c r="M503" t="s">
        <v>10</v>
      </c>
      <c r="N503" t="s">
        <v>11</v>
      </c>
      <c r="O503">
        <v>1.96</v>
      </c>
      <c r="P503">
        <v>105.2414</v>
      </c>
      <c r="Q503">
        <v>179.38499999999999</v>
      </c>
      <c r="R503" t="s">
        <v>10</v>
      </c>
      <c r="S503" t="s">
        <v>1376</v>
      </c>
      <c r="T503" s="4">
        <v>44838</v>
      </c>
      <c r="U503" s="5">
        <v>0.25604166666666667</v>
      </c>
      <c r="V503" t="s">
        <v>13</v>
      </c>
      <c r="W503">
        <v>1.1659999999999999</v>
      </c>
      <c r="X503">
        <v>3147.3191000000002</v>
      </c>
      <c r="Y503">
        <v>128515.82429999999</v>
      </c>
      <c r="Z503" t="s">
        <v>1689</v>
      </c>
      <c r="AA503">
        <v>2.2730000000000001</v>
      </c>
      <c r="AB503">
        <v>55.5032</v>
      </c>
      <c r="AC503">
        <v>2.87E-2</v>
      </c>
      <c r="AD503" t="s">
        <v>10</v>
      </c>
    </row>
    <row r="504" spans="1:30">
      <c r="A504" s="2">
        <v>213</v>
      </c>
      <c r="B504" s="6" t="s">
        <v>238</v>
      </c>
      <c r="C504" s="6" t="s">
        <v>239</v>
      </c>
      <c r="D504" s="2">
        <v>503</v>
      </c>
      <c r="E504" s="7" t="s">
        <v>1377</v>
      </c>
      <c r="F504" t="s">
        <v>1378</v>
      </c>
      <c r="G504" s="4">
        <v>44838</v>
      </c>
      <c r="H504" s="5">
        <v>0.2597916666666667</v>
      </c>
      <c r="I504" t="s">
        <v>9</v>
      </c>
      <c r="J504">
        <v>1.42</v>
      </c>
      <c r="K504">
        <v>0.67059999999999997</v>
      </c>
      <c r="L504">
        <v>3.2183999999999999</v>
      </c>
      <c r="M504" t="s">
        <v>10</v>
      </c>
      <c r="N504" t="s">
        <v>11</v>
      </c>
      <c r="O504">
        <v>1.9630000000000001</v>
      </c>
      <c r="P504">
        <v>166.94</v>
      </c>
      <c r="Q504">
        <v>407.4074</v>
      </c>
      <c r="R504" t="s">
        <v>10</v>
      </c>
      <c r="S504" t="s">
        <v>1379</v>
      </c>
      <c r="T504" s="4">
        <v>44838</v>
      </c>
      <c r="U504" s="5">
        <v>0.2597916666666667</v>
      </c>
      <c r="V504" t="s">
        <v>13</v>
      </c>
      <c r="W504">
        <v>1.17</v>
      </c>
      <c r="X504">
        <v>3890.9418000000001</v>
      </c>
      <c r="Y504">
        <v>228865.68290000001</v>
      </c>
      <c r="Z504" t="s">
        <v>1689</v>
      </c>
      <c r="AA504">
        <v>2.2730000000000001</v>
      </c>
      <c r="AB504">
        <v>94.871899999999997</v>
      </c>
      <c r="AC504">
        <v>0.19009999999999999</v>
      </c>
      <c r="AD504" t="s">
        <v>10</v>
      </c>
    </row>
    <row r="505" spans="1:30">
      <c r="A505" s="2">
        <v>214</v>
      </c>
      <c r="B505" s="6" t="s">
        <v>196</v>
      </c>
      <c r="C505" s="6" t="s">
        <v>196</v>
      </c>
      <c r="D505" s="2">
        <v>504</v>
      </c>
      <c r="E505" s="6" t="s">
        <v>196</v>
      </c>
      <c r="F505" t="s">
        <v>1380</v>
      </c>
      <c r="G505" s="4">
        <v>44838</v>
      </c>
      <c r="H505" s="5">
        <v>0.26354166666666667</v>
      </c>
      <c r="I505" t="s">
        <v>9</v>
      </c>
      <c r="J505">
        <v>1.4059999999999999</v>
      </c>
      <c r="K505">
        <v>0.31430000000000002</v>
      </c>
      <c r="L505">
        <v>1.6773</v>
      </c>
      <c r="M505" t="s">
        <v>10</v>
      </c>
      <c r="N505" t="s">
        <v>11</v>
      </c>
      <c r="O505">
        <v>1.946</v>
      </c>
      <c r="P505">
        <v>92.593800000000002</v>
      </c>
      <c r="Q505">
        <v>132.64269999999999</v>
      </c>
      <c r="R505" t="s">
        <v>10</v>
      </c>
      <c r="S505" t="s">
        <v>1381</v>
      </c>
      <c r="T505" s="4">
        <v>44838</v>
      </c>
      <c r="U505" s="5">
        <v>0.26354166666666667</v>
      </c>
      <c r="V505" t="s">
        <v>13</v>
      </c>
      <c r="W505">
        <v>1.1599999999999999</v>
      </c>
      <c r="X505">
        <v>3006.6392999999998</v>
      </c>
      <c r="Y505">
        <v>115825.55650000001</v>
      </c>
      <c r="Z505" t="s">
        <v>1689</v>
      </c>
      <c r="AA505">
        <v>2.2599999999999998</v>
      </c>
      <c r="AB505">
        <v>54.613599999999998</v>
      </c>
      <c r="AC505">
        <v>2.5100000000000001E-2</v>
      </c>
      <c r="AD505" t="s">
        <v>10</v>
      </c>
    </row>
    <row r="506" spans="1:30">
      <c r="A506" s="2">
        <v>215</v>
      </c>
      <c r="B506" s="2" t="s">
        <v>1382</v>
      </c>
      <c r="C506" s="2" t="s">
        <v>1383</v>
      </c>
      <c r="D506" s="2">
        <v>505</v>
      </c>
      <c r="E506" s="3" t="str">
        <f>D506&amp;"g"</f>
        <v>505g</v>
      </c>
      <c r="F506" t="s">
        <v>1384</v>
      </c>
      <c r="G506" s="4">
        <v>44838</v>
      </c>
      <c r="H506" s="5">
        <v>0.26729166666666665</v>
      </c>
      <c r="I506" t="s">
        <v>9</v>
      </c>
      <c r="J506">
        <v>1.403</v>
      </c>
      <c r="K506">
        <v>0.49859999999999999</v>
      </c>
      <c r="L506">
        <v>2.4744999999999999</v>
      </c>
      <c r="M506" t="s">
        <v>10</v>
      </c>
      <c r="N506" t="s">
        <v>11</v>
      </c>
      <c r="O506">
        <v>1.9430000000000001</v>
      </c>
      <c r="P506">
        <v>166.4366</v>
      </c>
      <c r="Q506">
        <v>405.54689999999999</v>
      </c>
      <c r="R506" t="s">
        <v>10</v>
      </c>
      <c r="S506" t="s">
        <v>1385</v>
      </c>
      <c r="T506" s="4">
        <v>44838</v>
      </c>
      <c r="U506" s="5">
        <v>0.26729166666666665</v>
      </c>
      <c r="V506" t="s">
        <v>13</v>
      </c>
      <c r="W506">
        <v>1.1599999999999999</v>
      </c>
      <c r="X506">
        <v>3354.6278000000002</v>
      </c>
      <c r="Y506">
        <v>150945.64290000001</v>
      </c>
      <c r="Z506" t="s">
        <v>1689</v>
      </c>
      <c r="AA506">
        <v>2.2530000000000001</v>
      </c>
      <c r="AB506">
        <v>77.401600000000002</v>
      </c>
      <c r="AC506">
        <v>0.11849999999999999</v>
      </c>
      <c r="AD506" t="s">
        <v>10</v>
      </c>
    </row>
    <row r="507" spans="1:30">
      <c r="A507" s="2">
        <v>216</v>
      </c>
      <c r="B507" s="6" t="s">
        <v>196</v>
      </c>
      <c r="C507" s="6" t="s">
        <v>196</v>
      </c>
      <c r="D507" s="2">
        <v>506</v>
      </c>
      <c r="E507" s="6" t="s">
        <v>196</v>
      </c>
      <c r="F507" t="s">
        <v>1386</v>
      </c>
      <c r="G507" s="4">
        <v>44838</v>
      </c>
      <c r="H507" s="5">
        <v>0.27105324074074072</v>
      </c>
      <c r="I507" t="s">
        <v>9</v>
      </c>
      <c r="J507">
        <v>1.4159999999999999</v>
      </c>
      <c r="K507">
        <v>0.35160000000000002</v>
      </c>
      <c r="L507">
        <v>1.8387</v>
      </c>
      <c r="M507" t="s">
        <v>10</v>
      </c>
      <c r="N507" t="s">
        <v>11</v>
      </c>
      <c r="O507">
        <v>1.956</v>
      </c>
      <c r="P507">
        <v>97.206500000000005</v>
      </c>
      <c r="Q507">
        <v>149.69</v>
      </c>
      <c r="R507" t="s">
        <v>10</v>
      </c>
      <c r="S507" t="s">
        <v>1387</v>
      </c>
      <c r="T507" s="4">
        <v>44838</v>
      </c>
      <c r="U507" s="5">
        <v>0.27105324074074072</v>
      </c>
      <c r="V507" t="s">
        <v>13</v>
      </c>
      <c r="W507">
        <v>1.1659999999999999</v>
      </c>
      <c r="X507">
        <v>3074.8517999999999</v>
      </c>
      <c r="Y507">
        <v>121785.1908</v>
      </c>
      <c r="Z507" t="s">
        <v>1689</v>
      </c>
      <c r="AA507">
        <v>2.27</v>
      </c>
      <c r="AB507">
        <v>55.883200000000002</v>
      </c>
      <c r="AC507">
        <v>3.0300000000000001E-2</v>
      </c>
      <c r="AD507" t="s">
        <v>10</v>
      </c>
    </row>
    <row r="508" spans="1:30">
      <c r="A508" s="2">
        <v>217</v>
      </c>
      <c r="B508" s="2" t="s">
        <v>1388</v>
      </c>
      <c r="C508" s="2" t="s">
        <v>1389</v>
      </c>
      <c r="D508" s="2">
        <v>507</v>
      </c>
      <c r="E508" s="3" t="str">
        <f>D508&amp;"g"</f>
        <v>507g</v>
      </c>
      <c r="F508" t="s">
        <v>1390</v>
      </c>
      <c r="G508" s="4">
        <v>44838</v>
      </c>
      <c r="H508" s="5">
        <v>0.27481481481481479</v>
      </c>
      <c r="I508" t="s">
        <v>9</v>
      </c>
      <c r="J508">
        <v>1.4159999999999999</v>
      </c>
      <c r="K508">
        <v>9.0763999999999996</v>
      </c>
      <c r="L508">
        <v>39.575400000000002</v>
      </c>
      <c r="M508" t="s">
        <v>10</v>
      </c>
      <c r="N508" t="s">
        <v>11</v>
      </c>
      <c r="O508">
        <v>1.956</v>
      </c>
      <c r="P508">
        <v>153.55670000000001</v>
      </c>
      <c r="Q508">
        <v>357.9461</v>
      </c>
      <c r="R508" t="s">
        <v>10</v>
      </c>
      <c r="S508" t="s">
        <v>1391</v>
      </c>
      <c r="T508" s="4">
        <v>44838</v>
      </c>
      <c r="U508" s="5">
        <v>0.27481481481481479</v>
      </c>
      <c r="V508" t="s">
        <v>13</v>
      </c>
      <c r="W508">
        <v>1.1659999999999999</v>
      </c>
      <c r="X508">
        <v>3536.5450000000001</v>
      </c>
      <c r="Y508">
        <v>176599.68479999999</v>
      </c>
      <c r="Z508" t="s">
        <v>1689</v>
      </c>
      <c r="AA508">
        <v>2.27</v>
      </c>
      <c r="AB508">
        <v>74.8994</v>
      </c>
      <c r="AC508">
        <v>0.1082</v>
      </c>
      <c r="AD508" t="s">
        <v>10</v>
      </c>
    </row>
    <row r="509" spans="1:30">
      <c r="A509" s="2">
        <v>218</v>
      </c>
      <c r="B509" s="6" t="s">
        <v>196</v>
      </c>
      <c r="C509" s="6" t="s">
        <v>196</v>
      </c>
      <c r="D509" s="2">
        <v>508</v>
      </c>
      <c r="E509" s="6" t="s">
        <v>196</v>
      </c>
      <c r="F509" t="s">
        <v>1392</v>
      </c>
      <c r="G509" s="4">
        <v>44838</v>
      </c>
      <c r="H509" s="5">
        <v>0.27856481481481482</v>
      </c>
      <c r="I509" t="s">
        <v>9</v>
      </c>
      <c r="J509">
        <v>1.413</v>
      </c>
      <c r="K509">
        <v>0.40360000000000001</v>
      </c>
      <c r="L509">
        <v>2.0636000000000001</v>
      </c>
      <c r="M509" t="s">
        <v>10</v>
      </c>
      <c r="N509" t="s">
        <v>11</v>
      </c>
      <c r="O509">
        <v>1.95</v>
      </c>
      <c r="P509">
        <v>97.774199999999993</v>
      </c>
      <c r="Q509">
        <v>151.78809999999999</v>
      </c>
      <c r="R509" t="s">
        <v>10</v>
      </c>
      <c r="S509" t="s">
        <v>1393</v>
      </c>
      <c r="T509" s="4">
        <v>44838</v>
      </c>
      <c r="U509" s="5">
        <v>0.27856481481481482</v>
      </c>
      <c r="V509" t="s">
        <v>13</v>
      </c>
      <c r="W509">
        <v>1.163</v>
      </c>
      <c r="X509">
        <v>3107.7806</v>
      </c>
      <c r="Y509">
        <v>124790.1732</v>
      </c>
      <c r="Z509" t="s">
        <v>1689</v>
      </c>
      <c r="AA509">
        <v>2.2629999999999999</v>
      </c>
      <c r="AB509">
        <v>57.448</v>
      </c>
      <c r="AC509">
        <v>3.6700000000000003E-2</v>
      </c>
      <c r="AD509" t="s">
        <v>10</v>
      </c>
    </row>
    <row r="510" spans="1:30">
      <c r="A510" s="2">
        <v>219</v>
      </c>
      <c r="B510" s="2" t="s">
        <v>1394</v>
      </c>
      <c r="C510" s="2" t="s">
        <v>1395</v>
      </c>
      <c r="D510" s="2">
        <v>509</v>
      </c>
      <c r="E510" s="3" t="str">
        <f>D510&amp;"g"</f>
        <v>509g</v>
      </c>
      <c r="F510" t="s">
        <v>1396</v>
      </c>
      <c r="G510" s="4">
        <v>44838</v>
      </c>
      <c r="H510" s="5">
        <v>0.28231481481481485</v>
      </c>
      <c r="I510" t="s">
        <v>9</v>
      </c>
      <c r="J510">
        <v>1.42</v>
      </c>
      <c r="K510">
        <v>0.77769999999999995</v>
      </c>
      <c r="L510">
        <v>3.6816</v>
      </c>
      <c r="M510" t="s">
        <v>10</v>
      </c>
      <c r="N510" t="s">
        <v>11</v>
      </c>
      <c r="O510">
        <v>1.9630000000000001</v>
      </c>
      <c r="P510">
        <v>157.99959999999999</v>
      </c>
      <c r="Q510">
        <v>374.36590000000001</v>
      </c>
      <c r="R510" t="s">
        <v>10</v>
      </c>
      <c r="S510" t="s">
        <v>1397</v>
      </c>
      <c r="T510" s="4">
        <v>44838</v>
      </c>
      <c r="U510" s="5">
        <v>0.28231481481481485</v>
      </c>
      <c r="V510" t="s">
        <v>13</v>
      </c>
      <c r="W510">
        <v>1.17</v>
      </c>
      <c r="X510">
        <v>3629.087</v>
      </c>
      <c r="Y510">
        <v>190247.6635</v>
      </c>
      <c r="Z510" t="s">
        <v>1689</v>
      </c>
      <c r="AA510">
        <v>2.2730000000000001</v>
      </c>
      <c r="AB510">
        <v>75.270399999999995</v>
      </c>
      <c r="AC510">
        <v>0.10979999999999999</v>
      </c>
      <c r="AD510" t="s">
        <v>10</v>
      </c>
    </row>
    <row r="511" spans="1:30">
      <c r="A511" s="2">
        <v>220</v>
      </c>
      <c r="B511" s="6" t="s">
        <v>196</v>
      </c>
      <c r="C511" s="6" t="s">
        <v>196</v>
      </c>
      <c r="D511" s="2">
        <v>510</v>
      </c>
      <c r="E511" s="6" t="s">
        <v>196</v>
      </c>
      <c r="F511" t="s">
        <v>1398</v>
      </c>
      <c r="G511" s="4">
        <v>44838</v>
      </c>
      <c r="H511" s="5">
        <v>0.28606481481481483</v>
      </c>
      <c r="I511" t="s">
        <v>9</v>
      </c>
      <c r="J511">
        <v>1.4159999999999999</v>
      </c>
      <c r="K511">
        <v>0.3352</v>
      </c>
      <c r="L511">
        <v>1.7677</v>
      </c>
      <c r="M511" t="s">
        <v>10</v>
      </c>
      <c r="N511" t="s">
        <v>11</v>
      </c>
      <c r="O511">
        <v>1.956</v>
      </c>
      <c r="P511">
        <v>95.771799999999999</v>
      </c>
      <c r="Q511">
        <v>144.3878</v>
      </c>
      <c r="R511" t="s">
        <v>10</v>
      </c>
      <c r="S511" t="s">
        <v>1399</v>
      </c>
      <c r="T511" s="4">
        <v>44838</v>
      </c>
      <c r="U511" s="5">
        <v>0.28606481481481483</v>
      </c>
      <c r="V511" t="s">
        <v>13</v>
      </c>
      <c r="W511">
        <v>1.1659999999999999</v>
      </c>
      <c r="X511">
        <v>3044.6813999999999</v>
      </c>
      <c r="Y511">
        <v>119089.7663</v>
      </c>
      <c r="Z511" t="s">
        <v>1689</v>
      </c>
      <c r="AA511">
        <v>2.2730000000000001</v>
      </c>
      <c r="AB511">
        <v>53.879600000000003</v>
      </c>
      <c r="AC511">
        <v>2.2100000000000002E-2</v>
      </c>
      <c r="AD511" t="s">
        <v>10</v>
      </c>
    </row>
    <row r="512" spans="1:30">
      <c r="A512" s="2">
        <v>221</v>
      </c>
      <c r="B512" s="2" t="s">
        <v>1400</v>
      </c>
      <c r="C512" s="2" t="s">
        <v>1401</v>
      </c>
      <c r="D512" s="2">
        <v>511</v>
      </c>
      <c r="E512" s="3" t="str">
        <f>D512&amp;"g"</f>
        <v>511g</v>
      </c>
      <c r="F512" t="s">
        <v>1402</v>
      </c>
      <c r="G512" s="4">
        <v>44838</v>
      </c>
      <c r="H512" s="5">
        <v>0.2898263888888889</v>
      </c>
      <c r="I512" t="s">
        <v>9</v>
      </c>
      <c r="J512">
        <v>1.42</v>
      </c>
      <c r="K512">
        <v>0.98729999999999996</v>
      </c>
      <c r="L512">
        <v>4.5881999999999996</v>
      </c>
      <c r="M512" t="s">
        <v>10</v>
      </c>
      <c r="N512" t="s">
        <v>11</v>
      </c>
      <c r="O512">
        <v>1.96</v>
      </c>
      <c r="P512">
        <v>170.18559999999999</v>
      </c>
      <c r="Q512">
        <v>419.40230000000003</v>
      </c>
      <c r="R512" t="s">
        <v>10</v>
      </c>
      <c r="S512" t="s">
        <v>1403</v>
      </c>
      <c r="T512" s="4">
        <v>44838</v>
      </c>
      <c r="U512" s="5">
        <v>0.2898263888888889</v>
      </c>
      <c r="V512" t="s">
        <v>13</v>
      </c>
      <c r="W512">
        <v>1.1659999999999999</v>
      </c>
      <c r="X512">
        <v>3629.3732</v>
      </c>
      <c r="Y512">
        <v>190289.8719</v>
      </c>
      <c r="Z512" t="s">
        <v>1689</v>
      </c>
      <c r="AA512">
        <v>2.27</v>
      </c>
      <c r="AB512">
        <v>77.6053</v>
      </c>
      <c r="AC512">
        <v>0.1193</v>
      </c>
      <c r="AD512" t="s">
        <v>10</v>
      </c>
    </row>
    <row r="513" spans="1:30">
      <c r="A513" s="2">
        <v>222</v>
      </c>
      <c r="B513" s="6" t="s">
        <v>196</v>
      </c>
      <c r="C513" s="6" t="s">
        <v>196</v>
      </c>
      <c r="D513" s="2">
        <v>512</v>
      </c>
      <c r="E513" s="6" t="s">
        <v>196</v>
      </c>
      <c r="F513" t="s">
        <v>1404</v>
      </c>
      <c r="G513" s="4">
        <v>44838</v>
      </c>
      <c r="H513" s="5">
        <v>0.29357638888888887</v>
      </c>
      <c r="I513" t="s">
        <v>9</v>
      </c>
      <c r="J513">
        <v>1.4059999999999999</v>
      </c>
      <c r="K513">
        <v>0.34389999999999998</v>
      </c>
      <c r="L513">
        <v>1.8053999999999999</v>
      </c>
      <c r="M513" t="s">
        <v>10</v>
      </c>
      <c r="N513" t="s">
        <v>11</v>
      </c>
      <c r="O513">
        <v>1.95</v>
      </c>
      <c r="P513">
        <v>91.041200000000003</v>
      </c>
      <c r="Q513">
        <v>126.90470000000001</v>
      </c>
      <c r="R513" t="s">
        <v>10</v>
      </c>
      <c r="S513" t="s">
        <v>1405</v>
      </c>
      <c r="T513" s="4">
        <v>44838</v>
      </c>
      <c r="U513" s="5">
        <v>0.29357638888888887</v>
      </c>
      <c r="V513" t="s">
        <v>13</v>
      </c>
      <c r="W513">
        <v>1.1599999999999999</v>
      </c>
      <c r="X513">
        <v>2979.4461999999999</v>
      </c>
      <c r="Y513">
        <v>113492.2472</v>
      </c>
      <c r="Z513" t="s">
        <v>1689</v>
      </c>
      <c r="AA513">
        <v>2.2599999999999998</v>
      </c>
      <c r="AB513">
        <v>54.057200000000002</v>
      </c>
      <c r="AC513">
        <v>2.2800000000000001E-2</v>
      </c>
      <c r="AD513" t="s">
        <v>10</v>
      </c>
    </row>
    <row r="514" spans="1:30">
      <c r="A514" s="2">
        <v>223</v>
      </c>
      <c r="B514" s="2" t="s">
        <v>1406</v>
      </c>
      <c r="C514" s="2" t="s">
        <v>1407</v>
      </c>
      <c r="D514" s="2">
        <v>513</v>
      </c>
      <c r="E514" s="3" t="str">
        <f>D514&amp;"g"</f>
        <v>513g</v>
      </c>
      <c r="F514" t="s">
        <v>1408</v>
      </c>
      <c r="G514" s="4">
        <v>44838</v>
      </c>
      <c r="H514" s="5">
        <v>0.2973263888888889</v>
      </c>
      <c r="I514" t="s">
        <v>9</v>
      </c>
      <c r="J514">
        <v>1.4059999999999999</v>
      </c>
      <c r="K514">
        <v>1.0218</v>
      </c>
      <c r="L514">
        <v>4.7374000000000001</v>
      </c>
      <c r="M514" t="s">
        <v>10</v>
      </c>
      <c r="N514" t="s">
        <v>11</v>
      </c>
      <c r="O514">
        <v>1.946</v>
      </c>
      <c r="P514">
        <v>193.29079999999999</v>
      </c>
      <c r="Q514">
        <v>504.79329999999999</v>
      </c>
      <c r="R514" t="s">
        <v>10</v>
      </c>
      <c r="S514" t="s">
        <v>1409</v>
      </c>
      <c r="T514" s="4">
        <v>44838</v>
      </c>
      <c r="U514" s="5">
        <v>0.2973263888888889</v>
      </c>
      <c r="V514" t="s">
        <v>13</v>
      </c>
      <c r="W514">
        <v>1.1599999999999999</v>
      </c>
      <c r="X514">
        <v>3505.63</v>
      </c>
      <c r="Y514">
        <v>172040.37909999999</v>
      </c>
      <c r="Z514" t="s">
        <v>1689</v>
      </c>
      <c r="AA514">
        <v>2.2599999999999998</v>
      </c>
      <c r="AB514">
        <v>76.864999999999995</v>
      </c>
      <c r="AC514">
        <v>0.1163</v>
      </c>
      <c r="AD514" t="s">
        <v>10</v>
      </c>
    </row>
    <row r="515" spans="1:30">
      <c r="A515" s="2">
        <v>224</v>
      </c>
      <c r="B515" s="6" t="s">
        <v>196</v>
      </c>
      <c r="C515" s="6" t="s">
        <v>196</v>
      </c>
      <c r="D515" s="2">
        <v>514</v>
      </c>
      <c r="E515" s="6" t="s">
        <v>196</v>
      </c>
      <c r="F515" t="s">
        <v>1410</v>
      </c>
      <c r="G515" s="4">
        <v>44838</v>
      </c>
      <c r="H515" s="5">
        <v>0.30107638888888888</v>
      </c>
      <c r="I515" t="s">
        <v>9</v>
      </c>
      <c r="J515">
        <v>1.4059999999999999</v>
      </c>
      <c r="K515">
        <v>0.4042</v>
      </c>
      <c r="L515">
        <v>2.0661999999999998</v>
      </c>
      <c r="M515" t="s">
        <v>10</v>
      </c>
      <c r="N515" t="s">
        <v>11</v>
      </c>
      <c r="O515">
        <v>1.95</v>
      </c>
      <c r="P515">
        <v>106.0354</v>
      </c>
      <c r="Q515">
        <v>182.3194</v>
      </c>
      <c r="R515" t="s">
        <v>10</v>
      </c>
      <c r="S515" t="s">
        <v>1411</v>
      </c>
      <c r="T515" s="4">
        <v>44838</v>
      </c>
      <c r="U515" s="5">
        <v>0.30107638888888888</v>
      </c>
      <c r="V515" t="s">
        <v>13</v>
      </c>
      <c r="W515">
        <v>1.1599999999999999</v>
      </c>
      <c r="X515">
        <v>3194.3856999999998</v>
      </c>
      <c r="Y515">
        <v>133102.39449999999</v>
      </c>
      <c r="Z515" t="s">
        <v>1689</v>
      </c>
      <c r="AA515">
        <v>2.2629999999999999</v>
      </c>
      <c r="AB515">
        <v>62.739199999999997</v>
      </c>
      <c r="AC515">
        <v>5.8400000000000001E-2</v>
      </c>
      <c r="AD515" t="s">
        <v>10</v>
      </c>
    </row>
    <row r="516" spans="1:30">
      <c r="A516" s="2">
        <v>225</v>
      </c>
      <c r="B516" s="2" t="s">
        <v>1412</v>
      </c>
      <c r="C516" s="2" t="s">
        <v>1413</v>
      </c>
      <c r="D516" s="2">
        <v>515</v>
      </c>
      <c r="E516" s="3" t="str">
        <f>D516&amp;"g"</f>
        <v>515g</v>
      </c>
      <c r="F516" t="s">
        <v>1414</v>
      </c>
      <c r="G516" s="4">
        <v>44838</v>
      </c>
      <c r="H516" s="5">
        <v>0.30483796296296295</v>
      </c>
      <c r="I516" t="s">
        <v>9</v>
      </c>
      <c r="J516">
        <v>1.41</v>
      </c>
      <c r="K516">
        <v>0.54339999999999999</v>
      </c>
      <c r="L516">
        <v>2.6682000000000001</v>
      </c>
      <c r="M516" t="s">
        <v>10</v>
      </c>
      <c r="N516" t="s">
        <v>11</v>
      </c>
      <c r="O516">
        <v>1.9530000000000001</v>
      </c>
      <c r="P516">
        <v>199.91059999999999</v>
      </c>
      <c r="Q516">
        <v>529.25840000000005</v>
      </c>
      <c r="R516" t="s">
        <v>10</v>
      </c>
      <c r="S516" t="s">
        <v>1415</v>
      </c>
      <c r="T516" s="4">
        <v>44838</v>
      </c>
      <c r="U516" s="5">
        <v>0.30483796296296295</v>
      </c>
      <c r="V516" t="s">
        <v>13</v>
      </c>
      <c r="W516">
        <v>1.1659999999999999</v>
      </c>
      <c r="X516">
        <v>3419.951</v>
      </c>
      <c r="Y516">
        <v>159459.99789999999</v>
      </c>
      <c r="Z516" t="s">
        <v>1689</v>
      </c>
      <c r="AA516">
        <v>2.2629999999999999</v>
      </c>
      <c r="AB516">
        <v>76.7483</v>
      </c>
      <c r="AC516">
        <v>0.1158</v>
      </c>
      <c r="AD516" t="s">
        <v>10</v>
      </c>
    </row>
    <row r="517" spans="1:30">
      <c r="A517" s="2">
        <v>226</v>
      </c>
      <c r="B517" s="6" t="s">
        <v>196</v>
      </c>
      <c r="C517" s="6" t="s">
        <v>196</v>
      </c>
      <c r="D517" s="2">
        <v>516</v>
      </c>
      <c r="E517" s="6" t="s">
        <v>196</v>
      </c>
      <c r="F517" t="s">
        <v>1416</v>
      </c>
      <c r="G517" s="4">
        <v>44838</v>
      </c>
      <c r="H517" s="5">
        <v>0.30858796296296298</v>
      </c>
      <c r="I517" t="s">
        <v>9</v>
      </c>
      <c r="J517">
        <v>1.413</v>
      </c>
      <c r="K517">
        <v>0.35549999999999998</v>
      </c>
      <c r="L517">
        <v>1.8554999999999999</v>
      </c>
      <c r="M517" t="s">
        <v>10</v>
      </c>
      <c r="N517" t="s">
        <v>11</v>
      </c>
      <c r="O517">
        <v>1.9530000000000001</v>
      </c>
      <c r="P517">
        <v>93.527799999999999</v>
      </c>
      <c r="Q517">
        <v>136.09450000000001</v>
      </c>
      <c r="R517" t="s">
        <v>10</v>
      </c>
      <c r="S517" t="s">
        <v>1417</v>
      </c>
      <c r="T517" s="4">
        <v>44838</v>
      </c>
      <c r="U517" s="5">
        <v>0.30858796296296298</v>
      </c>
      <c r="V517" t="s">
        <v>13</v>
      </c>
      <c r="W517">
        <v>1.1659999999999999</v>
      </c>
      <c r="X517">
        <v>3023.3742999999999</v>
      </c>
      <c r="Y517">
        <v>117261.5065</v>
      </c>
      <c r="Z517" t="s">
        <v>1689</v>
      </c>
      <c r="AA517">
        <v>2.266</v>
      </c>
      <c r="AB517">
        <v>53.3825</v>
      </c>
      <c r="AC517">
        <v>0.02</v>
      </c>
      <c r="AD517" t="s">
        <v>10</v>
      </c>
    </row>
    <row r="518" spans="1:30">
      <c r="A518" s="2">
        <v>227</v>
      </c>
      <c r="B518" s="2" t="s">
        <v>1418</v>
      </c>
      <c r="C518" s="2" t="s">
        <v>1419</v>
      </c>
      <c r="D518" s="2">
        <v>517</v>
      </c>
      <c r="E518" s="3" t="str">
        <f>D518&amp;"g"</f>
        <v>517g</v>
      </c>
      <c r="F518" t="s">
        <v>1420</v>
      </c>
      <c r="G518" s="4">
        <v>44838</v>
      </c>
      <c r="H518" s="5">
        <v>0.31233796296296296</v>
      </c>
      <c r="I518" t="s">
        <v>9</v>
      </c>
      <c r="J518">
        <v>1.413</v>
      </c>
      <c r="K518">
        <v>0.47399999999999998</v>
      </c>
      <c r="L518">
        <v>2.3681000000000001</v>
      </c>
      <c r="M518" t="s">
        <v>10</v>
      </c>
      <c r="N518" t="s">
        <v>11</v>
      </c>
      <c r="O518">
        <v>1.956</v>
      </c>
      <c r="P518">
        <v>155.15549999999999</v>
      </c>
      <c r="Q518">
        <v>363.85489999999999</v>
      </c>
      <c r="R518" t="s">
        <v>10</v>
      </c>
      <c r="S518" t="s">
        <v>1421</v>
      </c>
      <c r="T518" s="4">
        <v>44838</v>
      </c>
      <c r="U518" s="5">
        <v>0.31233796296296296</v>
      </c>
      <c r="V518" t="s">
        <v>13</v>
      </c>
      <c r="W518">
        <v>1.1659999999999999</v>
      </c>
      <c r="X518">
        <v>3503.0832999999998</v>
      </c>
      <c r="Y518">
        <v>171664.79500000001</v>
      </c>
      <c r="Z518" t="s">
        <v>1689</v>
      </c>
      <c r="AA518">
        <v>2.266</v>
      </c>
      <c r="AB518">
        <v>76.738600000000005</v>
      </c>
      <c r="AC518">
        <v>0.1158</v>
      </c>
      <c r="AD518" t="s">
        <v>10</v>
      </c>
    </row>
    <row r="519" spans="1:30">
      <c r="A519" s="2">
        <v>228</v>
      </c>
      <c r="B519" s="6" t="s">
        <v>196</v>
      </c>
      <c r="C519" s="6" t="s">
        <v>196</v>
      </c>
      <c r="D519" s="2">
        <v>518</v>
      </c>
      <c r="E519" s="6" t="s">
        <v>196</v>
      </c>
      <c r="F519" t="s">
        <v>1422</v>
      </c>
      <c r="G519" s="4">
        <v>44838</v>
      </c>
      <c r="H519" s="5">
        <v>0.31608796296296299</v>
      </c>
      <c r="I519" t="s">
        <v>9</v>
      </c>
      <c r="J519">
        <v>1.4</v>
      </c>
      <c r="K519">
        <v>0.36170000000000002</v>
      </c>
      <c r="L519">
        <v>1.8824000000000001</v>
      </c>
      <c r="M519" t="s">
        <v>10</v>
      </c>
      <c r="N519" t="s">
        <v>11</v>
      </c>
      <c r="O519">
        <v>1.94</v>
      </c>
      <c r="P519">
        <v>104.8668</v>
      </c>
      <c r="Q519">
        <v>178.00059999999999</v>
      </c>
      <c r="R519" t="s">
        <v>10</v>
      </c>
      <c r="S519" t="s">
        <v>1423</v>
      </c>
      <c r="T519" s="4">
        <v>44838</v>
      </c>
      <c r="U519" s="5">
        <v>0.31608796296296299</v>
      </c>
      <c r="V519" t="s">
        <v>13</v>
      </c>
      <c r="W519">
        <v>1.1559999999999999</v>
      </c>
      <c r="X519">
        <v>3036.2782000000002</v>
      </c>
      <c r="Y519">
        <v>118368.72809999999</v>
      </c>
      <c r="Z519" t="s">
        <v>1689</v>
      </c>
      <c r="AA519">
        <v>2.25</v>
      </c>
      <c r="AB519">
        <v>60.361600000000003</v>
      </c>
      <c r="AC519">
        <v>4.8599999999999997E-2</v>
      </c>
      <c r="AD519" t="s">
        <v>10</v>
      </c>
    </row>
    <row r="520" spans="1:30">
      <c r="A520" s="2">
        <v>229</v>
      </c>
      <c r="B520" s="2" t="s">
        <v>1424</v>
      </c>
      <c r="C520" s="2" t="s">
        <v>1425</v>
      </c>
      <c r="D520" s="2">
        <v>519</v>
      </c>
      <c r="E520" s="3" t="str">
        <f>D520&amp;"g"</f>
        <v>519g</v>
      </c>
      <c r="F520" t="s">
        <v>1426</v>
      </c>
      <c r="G520" s="4">
        <v>44838</v>
      </c>
      <c r="H520" s="5">
        <v>0.31984953703703706</v>
      </c>
      <c r="I520" t="s">
        <v>9</v>
      </c>
      <c r="J520">
        <v>1.41</v>
      </c>
      <c r="K520">
        <v>0.47299999999999998</v>
      </c>
      <c r="L520">
        <v>2.3637000000000001</v>
      </c>
      <c r="M520" t="s">
        <v>10</v>
      </c>
      <c r="N520" t="s">
        <v>11</v>
      </c>
      <c r="O520">
        <v>1.95</v>
      </c>
      <c r="P520">
        <v>169.3366</v>
      </c>
      <c r="Q520">
        <v>416.26459999999997</v>
      </c>
      <c r="R520" t="s">
        <v>10</v>
      </c>
      <c r="S520" t="s">
        <v>1427</v>
      </c>
      <c r="T520" s="4">
        <v>44838</v>
      </c>
      <c r="U520" s="5">
        <v>0.31984953703703706</v>
      </c>
      <c r="V520" t="s">
        <v>13</v>
      </c>
      <c r="W520">
        <v>1.163</v>
      </c>
      <c r="X520">
        <v>3530.8915000000002</v>
      </c>
      <c r="Y520">
        <v>175765.9136</v>
      </c>
      <c r="Z520" t="s">
        <v>1689</v>
      </c>
      <c r="AA520">
        <v>2.2629999999999999</v>
      </c>
      <c r="AB520">
        <v>75.8643</v>
      </c>
      <c r="AC520">
        <v>0.11219999999999999</v>
      </c>
      <c r="AD520" t="s">
        <v>10</v>
      </c>
    </row>
    <row r="521" spans="1:30">
      <c r="A521" s="2">
        <v>230</v>
      </c>
      <c r="B521" s="6" t="s">
        <v>196</v>
      </c>
      <c r="C521" s="6" t="s">
        <v>196</v>
      </c>
      <c r="D521" s="2">
        <v>520</v>
      </c>
      <c r="E521" s="6" t="s">
        <v>196</v>
      </c>
      <c r="F521" t="s">
        <v>1428</v>
      </c>
      <c r="G521" s="4">
        <v>44838</v>
      </c>
      <c r="H521" s="5">
        <v>0.32359953703703703</v>
      </c>
      <c r="I521" t="s">
        <v>9</v>
      </c>
      <c r="J521">
        <v>1.413</v>
      </c>
      <c r="K521">
        <v>0.36830000000000002</v>
      </c>
      <c r="L521">
        <v>1.9109</v>
      </c>
      <c r="M521" t="s">
        <v>10</v>
      </c>
      <c r="N521" t="s">
        <v>11</v>
      </c>
      <c r="O521">
        <v>1.956</v>
      </c>
      <c r="P521">
        <v>98.785600000000002</v>
      </c>
      <c r="Q521">
        <v>155.52600000000001</v>
      </c>
      <c r="R521" t="s">
        <v>10</v>
      </c>
      <c r="S521" t="s">
        <v>1429</v>
      </c>
      <c r="T521" s="4">
        <v>44838</v>
      </c>
      <c r="U521" s="5">
        <v>0.32359953703703703</v>
      </c>
      <c r="V521" t="s">
        <v>13</v>
      </c>
      <c r="W521">
        <v>1.1659999999999999</v>
      </c>
      <c r="X521">
        <v>3093.5401999999999</v>
      </c>
      <c r="Y521">
        <v>123490.6375</v>
      </c>
      <c r="Z521" t="s">
        <v>1689</v>
      </c>
      <c r="AA521">
        <v>2.27</v>
      </c>
      <c r="AB521">
        <v>57.2926</v>
      </c>
      <c r="AC521">
        <v>3.61E-2</v>
      </c>
      <c r="AD521" t="s">
        <v>10</v>
      </c>
    </row>
    <row r="522" spans="1:30">
      <c r="A522" s="2">
        <v>231</v>
      </c>
      <c r="B522" s="2" t="s">
        <v>1430</v>
      </c>
      <c r="C522" s="2" t="s">
        <v>1431</v>
      </c>
      <c r="D522" s="2">
        <v>521</v>
      </c>
      <c r="E522" s="3" t="str">
        <f>D522&amp;"g"</f>
        <v>521g</v>
      </c>
      <c r="F522" t="s">
        <v>1432</v>
      </c>
      <c r="G522" s="4">
        <v>44838</v>
      </c>
      <c r="H522" s="5">
        <v>0.32734953703703701</v>
      </c>
      <c r="I522" t="s">
        <v>9</v>
      </c>
      <c r="J522">
        <v>1.42</v>
      </c>
      <c r="K522">
        <v>0.54830000000000001</v>
      </c>
      <c r="L522">
        <v>2.6894</v>
      </c>
      <c r="M522" t="s">
        <v>10</v>
      </c>
      <c r="N522" t="s">
        <v>11</v>
      </c>
      <c r="O522">
        <v>1.9630000000000001</v>
      </c>
      <c r="P522">
        <v>170.32980000000001</v>
      </c>
      <c r="Q522">
        <v>419.93520000000001</v>
      </c>
      <c r="R522" t="s">
        <v>10</v>
      </c>
      <c r="S522" t="s">
        <v>1433</v>
      </c>
      <c r="T522" s="4">
        <v>44838</v>
      </c>
      <c r="U522" s="5">
        <v>0.32734953703703701</v>
      </c>
      <c r="V522" t="s">
        <v>13</v>
      </c>
      <c r="W522">
        <v>1.17</v>
      </c>
      <c r="X522">
        <v>3626.4787000000001</v>
      </c>
      <c r="Y522">
        <v>189862.99470000001</v>
      </c>
      <c r="Z522" t="s">
        <v>1689</v>
      </c>
      <c r="AA522">
        <v>2.2730000000000001</v>
      </c>
      <c r="AB522">
        <v>76.624499999999998</v>
      </c>
      <c r="AC522">
        <v>0.1153</v>
      </c>
      <c r="AD522" t="s">
        <v>10</v>
      </c>
    </row>
    <row r="523" spans="1:30">
      <c r="A523" s="2">
        <v>232</v>
      </c>
      <c r="B523" s="6" t="s">
        <v>196</v>
      </c>
      <c r="C523" s="6" t="s">
        <v>196</v>
      </c>
      <c r="D523" s="2">
        <v>522</v>
      </c>
      <c r="E523" s="6" t="s">
        <v>196</v>
      </c>
      <c r="F523" t="s">
        <v>1434</v>
      </c>
      <c r="G523" s="4">
        <v>44838</v>
      </c>
      <c r="H523" s="5">
        <v>0.33111111111111108</v>
      </c>
      <c r="I523" t="s">
        <v>9</v>
      </c>
      <c r="J523">
        <v>1.4059999999999999</v>
      </c>
      <c r="K523">
        <v>0.36509999999999998</v>
      </c>
      <c r="L523">
        <v>1.8971</v>
      </c>
      <c r="M523" t="s">
        <v>10</v>
      </c>
      <c r="N523" t="s">
        <v>11</v>
      </c>
      <c r="O523">
        <v>1.946</v>
      </c>
      <c r="P523">
        <v>98.177400000000006</v>
      </c>
      <c r="Q523">
        <v>153.2782</v>
      </c>
      <c r="R523" t="s">
        <v>10</v>
      </c>
      <c r="S523" t="s">
        <v>1435</v>
      </c>
      <c r="T523" s="4">
        <v>44838</v>
      </c>
      <c r="U523" s="5">
        <v>0.33111111111111108</v>
      </c>
      <c r="V523" t="s">
        <v>13</v>
      </c>
      <c r="W523">
        <v>1.1599999999999999</v>
      </c>
      <c r="X523">
        <v>3023.9124000000002</v>
      </c>
      <c r="Y523">
        <v>117307.67819999999</v>
      </c>
      <c r="Z523" t="s">
        <v>1689</v>
      </c>
      <c r="AA523">
        <v>2.2629999999999999</v>
      </c>
      <c r="AB523">
        <v>54.861800000000002</v>
      </c>
      <c r="AC523">
        <v>2.6100000000000002E-2</v>
      </c>
      <c r="AD523" t="s">
        <v>10</v>
      </c>
    </row>
    <row r="524" spans="1:30">
      <c r="A524" s="2">
        <v>233</v>
      </c>
      <c r="B524" s="6" t="s">
        <v>238</v>
      </c>
      <c r="C524" s="6" t="s">
        <v>239</v>
      </c>
      <c r="D524" s="2">
        <v>523</v>
      </c>
      <c r="E524" s="7" t="s">
        <v>1436</v>
      </c>
      <c r="F524" t="s">
        <v>1437</v>
      </c>
      <c r="G524" s="4">
        <v>44838</v>
      </c>
      <c r="H524" s="5">
        <v>0.33487268518518515</v>
      </c>
      <c r="I524" t="s">
        <v>9</v>
      </c>
      <c r="J524">
        <v>1.413</v>
      </c>
      <c r="K524">
        <v>0.69230000000000003</v>
      </c>
      <c r="L524">
        <v>3.3123</v>
      </c>
      <c r="M524" t="s">
        <v>10</v>
      </c>
      <c r="N524" t="s">
        <v>11</v>
      </c>
      <c r="O524">
        <v>1.956</v>
      </c>
      <c r="P524">
        <v>166.68879999999999</v>
      </c>
      <c r="Q524">
        <v>406.47899999999998</v>
      </c>
      <c r="R524" t="s">
        <v>10</v>
      </c>
      <c r="S524" t="s">
        <v>1438</v>
      </c>
      <c r="T524" s="4">
        <v>44838</v>
      </c>
      <c r="U524" s="5">
        <v>0.33487268518518515</v>
      </c>
      <c r="V524" t="s">
        <v>13</v>
      </c>
      <c r="W524">
        <v>1.1659999999999999</v>
      </c>
      <c r="X524">
        <v>3848.7682</v>
      </c>
      <c r="Y524">
        <v>222645.97289999999</v>
      </c>
      <c r="Z524" t="s">
        <v>1689</v>
      </c>
      <c r="AA524">
        <v>2.27</v>
      </c>
      <c r="AB524">
        <v>95.629000000000005</v>
      </c>
      <c r="AC524">
        <v>0.19320000000000001</v>
      </c>
      <c r="AD524" t="s">
        <v>10</v>
      </c>
    </row>
    <row r="525" spans="1:30">
      <c r="A525" s="2">
        <v>234</v>
      </c>
      <c r="B525" s="6" t="s">
        <v>196</v>
      </c>
      <c r="C525" s="6" t="s">
        <v>196</v>
      </c>
      <c r="D525" s="2">
        <v>524</v>
      </c>
      <c r="E525" s="6" t="s">
        <v>196</v>
      </c>
      <c r="F525" t="s">
        <v>1439</v>
      </c>
      <c r="G525" s="4">
        <v>44838</v>
      </c>
      <c r="H525" s="5">
        <v>0.33862268518518518</v>
      </c>
      <c r="I525" t="s">
        <v>9</v>
      </c>
      <c r="J525">
        <v>1.4159999999999999</v>
      </c>
      <c r="K525">
        <v>0.27839999999999998</v>
      </c>
      <c r="L525">
        <v>1.5221</v>
      </c>
      <c r="M525" t="s">
        <v>10</v>
      </c>
      <c r="N525" t="s">
        <v>11</v>
      </c>
      <c r="O525">
        <v>1.96</v>
      </c>
      <c r="P525">
        <v>84.006399999999999</v>
      </c>
      <c r="Q525">
        <v>100.9058</v>
      </c>
      <c r="R525" t="s">
        <v>10</v>
      </c>
      <c r="S525" t="s">
        <v>1440</v>
      </c>
      <c r="T525" s="4">
        <v>44838</v>
      </c>
      <c r="U525" s="5">
        <v>0.33862268518518518</v>
      </c>
      <c r="V525" t="s">
        <v>13</v>
      </c>
      <c r="W525">
        <v>1.163</v>
      </c>
      <c r="X525">
        <v>2950.3384000000001</v>
      </c>
      <c r="Y525">
        <v>111126.48699999999</v>
      </c>
      <c r="Z525" t="s">
        <v>1689</v>
      </c>
      <c r="AA525">
        <v>2.27</v>
      </c>
      <c r="AB525">
        <v>46.1584</v>
      </c>
      <c r="AC525">
        <v>0</v>
      </c>
      <c r="AD525" t="s">
        <v>10</v>
      </c>
    </row>
    <row r="526" spans="1:30">
      <c r="A526" s="2">
        <v>235</v>
      </c>
      <c r="B526" s="2" t="s">
        <v>1441</v>
      </c>
      <c r="C526" s="2" t="s">
        <v>1442</v>
      </c>
      <c r="D526" s="2">
        <v>525</v>
      </c>
      <c r="E526" s="3" t="str">
        <f>D526&amp;"g"</f>
        <v>525g</v>
      </c>
      <c r="F526" t="s">
        <v>1443</v>
      </c>
      <c r="G526" s="4">
        <v>44838</v>
      </c>
      <c r="H526" s="5">
        <v>0.34238425925925925</v>
      </c>
      <c r="I526" t="s">
        <v>9</v>
      </c>
      <c r="J526">
        <v>1.403</v>
      </c>
      <c r="K526">
        <v>0.44479999999999997</v>
      </c>
      <c r="L526">
        <v>2.2418</v>
      </c>
      <c r="M526" t="s">
        <v>10</v>
      </c>
      <c r="N526" t="s">
        <v>11</v>
      </c>
      <c r="O526">
        <v>1.9430000000000001</v>
      </c>
      <c r="P526">
        <v>171.48150000000001</v>
      </c>
      <c r="Q526">
        <v>424.19159999999999</v>
      </c>
      <c r="R526" t="s">
        <v>10</v>
      </c>
      <c r="S526" t="s">
        <v>1444</v>
      </c>
      <c r="T526" s="4">
        <v>44838</v>
      </c>
      <c r="U526" s="5">
        <v>0.34238425925925925</v>
      </c>
      <c r="V526" t="s">
        <v>13</v>
      </c>
      <c r="W526">
        <v>1.1599999999999999</v>
      </c>
      <c r="X526">
        <v>3361.2294000000002</v>
      </c>
      <c r="Y526">
        <v>151753.36439999999</v>
      </c>
      <c r="Z526" t="s">
        <v>1689</v>
      </c>
      <c r="AA526">
        <v>2.25</v>
      </c>
      <c r="AB526">
        <v>79.287199999999999</v>
      </c>
      <c r="AC526">
        <v>0.12620000000000001</v>
      </c>
      <c r="AD526" t="s">
        <v>10</v>
      </c>
    </row>
    <row r="527" spans="1:30">
      <c r="A527" s="2">
        <v>236</v>
      </c>
      <c r="B527" s="6" t="s">
        <v>196</v>
      </c>
      <c r="C527" s="6" t="s">
        <v>196</v>
      </c>
      <c r="D527" s="2">
        <v>526</v>
      </c>
      <c r="E527" s="6" t="s">
        <v>196</v>
      </c>
      <c r="F527" t="s">
        <v>1445</v>
      </c>
      <c r="G527" s="4">
        <v>44838</v>
      </c>
      <c r="H527" s="5">
        <v>0.34613425925925928</v>
      </c>
      <c r="I527" t="s">
        <v>9</v>
      </c>
      <c r="J527">
        <v>1.4059999999999999</v>
      </c>
      <c r="K527">
        <v>0.3679</v>
      </c>
      <c r="L527">
        <v>1.9092</v>
      </c>
      <c r="M527" t="s">
        <v>10</v>
      </c>
      <c r="N527" t="s">
        <v>11</v>
      </c>
      <c r="O527">
        <v>1.946</v>
      </c>
      <c r="P527">
        <v>98.661600000000007</v>
      </c>
      <c r="Q527">
        <v>155.0677</v>
      </c>
      <c r="R527" t="s">
        <v>10</v>
      </c>
      <c r="S527" t="s">
        <v>1446</v>
      </c>
      <c r="T527" s="4">
        <v>44838</v>
      </c>
      <c r="U527" s="5">
        <v>0.34613425925925928</v>
      </c>
      <c r="V527" t="s">
        <v>13</v>
      </c>
      <c r="W527">
        <v>1.1559999999999999</v>
      </c>
      <c r="X527">
        <v>3087.4603999999999</v>
      </c>
      <c r="Y527">
        <v>122935.8134</v>
      </c>
      <c r="Z527" t="s">
        <v>1689</v>
      </c>
      <c r="AA527">
        <v>2.2629999999999999</v>
      </c>
      <c r="AB527">
        <v>57.685400000000001</v>
      </c>
      <c r="AC527">
        <v>3.7699999999999997E-2</v>
      </c>
      <c r="AD527" t="s">
        <v>10</v>
      </c>
    </row>
    <row r="528" spans="1:30">
      <c r="A528" s="2">
        <v>237</v>
      </c>
      <c r="B528" s="2" t="s">
        <v>1447</v>
      </c>
      <c r="C528" s="2" t="s">
        <v>1448</v>
      </c>
      <c r="D528" s="2">
        <v>527</v>
      </c>
      <c r="E528" s="3" t="str">
        <f>D528&amp;"g"</f>
        <v>527g</v>
      </c>
      <c r="F528" t="s">
        <v>1449</v>
      </c>
      <c r="G528" s="4">
        <v>44838</v>
      </c>
      <c r="H528" s="5">
        <v>0.34988425925925926</v>
      </c>
      <c r="I528" t="s">
        <v>9</v>
      </c>
      <c r="J528">
        <v>1.4159999999999999</v>
      </c>
      <c r="K528">
        <v>0.47110000000000002</v>
      </c>
      <c r="L528">
        <v>2.3555000000000001</v>
      </c>
      <c r="M528" t="s">
        <v>10</v>
      </c>
      <c r="N528" t="s">
        <v>11</v>
      </c>
      <c r="O528">
        <v>1.96</v>
      </c>
      <c r="P528">
        <v>161.24639999999999</v>
      </c>
      <c r="Q528">
        <v>386.36529999999999</v>
      </c>
      <c r="R528" t="s">
        <v>10</v>
      </c>
      <c r="S528" t="s">
        <v>1450</v>
      </c>
      <c r="T528" s="4">
        <v>44838</v>
      </c>
      <c r="U528" s="5">
        <v>0.34988425925925926</v>
      </c>
      <c r="V528" t="s">
        <v>13</v>
      </c>
      <c r="W528">
        <v>1.1659999999999999</v>
      </c>
      <c r="X528">
        <v>3633.0374000000002</v>
      </c>
      <c r="Y528">
        <v>190830.26360000001</v>
      </c>
      <c r="Z528" t="s">
        <v>1689</v>
      </c>
      <c r="AA528">
        <v>2.27</v>
      </c>
      <c r="AB528">
        <v>78.688800000000001</v>
      </c>
      <c r="AC528">
        <v>0.12379999999999999</v>
      </c>
      <c r="AD528" t="s">
        <v>10</v>
      </c>
    </row>
    <row r="529" spans="1:30">
      <c r="A529" s="2">
        <v>238</v>
      </c>
      <c r="B529" s="6" t="s">
        <v>196</v>
      </c>
      <c r="C529" s="6" t="s">
        <v>196</v>
      </c>
      <c r="D529" s="2">
        <v>528</v>
      </c>
      <c r="E529" s="6" t="s">
        <v>196</v>
      </c>
      <c r="F529" t="s">
        <v>1451</v>
      </c>
      <c r="G529" s="4">
        <v>44838</v>
      </c>
      <c r="H529" s="5">
        <v>0.35364583333333338</v>
      </c>
      <c r="I529" t="s">
        <v>9</v>
      </c>
      <c r="J529">
        <v>1.413</v>
      </c>
      <c r="K529">
        <v>0.39300000000000002</v>
      </c>
      <c r="L529">
        <v>2.0177</v>
      </c>
      <c r="M529" t="s">
        <v>10</v>
      </c>
      <c r="N529" t="s">
        <v>11</v>
      </c>
      <c r="O529">
        <v>1.9530000000000001</v>
      </c>
      <c r="P529">
        <v>103.7636</v>
      </c>
      <c r="Q529">
        <v>173.92339999999999</v>
      </c>
      <c r="R529" t="s">
        <v>10</v>
      </c>
      <c r="S529" t="s">
        <v>1452</v>
      </c>
      <c r="T529" s="4">
        <v>44838</v>
      </c>
      <c r="U529" s="5">
        <v>0.35364583333333338</v>
      </c>
      <c r="V529" t="s">
        <v>13</v>
      </c>
      <c r="W529">
        <v>1.1659999999999999</v>
      </c>
      <c r="X529">
        <v>3144.2458000000001</v>
      </c>
      <c r="Y529">
        <v>128216.3358</v>
      </c>
      <c r="Z529" t="s">
        <v>1689</v>
      </c>
      <c r="AA529">
        <v>2.266</v>
      </c>
      <c r="AB529">
        <v>57.8855</v>
      </c>
      <c r="AC529">
        <v>3.85E-2</v>
      </c>
      <c r="AD529" t="s">
        <v>10</v>
      </c>
    </row>
    <row r="530" spans="1:30">
      <c r="A530" s="2">
        <v>239</v>
      </c>
      <c r="B530" s="2" t="s">
        <v>1453</v>
      </c>
      <c r="C530" s="2" t="s">
        <v>1454</v>
      </c>
      <c r="D530" s="2">
        <v>529</v>
      </c>
      <c r="E530" s="3" t="str">
        <f>D530&amp;"g"</f>
        <v>529g</v>
      </c>
      <c r="F530" t="s">
        <v>1455</v>
      </c>
      <c r="G530" s="4">
        <v>44838</v>
      </c>
      <c r="H530" s="5">
        <v>0.3574074074074074</v>
      </c>
      <c r="I530" t="s">
        <v>9</v>
      </c>
      <c r="J530">
        <v>1.413</v>
      </c>
      <c r="K530">
        <v>0.40620000000000001</v>
      </c>
      <c r="L530">
        <v>2.0748000000000002</v>
      </c>
      <c r="M530" t="s">
        <v>10</v>
      </c>
      <c r="N530" t="s">
        <v>11</v>
      </c>
      <c r="O530">
        <v>1.96</v>
      </c>
      <c r="P530">
        <v>152.05500000000001</v>
      </c>
      <c r="Q530">
        <v>352.39620000000002</v>
      </c>
      <c r="R530" t="s">
        <v>10</v>
      </c>
      <c r="S530" t="s">
        <v>1456</v>
      </c>
      <c r="T530" s="4">
        <v>44838</v>
      </c>
      <c r="U530" s="5">
        <v>0.3574074074074074</v>
      </c>
      <c r="V530" t="s">
        <v>13</v>
      </c>
      <c r="W530">
        <v>1.1659999999999999</v>
      </c>
      <c r="X530">
        <v>3599.9132</v>
      </c>
      <c r="Y530">
        <v>185945.14790000001</v>
      </c>
      <c r="Z530" t="s">
        <v>1689</v>
      </c>
      <c r="AA530">
        <v>2.2730000000000001</v>
      </c>
      <c r="AB530">
        <v>77.680800000000005</v>
      </c>
      <c r="AC530">
        <v>0.1196</v>
      </c>
      <c r="AD530" t="s">
        <v>10</v>
      </c>
    </row>
    <row r="531" spans="1:30">
      <c r="A531" s="2">
        <v>240</v>
      </c>
      <c r="B531" s="6" t="s">
        <v>196</v>
      </c>
      <c r="C531" s="6" t="s">
        <v>196</v>
      </c>
      <c r="D531" s="2">
        <v>530</v>
      </c>
      <c r="E531" s="6" t="s">
        <v>196</v>
      </c>
      <c r="F531" t="s">
        <v>1457</v>
      </c>
      <c r="G531" s="4">
        <v>44838</v>
      </c>
      <c r="H531" s="5">
        <v>0.36115740740740737</v>
      </c>
      <c r="I531" t="s">
        <v>9</v>
      </c>
      <c r="J531">
        <v>1.4059999999999999</v>
      </c>
      <c r="K531">
        <v>0.32319999999999999</v>
      </c>
      <c r="L531">
        <v>1.7158</v>
      </c>
      <c r="M531" t="s">
        <v>10</v>
      </c>
      <c r="N531" t="s">
        <v>11</v>
      </c>
      <c r="O531">
        <v>1.946</v>
      </c>
      <c r="P531">
        <v>97.012</v>
      </c>
      <c r="Q531">
        <v>148.97120000000001</v>
      </c>
      <c r="R531" t="s">
        <v>10</v>
      </c>
      <c r="S531" t="s">
        <v>1458</v>
      </c>
      <c r="T531" s="4">
        <v>44838</v>
      </c>
      <c r="U531" s="5">
        <v>0.36115740740740737</v>
      </c>
      <c r="V531" t="s">
        <v>13</v>
      </c>
      <c r="W531">
        <v>1.1559999999999999</v>
      </c>
      <c r="X531">
        <v>3030.9203000000002</v>
      </c>
      <c r="Y531">
        <v>117908.99249999999</v>
      </c>
      <c r="Z531" t="s">
        <v>1689</v>
      </c>
      <c r="AA531">
        <v>2.2599999999999998</v>
      </c>
      <c r="AB531">
        <v>56.156799999999997</v>
      </c>
      <c r="AC531">
        <v>3.1399999999999997E-2</v>
      </c>
      <c r="AD531" t="s">
        <v>10</v>
      </c>
    </row>
    <row r="532" spans="1:30">
      <c r="A532" s="2">
        <v>241</v>
      </c>
      <c r="B532" s="2" t="s">
        <v>1459</v>
      </c>
      <c r="C532" s="2" t="s">
        <v>1460</v>
      </c>
      <c r="D532" s="2">
        <v>531</v>
      </c>
      <c r="E532" s="3" t="str">
        <f>D532&amp;"g"</f>
        <v>531g</v>
      </c>
      <c r="F532" t="s">
        <v>1461</v>
      </c>
      <c r="G532" s="4">
        <v>44838</v>
      </c>
      <c r="H532" s="5">
        <v>0.3649074074074074</v>
      </c>
      <c r="I532" t="s">
        <v>9</v>
      </c>
      <c r="J532">
        <v>1.4059999999999999</v>
      </c>
      <c r="K532">
        <v>0.432</v>
      </c>
      <c r="L532">
        <v>2.1863999999999999</v>
      </c>
      <c r="M532" t="s">
        <v>10</v>
      </c>
      <c r="N532" t="s">
        <v>11</v>
      </c>
      <c r="O532">
        <v>1.95</v>
      </c>
      <c r="P532">
        <v>153.48560000000001</v>
      </c>
      <c r="Q532">
        <v>357.68329999999997</v>
      </c>
      <c r="R532" t="s">
        <v>10</v>
      </c>
      <c r="S532" t="s">
        <v>1462</v>
      </c>
      <c r="T532" s="4">
        <v>44838</v>
      </c>
      <c r="U532" s="5">
        <v>0.3649074074074074</v>
      </c>
      <c r="V532" t="s">
        <v>13</v>
      </c>
      <c r="W532">
        <v>1.1599999999999999</v>
      </c>
      <c r="X532">
        <v>3518.9774000000002</v>
      </c>
      <c r="Y532">
        <v>174008.837</v>
      </c>
      <c r="Z532" t="s">
        <v>1689</v>
      </c>
      <c r="AA532">
        <v>2.2599999999999998</v>
      </c>
      <c r="AB532">
        <v>75.769599999999997</v>
      </c>
      <c r="AC532">
        <v>0.1118</v>
      </c>
      <c r="AD532" t="s">
        <v>10</v>
      </c>
    </row>
    <row r="533" spans="1:30">
      <c r="A533" s="2">
        <v>242</v>
      </c>
      <c r="B533" s="6" t="s">
        <v>196</v>
      </c>
      <c r="C533" s="6" t="s">
        <v>196</v>
      </c>
      <c r="D533" s="2">
        <v>532</v>
      </c>
      <c r="E533" s="6" t="s">
        <v>196</v>
      </c>
      <c r="F533" t="s">
        <v>1463</v>
      </c>
      <c r="G533" s="4">
        <v>44838</v>
      </c>
      <c r="H533" s="5">
        <v>0.36866898148148147</v>
      </c>
      <c r="I533" t="s">
        <v>9</v>
      </c>
      <c r="J533">
        <v>1.413</v>
      </c>
      <c r="K533">
        <v>0.27760000000000001</v>
      </c>
      <c r="L533">
        <v>1.5185999999999999</v>
      </c>
      <c r="M533" t="s">
        <v>10</v>
      </c>
      <c r="N533" t="s">
        <v>11</v>
      </c>
      <c r="O533">
        <v>1.956</v>
      </c>
      <c r="P533">
        <v>83.267600000000002</v>
      </c>
      <c r="Q533">
        <v>98.175399999999996</v>
      </c>
      <c r="R533" t="s">
        <v>10</v>
      </c>
      <c r="S533" t="s">
        <v>1464</v>
      </c>
      <c r="T533" s="4">
        <v>44838</v>
      </c>
      <c r="U533" s="5">
        <v>0.36866898148148147</v>
      </c>
      <c r="V533" t="s">
        <v>13</v>
      </c>
      <c r="W533">
        <v>1.1659999999999999</v>
      </c>
      <c r="X533">
        <v>2850.1774</v>
      </c>
      <c r="Y533">
        <v>103211.42570000001</v>
      </c>
      <c r="Z533" t="s">
        <v>1689</v>
      </c>
      <c r="AA533">
        <v>2.27</v>
      </c>
      <c r="AB533">
        <v>46.256799999999998</v>
      </c>
      <c r="AC533">
        <v>0</v>
      </c>
      <c r="AD533" t="s">
        <v>10</v>
      </c>
    </row>
    <row r="534" spans="1:30">
      <c r="A534" s="2">
        <v>243</v>
      </c>
      <c r="B534" s="2" t="s">
        <v>1465</v>
      </c>
      <c r="C534" s="2" t="s">
        <v>1466</v>
      </c>
      <c r="D534" s="2">
        <v>533</v>
      </c>
      <c r="E534" s="3" t="str">
        <f>D534&amp;"g"</f>
        <v>533g</v>
      </c>
      <c r="F534" t="s">
        <v>1467</v>
      </c>
      <c r="G534" s="4">
        <v>44838</v>
      </c>
      <c r="H534" s="5">
        <v>0.3724189814814815</v>
      </c>
      <c r="I534" t="s">
        <v>9</v>
      </c>
      <c r="J534">
        <v>1.41</v>
      </c>
      <c r="K534">
        <v>0.51359999999999995</v>
      </c>
      <c r="L534">
        <v>2.5394000000000001</v>
      </c>
      <c r="M534" t="s">
        <v>10</v>
      </c>
      <c r="N534" t="s">
        <v>11</v>
      </c>
      <c r="O534">
        <v>1.95</v>
      </c>
      <c r="P534">
        <v>168.101</v>
      </c>
      <c r="Q534">
        <v>411.69810000000001</v>
      </c>
      <c r="R534" t="s">
        <v>10</v>
      </c>
      <c r="S534" t="s">
        <v>1468</v>
      </c>
      <c r="T534" s="4">
        <v>44838</v>
      </c>
      <c r="U534" s="5">
        <v>0.3724189814814815</v>
      </c>
      <c r="V534" t="s">
        <v>13</v>
      </c>
      <c r="W534">
        <v>1.1599999999999999</v>
      </c>
      <c r="X534">
        <v>3520.2840000000001</v>
      </c>
      <c r="Y534">
        <v>174201.53279999999</v>
      </c>
      <c r="Z534" t="s">
        <v>1689</v>
      </c>
      <c r="AA534">
        <v>2.2629999999999999</v>
      </c>
      <c r="AB534">
        <v>76.758600000000001</v>
      </c>
      <c r="AC534">
        <v>0.1159</v>
      </c>
      <c r="AD534" t="s">
        <v>10</v>
      </c>
    </row>
    <row r="535" spans="1:30">
      <c r="A535" s="2">
        <v>244</v>
      </c>
      <c r="B535" s="6" t="s">
        <v>196</v>
      </c>
      <c r="C535" s="6" t="s">
        <v>196</v>
      </c>
      <c r="D535" s="2">
        <v>534</v>
      </c>
      <c r="E535" s="6" t="s">
        <v>196</v>
      </c>
      <c r="F535" t="s">
        <v>1469</v>
      </c>
      <c r="G535" s="4">
        <v>44838</v>
      </c>
      <c r="H535" s="5">
        <v>0.37616898148148148</v>
      </c>
      <c r="I535" t="s">
        <v>9</v>
      </c>
      <c r="J535">
        <v>1.4059999999999999</v>
      </c>
      <c r="K535">
        <v>0.3196</v>
      </c>
      <c r="L535">
        <v>1.7002999999999999</v>
      </c>
      <c r="M535" t="s">
        <v>10</v>
      </c>
      <c r="N535" t="s">
        <v>11</v>
      </c>
      <c r="O535">
        <v>1.95</v>
      </c>
      <c r="P535">
        <v>103.70189999999999</v>
      </c>
      <c r="Q535">
        <v>173.69540000000001</v>
      </c>
      <c r="R535" t="s">
        <v>10</v>
      </c>
      <c r="S535" t="s">
        <v>1470</v>
      </c>
      <c r="T535" s="4">
        <v>44838</v>
      </c>
      <c r="U535" s="5">
        <v>0.37616898148148148</v>
      </c>
      <c r="V535" t="s">
        <v>13</v>
      </c>
      <c r="W535">
        <v>1.1599999999999999</v>
      </c>
      <c r="X535">
        <v>3061.9202</v>
      </c>
      <c r="Y535">
        <v>120605.0923</v>
      </c>
      <c r="Z535" t="s">
        <v>1689</v>
      </c>
      <c r="AA535">
        <v>2.2629999999999999</v>
      </c>
      <c r="AB535">
        <v>54.748600000000003</v>
      </c>
      <c r="AC535">
        <v>2.5600000000000001E-2</v>
      </c>
      <c r="AD535" t="s">
        <v>10</v>
      </c>
    </row>
    <row r="536" spans="1:30">
      <c r="A536" s="2">
        <v>245</v>
      </c>
      <c r="B536" s="2" t="s">
        <v>1471</v>
      </c>
      <c r="C536" s="2" t="s">
        <v>1472</v>
      </c>
      <c r="D536" s="2">
        <v>535</v>
      </c>
      <c r="E536" s="3" t="str">
        <f>D536&amp;"g"</f>
        <v>535g</v>
      </c>
      <c r="F536" t="s">
        <v>1473</v>
      </c>
      <c r="G536" s="4">
        <v>44838</v>
      </c>
      <c r="H536" s="5">
        <v>0.3799305555555556</v>
      </c>
      <c r="I536" t="s">
        <v>9</v>
      </c>
      <c r="J536">
        <v>1.403</v>
      </c>
      <c r="K536">
        <v>0.45119999999999999</v>
      </c>
      <c r="L536">
        <v>2.2694999999999999</v>
      </c>
      <c r="M536" t="s">
        <v>10</v>
      </c>
      <c r="N536" t="s">
        <v>11</v>
      </c>
      <c r="O536">
        <v>1.946</v>
      </c>
      <c r="P536">
        <v>153.08789999999999</v>
      </c>
      <c r="Q536">
        <v>356.21350000000001</v>
      </c>
      <c r="R536" t="s">
        <v>10</v>
      </c>
      <c r="S536" t="s">
        <v>1474</v>
      </c>
      <c r="T536" s="4">
        <v>44838</v>
      </c>
      <c r="U536" s="5">
        <v>0.3799305555555556</v>
      </c>
      <c r="V536" t="s">
        <v>13</v>
      </c>
      <c r="W536">
        <v>1.1599999999999999</v>
      </c>
      <c r="X536">
        <v>3490.0639999999999</v>
      </c>
      <c r="Y536">
        <v>169744.7249</v>
      </c>
      <c r="Z536" t="s">
        <v>1689</v>
      </c>
      <c r="AA536">
        <v>2.2599999999999998</v>
      </c>
      <c r="AB536">
        <v>76.843400000000003</v>
      </c>
      <c r="AC536">
        <v>0.1162</v>
      </c>
      <c r="AD536" t="s">
        <v>10</v>
      </c>
    </row>
    <row r="537" spans="1:30">
      <c r="A537" s="2">
        <v>246</v>
      </c>
      <c r="B537" s="6" t="s">
        <v>196</v>
      </c>
      <c r="C537" s="6" t="s">
        <v>196</v>
      </c>
      <c r="D537" s="2">
        <v>536</v>
      </c>
      <c r="E537" s="6" t="s">
        <v>196</v>
      </c>
      <c r="F537" t="s">
        <v>1475</v>
      </c>
      <c r="G537" s="4">
        <v>44838</v>
      </c>
      <c r="H537" s="5">
        <v>0.38368055555555558</v>
      </c>
      <c r="I537" t="s">
        <v>9</v>
      </c>
      <c r="J537">
        <v>1.41</v>
      </c>
      <c r="K537">
        <v>0.29799999999999999</v>
      </c>
      <c r="L537">
        <v>1.6068</v>
      </c>
      <c r="M537" t="s">
        <v>10</v>
      </c>
      <c r="N537" t="s">
        <v>11</v>
      </c>
      <c r="O537">
        <v>1.946</v>
      </c>
      <c r="P537">
        <v>92.487200000000001</v>
      </c>
      <c r="Q537">
        <v>132.24870000000001</v>
      </c>
      <c r="R537" t="s">
        <v>10</v>
      </c>
      <c r="S537" t="s">
        <v>1476</v>
      </c>
      <c r="T537" s="4">
        <v>44838</v>
      </c>
      <c r="U537" s="5">
        <v>0.38368055555555558</v>
      </c>
      <c r="V537" t="s">
        <v>13</v>
      </c>
      <c r="W537">
        <v>1.1559999999999999</v>
      </c>
      <c r="X537">
        <v>2957.2166000000002</v>
      </c>
      <c r="Y537">
        <v>111683.4017</v>
      </c>
      <c r="Z537" t="s">
        <v>1689</v>
      </c>
      <c r="AA537">
        <v>2.2559999999999998</v>
      </c>
      <c r="AB537">
        <v>50.943399999999997</v>
      </c>
      <c r="AC537">
        <v>0.01</v>
      </c>
      <c r="AD537" t="s">
        <v>10</v>
      </c>
    </row>
    <row r="538" spans="1:30">
      <c r="A538" s="2">
        <v>247</v>
      </c>
      <c r="B538" s="2" t="s">
        <v>1477</v>
      </c>
      <c r="C538" s="2" t="s">
        <v>1478</v>
      </c>
      <c r="D538" s="2">
        <v>537</v>
      </c>
      <c r="E538" s="3" t="str">
        <f>D538&amp;"g"</f>
        <v>537g</v>
      </c>
      <c r="F538" t="s">
        <v>1479</v>
      </c>
      <c r="G538" s="4">
        <v>44838</v>
      </c>
      <c r="H538" s="5">
        <v>0.38743055555555556</v>
      </c>
      <c r="I538" t="s">
        <v>9</v>
      </c>
      <c r="J538">
        <v>1.42</v>
      </c>
      <c r="K538">
        <v>0.42399999999999999</v>
      </c>
      <c r="L538">
        <v>2.1518000000000002</v>
      </c>
      <c r="M538" t="s">
        <v>10</v>
      </c>
      <c r="N538" t="s">
        <v>11</v>
      </c>
      <c r="O538">
        <v>1.9630000000000001</v>
      </c>
      <c r="P538">
        <v>165.78020000000001</v>
      </c>
      <c r="Q538">
        <v>403.12110000000001</v>
      </c>
      <c r="R538" t="s">
        <v>10</v>
      </c>
      <c r="S538" t="s">
        <v>1480</v>
      </c>
      <c r="T538" s="4">
        <v>44838</v>
      </c>
      <c r="U538" s="5">
        <v>0.38743055555555556</v>
      </c>
      <c r="V538" t="s">
        <v>13</v>
      </c>
      <c r="W538">
        <v>1.17</v>
      </c>
      <c r="X538">
        <v>3628.4712</v>
      </c>
      <c r="Y538">
        <v>190156.8461</v>
      </c>
      <c r="Z538" t="s">
        <v>1689</v>
      </c>
      <c r="AA538">
        <v>2.2759999999999998</v>
      </c>
      <c r="AB538">
        <v>78.3416</v>
      </c>
      <c r="AC538">
        <v>0.12230000000000001</v>
      </c>
      <c r="AD538" t="s">
        <v>10</v>
      </c>
    </row>
    <row r="539" spans="1:30">
      <c r="A539" s="2">
        <v>248</v>
      </c>
      <c r="B539" s="6" t="s">
        <v>196</v>
      </c>
      <c r="C539" s="6" t="s">
        <v>196</v>
      </c>
      <c r="D539" s="2">
        <v>538</v>
      </c>
      <c r="E539" s="6" t="s">
        <v>196</v>
      </c>
      <c r="F539" t="s">
        <v>1481</v>
      </c>
      <c r="G539" s="4">
        <v>44838</v>
      </c>
      <c r="H539" s="5">
        <v>0.39119212962962963</v>
      </c>
      <c r="I539" t="s">
        <v>9</v>
      </c>
      <c r="J539">
        <v>1.413</v>
      </c>
      <c r="K539">
        <v>0.3775</v>
      </c>
      <c r="L539">
        <v>1.9507000000000001</v>
      </c>
      <c r="M539" t="s">
        <v>10</v>
      </c>
      <c r="N539" t="s">
        <v>11</v>
      </c>
      <c r="O539">
        <v>1.956</v>
      </c>
      <c r="P539">
        <v>104.8107</v>
      </c>
      <c r="Q539">
        <v>177.79320000000001</v>
      </c>
      <c r="R539" t="s">
        <v>10</v>
      </c>
      <c r="S539" t="s">
        <v>1482</v>
      </c>
      <c r="T539" s="4">
        <v>44838</v>
      </c>
      <c r="U539" s="5">
        <v>0.39119212962962963</v>
      </c>
      <c r="V539" t="s">
        <v>13</v>
      </c>
      <c r="W539">
        <v>1.17</v>
      </c>
      <c r="X539">
        <v>3138.8411999999998</v>
      </c>
      <c r="Y539">
        <v>127689.66559999999</v>
      </c>
      <c r="Z539" t="s">
        <v>1689</v>
      </c>
      <c r="AA539">
        <v>2.266</v>
      </c>
      <c r="AB539">
        <v>57.251399999999997</v>
      </c>
      <c r="AC539">
        <v>3.5900000000000001E-2</v>
      </c>
      <c r="AD539" t="s">
        <v>10</v>
      </c>
    </row>
    <row r="540" spans="1:30">
      <c r="A540" s="2">
        <v>249</v>
      </c>
      <c r="B540" s="2" t="s">
        <v>1483</v>
      </c>
      <c r="C540" s="2" t="s">
        <v>1484</v>
      </c>
      <c r="D540" s="2">
        <v>539</v>
      </c>
      <c r="E540" s="3" t="str">
        <f>D540&amp;"g"</f>
        <v>539g</v>
      </c>
      <c r="F540" t="s">
        <v>1485</v>
      </c>
      <c r="G540" s="4">
        <v>44838</v>
      </c>
      <c r="H540" s="5">
        <v>0.3949537037037037</v>
      </c>
      <c r="I540" t="s">
        <v>9</v>
      </c>
      <c r="J540">
        <v>1.413</v>
      </c>
      <c r="K540">
        <v>0.44400000000000001</v>
      </c>
      <c r="L540">
        <v>2.2383000000000002</v>
      </c>
      <c r="M540" t="s">
        <v>10</v>
      </c>
      <c r="N540" t="s">
        <v>11</v>
      </c>
      <c r="O540">
        <v>1.9530000000000001</v>
      </c>
      <c r="P540">
        <v>222.59780000000001</v>
      </c>
      <c r="Q540">
        <v>613.10450000000003</v>
      </c>
      <c r="R540" t="s">
        <v>10</v>
      </c>
      <c r="S540" t="s">
        <v>1486</v>
      </c>
      <c r="T540" s="4">
        <v>44838</v>
      </c>
      <c r="U540" s="5">
        <v>0.3949537037037037</v>
      </c>
      <c r="V540" t="s">
        <v>13</v>
      </c>
      <c r="W540">
        <v>1.1659999999999999</v>
      </c>
      <c r="X540">
        <v>3530.6421999999998</v>
      </c>
      <c r="Y540">
        <v>175729.14720000001</v>
      </c>
      <c r="Z540" t="s">
        <v>1689</v>
      </c>
      <c r="AA540">
        <v>2.2629999999999999</v>
      </c>
      <c r="AB540">
        <v>80.798299999999998</v>
      </c>
      <c r="AC540">
        <v>0.13239999999999999</v>
      </c>
      <c r="AD540" t="s">
        <v>10</v>
      </c>
    </row>
    <row r="541" spans="1:30">
      <c r="A541" s="2">
        <v>250</v>
      </c>
      <c r="B541" s="6" t="s">
        <v>196</v>
      </c>
      <c r="C541" s="6" t="s">
        <v>196</v>
      </c>
      <c r="D541" s="2">
        <v>540</v>
      </c>
      <c r="E541" s="6" t="s">
        <v>196</v>
      </c>
      <c r="F541" t="s">
        <v>1487</v>
      </c>
      <c r="G541" s="4">
        <v>44838</v>
      </c>
      <c r="H541" s="5">
        <v>0.39870370370370373</v>
      </c>
      <c r="I541" t="s">
        <v>9</v>
      </c>
      <c r="J541">
        <v>1.4159999999999999</v>
      </c>
      <c r="K541">
        <v>0.32119999999999999</v>
      </c>
      <c r="L541">
        <v>1.7072000000000001</v>
      </c>
      <c r="M541" t="s">
        <v>10</v>
      </c>
      <c r="N541" t="s">
        <v>11</v>
      </c>
      <c r="O541">
        <v>1.956</v>
      </c>
      <c r="P541">
        <v>107.63930000000001</v>
      </c>
      <c r="Q541">
        <v>188.24700000000001</v>
      </c>
      <c r="R541" t="s">
        <v>10</v>
      </c>
      <c r="S541" t="s">
        <v>1488</v>
      </c>
      <c r="T541" s="4">
        <v>44838</v>
      </c>
      <c r="U541" s="5">
        <v>0.39870370370370373</v>
      </c>
      <c r="V541" t="s">
        <v>13</v>
      </c>
      <c r="W541">
        <v>1.1659999999999999</v>
      </c>
      <c r="X541">
        <v>3181.1676000000002</v>
      </c>
      <c r="Y541">
        <v>131814.31030000001</v>
      </c>
      <c r="Z541" t="s">
        <v>1689</v>
      </c>
      <c r="AA541">
        <v>2.27</v>
      </c>
      <c r="AB541">
        <v>60.332700000000003</v>
      </c>
      <c r="AC541">
        <v>4.8500000000000001E-2</v>
      </c>
      <c r="AD541" t="s">
        <v>10</v>
      </c>
    </row>
    <row r="542" spans="1:30">
      <c r="A542" s="2">
        <v>251</v>
      </c>
      <c r="B542" s="2" t="s">
        <v>1489</v>
      </c>
      <c r="C542" s="2" t="s">
        <v>1490</v>
      </c>
      <c r="D542" s="2">
        <v>541</v>
      </c>
      <c r="E542" s="3" t="str">
        <f>D542&amp;"g"</f>
        <v>541g</v>
      </c>
      <c r="F542" t="s">
        <v>1491</v>
      </c>
      <c r="G542" s="4">
        <v>44838</v>
      </c>
      <c r="H542" s="5">
        <v>0.4024537037037037</v>
      </c>
      <c r="I542" t="s">
        <v>9</v>
      </c>
      <c r="J542">
        <v>1.41</v>
      </c>
      <c r="K542">
        <v>0.40400000000000003</v>
      </c>
      <c r="L542">
        <v>2.0653000000000001</v>
      </c>
      <c r="M542" t="s">
        <v>10</v>
      </c>
      <c r="N542" t="s">
        <v>11</v>
      </c>
      <c r="O542">
        <v>1.95</v>
      </c>
      <c r="P542">
        <v>169.4616</v>
      </c>
      <c r="Q542">
        <v>416.72660000000002</v>
      </c>
      <c r="R542" t="s">
        <v>10</v>
      </c>
      <c r="S542" t="s">
        <v>1492</v>
      </c>
      <c r="T542" s="4">
        <v>44838</v>
      </c>
      <c r="U542" s="5">
        <v>0.4024537037037037</v>
      </c>
      <c r="V542" t="s">
        <v>13</v>
      </c>
      <c r="W542">
        <v>1.1599999999999999</v>
      </c>
      <c r="X542">
        <v>3531.7019</v>
      </c>
      <c r="Y542">
        <v>175885.43040000001</v>
      </c>
      <c r="Z542" t="s">
        <v>1689</v>
      </c>
      <c r="AA542">
        <v>2.2559999999999998</v>
      </c>
      <c r="AB542">
        <v>80.768600000000006</v>
      </c>
      <c r="AC542">
        <v>0.1323</v>
      </c>
      <c r="AD542" t="s">
        <v>10</v>
      </c>
    </row>
    <row r="543" spans="1:30">
      <c r="A543" s="2">
        <v>252</v>
      </c>
      <c r="B543" s="6" t="s">
        <v>196</v>
      </c>
      <c r="C543" s="6" t="s">
        <v>196</v>
      </c>
      <c r="D543" s="2">
        <v>542</v>
      </c>
      <c r="E543" s="6" t="s">
        <v>196</v>
      </c>
      <c r="F543" t="s">
        <v>1493</v>
      </c>
      <c r="G543" s="4">
        <v>44838</v>
      </c>
      <c r="H543" s="5">
        <v>0.40621527777777783</v>
      </c>
      <c r="I543" t="s">
        <v>9</v>
      </c>
      <c r="J543">
        <v>1.4159999999999999</v>
      </c>
      <c r="K543">
        <v>0.36599999999999999</v>
      </c>
      <c r="L543">
        <v>1.9009</v>
      </c>
      <c r="M543" t="s">
        <v>10</v>
      </c>
      <c r="N543" t="s">
        <v>11</v>
      </c>
      <c r="O543">
        <v>1.9530000000000001</v>
      </c>
      <c r="P543">
        <v>104.29640000000001</v>
      </c>
      <c r="Q543">
        <v>175.89250000000001</v>
      </c>
      <c r="R543" t="s">
        <v>10</v>
      </c>
      <c r="S543" t="s">
        <v>1494</v>
      </c>
      <c r="T543" s="4">
        <v>44838</v>
      </c>
      <c r="U543" s="5">
        <v>0.40621527777777783</v>
      </c>
      <c r="V543" t="s">
        <v>13</v>
      </c>
      <c r="W543">
        <v>1.1659999999999999</v>
      </c>
      <c r="X543">
        <v>3124.7836000000002</v>
      </c>
      <c r="Y543">
        <v>126341.81540000001</v>
      </c>
      <c r="Z543" t="s">
        <v>1689</v>
      </c>
      <c r="AA543">
        <v>2.27</v>
      </c>
      <c r="AB543">
        <v>57.6678</v>
      </c>
      <c r="AC543">
        <v>3.7600000000000001E-2</v>
      </c>
      <c r="AD543" t="s">
        <v>10</v>
      </c>
    </row>
    <row r="544" spans="1:30">
      <c r="A544" s="2">
        <v>253</v>
      </c>
      <c r="B544" s="6" t="s">
        <v>238</v>
      </c>
      <c r="C544" s="6" t="s">
        <v>239</v>
      </c>
      <c r="D544" s="2">
        <v>543</v>
      </c>
      <c r="E544" s="7" t="s">
        <v>1495</v>
      </c>
      <c r="F544" t="s">
        <v>1496</v>
      </c>
      <c r="G544" s="4">
        <v>44838</v>
      </c>
      <c r="H544" s="5">
        <v>0.4099652777777778</v>
      </c>
      <c r="I544" t="s">
        <v>9</v>
      </c>
      <c r="J544">
        <v>1.4059999999999999</v>
      </c>
      <c r="K544">
        <v>0.66959999999999997</v>
      </c>
      <c r="L544">
        <v>3.2141000000000002</v>
      </c>
      <c r="M544" t="s">
        <v>10</v>
      </c>
      <c r="N544" t="s">
        <v>11</v>
      </c>
      <c r="O544">
        <v>1.95</v>
      </c>
      <c r="P544">
        <v>166.37029999999999</v>
      </c>
      <c r="Q544">
        <v>405.30189999999999</v>
      </c>
      <c r="R544" t="s">
        <v>10</v>
      </c>
      <c r="S544" t="s">
        <v>1497</v>
      </c>
      <c r="T544" s="4">
        <v>44838</v>
      </c>
      <c r="U544" s="5">
        <v>0.4099652777777778</v>
      </c>
      <c r="V544" t="s">
        <v>13</v>
      </c>
      <c r="W544">
        <v>1.163</v>
      </c>
      <c r="X544">
        <v>3782.4195</v>
      </c>
      <c r="Y544">
        <v>212860.94940000001</v>
      </c>
      <c r="Z544" t="s">
        <v>1689</v>
      </c>
      <c r="AA544">
        <v>2.2599999999999998</v>
      </c>
      <c r="AB544">
        <v>94.8416</v>
      </c>
      <c r="AC544">
        <v>0.19</v>
      </c>
      <c r="AD544" t="s">
        <v>10</v>
      </c>
    </row>
    <row r="545" spans="1:30">
      <c r="A545" s="2">
        <v>254</v>
      </c>
      <c r="B545" s="6" t="s">
        <v>196</v>
      </c>
      <c r="C545" s="6" t="s">
        <v>196</v>
      </c>
      <c r="D545" s="2">
        <v>544</v>
      </c>
      <c r="E545" s="6" t="s">
        <v>196</v>
      </c>
      <c r="F545" t="s">
        <v>1498</v>
      </c>
      <c r="G545" s="4">
        <v>44838</v>
      </c>
      <c r="H545" s="5">
        <v>0.41371527777777778</v>
      </c>
      <c r="I545" t="s">
        <v>9</v>
      </c>
      <c r="J545">
        <v>1.41</v>
      </c>
      <c r="K545">
        <v>0.377</v>
      </c>
      <c r="L545">
        <v>1.9484999999999999</v>
      </c>
      <c r="M545" t="s">
        <v>10</v>
      </c>
      <c r="N545" t="s">
        <v>11</v>
      </c>
      <c r="O545">
        <v>1.95</v>
      </c>
      <c r="P545">
        <v>101.6772</v>
      </c>
      <c r="Q545">
        <v>166.21260000000001</v>
      </c>
      <c r="R545" t="s">
        <v>10</v>
      </c>
      <c r="S545" t="s">
        <v>1499</v>
      </c>
      <c r="T545" s="4">
        <v>44838</v>
      </c>
      <c r="U545" s="5">
        <v>0.41371527777777778</v>
      </c>
      <c r="V545" t="s">
        <v>13</v>
      </c>
      <c r="W545">
        <v>1.1599999999999999</v>
      </c>
      <c r="X545">
        <v>3143.5576999999998</v>
      </c>
      <c r="Y545">
        <v>128149.2815</v>
      </c>
      <c r="Z545" t="s">
        <v>1689</v>
      </c>
      <c r="AA545">
        <v>2.2629999999999999</v>
      </c>
      <c r="AB545">
        <v>57.170999999999999</v>
      </c>
      <c r="AC545">
        <v>3.56E-2</v>
      </c>
      <c r="AD545" t="s">
        <v>10</v>
      </c>
    </row>
    <row r="546" spans="1:30">
      <c r="A546" s="2">
        <v>255</v>
      </c>
      <c r="B546" s="2" t="s">
        <v>1500</v>
      </c>
      <c r="C546" s="2" t="s">
        <v>1501</v>
      </c>
      <c r="D546" s="2">
        <v>545</v>
      </c>
      <c r="E546" s="3" t="str">
        <f>D546&amp;"g"</f>
        <v>545g</v>
      </c>
      <c r="F546" t="s">
        <v>1502</v>
      </c>
      <c r="G546" s="4">
        <v>44838</v>
      </c>
      <c r="H546" s="5">
        <v>0.41746527777777781</v>
      </c>
      <c r="I546" t="s">
        <v>9</v>
      </c>
      <c r="J546">
        <v>1.4059999999999999</v>
      </c>
      <c r="K546">
        <v>0.44109999999999999</v>
      </c>
      <c r="L546">
        <v>2.2258</v>
      </c>
      <c r="M546" t="s">
        <v>10</v>
      </c>
      <c r="N546" t="s">
        <v>11</v>
      </c>
      <c r="O546">
        <v>1.95</v>
      </c>
      <c r="P546">
        <v>170.5752</v>
      </c>
      <c r="Q546">
        <v>420.84219999999999</v>
      </c>
      <c r="R546" t="s">
        <v>10</v>
      </c>
      <c r="S546" t="s">
        <v>1503</v>
      </c>
      <c r="T546" s="4">
        <v>44838</v>
      </c>
      <c r="U546" s="5">
        <v>0.41746527777777781</v>
      </c>
      <c r="V546" t="s">
        <v>13</v>
      </c>
      <c r="W546">
        <v>1.1599999999999999</v>
      </c>
      <c r="X546">
        <v>3496.8253</v>
      </c>
      <c r="Y546">
        <v>170741.87289999999</v>
      </c>
      <c r="Z546" t="s">
        <v>1689</v>
      </c>
      <c r="AA546">
        <v>2.2629999999999999</v>
      </c>
      <c r="AB546">
        <v>78.172200000000004</v>
      </c>
      <c r="AC546">
        <v>0.1216</v>
      </c>
      <c r="AD546" t="s">
        <v>10</v>
      </c>
    </row>
    <row r="547" spans="1:30">
      <c r="A547" s="2">
        <v>256</v>
      </c>
      <c r="B547" s="6" t="s">
        <v>196</v>
      </c>
      <c r="C547" s="6" t="s">
        <v>196</v>
      </c>
      <c r="D547" s="2">
        <v>546</v>
      </c>
      <c r="E547" s="6" t="s">
        <v>196</v>
      </c>
      <c r="F547" t="s">
        <v>1504</v>
      </c>
      <c r="G547" s="4">
        <v>44838</v>
      </c>
      <c r="H547" s="5">
        <v>0.42121527777777779</v>
      </c>
      <c r="I547" t="s">
        <v>9</v>
      </c>
      <c r="J547">
        <v>1.4159999999999999</v>
      </c>
      <c r="K547">
        <v>0.32840000000000003</v>
      </c>
      <c r="L547">
        <v>1.7383</v>
      </c>
      <c r="M547" t="s">
        <v>10</v>
      </c>
      <c r="N547" t="s">
        <v>11</v>
      </c>
      <c r="O547">
        <v>1.966</v>
      </c>
      <c r="P547">
        <v>100.1138</v>
      </c>
      <c r="Q547">
        <v>160.43469999999999</v>
      </c>
      <c r="R547" t="s">
        <v>10</v>
      </c>
      <c r="S547" t="s">
        <v>1505</v>
      </c>
      <c r="T547" s="4">
        <v>44838</v>
      </c>
      <c r="U547" s="5">
        <v>0.42121527777777779</v>
      </c>
      <c r="V547" t="s">
        <v>13</v>
      </c>
      <c r="W547">
        <v>1.1659999999999999</v>
      </c>
      <c r="X547">
        <v>3169.3191000000002</v>
      </c>
      <c r="Y547">
        <v>130659.69160000001</v>
      </c>
      <c r="Z547" t="s">
        <v>1689</v>
      </c>
      <c r="AA547">
        <v>2.2829999999999999</v>
      </c>
      <c r="AB547">
        <v>56.727600000000002</v>
      </c>
      <c r="AC547">
        <v>3.3700000000000001E-2</v>
      </c>
      <c r="AD547" t="s">
        <v>10</v>
      </c>
    </row>
    <row r="548" spans="1:30">
      <c r="A548" s="2">
        <v>257</v>
      </c>
      <c r="B548" s="6" t="s">
        <v>975</v>
      </c>
      <c r="C548" s="6" t="s">
        <v>1506</v>
      </c>
      <c r="D548" s="2">
        <v>547</v>
      </c>
      <c r="E548" s="3" t="str">
        <f>D548&amp;"g"</f>
        <v>547g</v>
      </c>
      <c r="F548" t="s">
        <v>1507</v>
      </c>
      <c r="G548" s="4">
        <v>44838</v>
      </c>
      <c r="H548" s="5">
        <v>0.42496527777777776</v>
      </c>
      <c r="I548" t="s">
        <v>9</v>
      </c>
      <c r="J548">
        <v>1.4059999999999999</v>
      </c>
      <c r="K548">
        <v>0.98909999999999998</v>
      </c>
      <c r="L548">
        <v>4.5960000000000001</v>
      </c>
      <c r="M548" t="s">
        <v>10</v>
      </c>
      <c r="N548" t="s">
        <v>11</v>
      </c>
      <c r="O548">
        <v>1.95</v>
      </c>
      <c r="P548">
        <v>233.96029999999999</v>
      </c>
      <c r="Q548">
        <v>655.09739999999999</v>
      </c>
      <c r="R548" t="s">
        <v>10</v>
      </c>
      <c r="S548" t="s">
        <v>1508</v>
      </c>
      <c r="T548" s="4">
        <v>44838</v>
      </c>
      <c r="U548" s="5">
        <v>0.42496527777777776</v>
      </c>
      <c r="V548" t="s">
        <v>13</v>
      </c>
      <c r="W548">
        <v>1.1559999999999999</v>
      </c>
      <c r="X548">
        <v>3504.7791999999999</v>
      </c>
      <c r="Y548">
        <v>171914.90419999999</v>
      </c>
      <c r="Z548" t="s">
        <v>1689</v>
      </c>
      <c r="AA548">
        <v>2.2629999999999999</v>
      </c>
      <c r="AB548">
        <v>82.517899999999997</v>
      </c>
      <c r="AC548">
        <v>0.13950000000000001</v>
      </c>
      <c r="AD548" t="s">
        <v>10</v>
      </c>
    </row>
    <row r="549" spans="1:30">
      <c r="A549" s="2">
        <v>258</v>
      </c>
      <c r="B549" s="6" t="s">
        <v>196</v>
      </c>
      <c r="C549" s="6" t="s">
        <v>196</v>
      </c>
      <c r="D549" s="2">
        <v>548</v>
      </c>
      <c r="E549" s="6" t="s">
        <v>196</v>
      </c>
      <c r="F549" t="s">
        <v>1509</v>
      </c>
      <c r="G549" s="4">
        <v>44838</v>
      </c>
      <c r="H549" s="5">
        <v>0.42871527777777779</v>
      </c>
      <c r="I549" t="s">
        <v>9</v>
      </c>
      <c r="J549">
        <v>1.4059999999999999</v>
      </c>
      <c r="K549">
        <v>0.377</v>
      </c>
      <c r="L549">
        <v>1.9484999999999999</v>
      </c>
      <c r="M549" t="s">
        <v>10</v>
      </c>
      <c r="N549" t="s">
        <v>11</v>
      </c>
      <c r="O549">
        <v>1.95</v>
      </c>
      <c r="P549">
        <v>100.38679999999999</v>
      </c>
      <c r="Q549">
        <v>161.4436</v>
      </c>
      <c r="R549" t="s">
        <v>10</v>
      </c>
      <c r="S549" t="s">
        <v>1510</v>
      </c>
      <c r="T549" s="4">
        <v>44838</v>
      </c>
      <c r="U549" s="5">
        <v>0.42871527777777779</v>
      </c>
      <c r="V549" t="s">
        <v>13</v>
      </c>
      <c r="W549">
        <v>1.1559999999999999</v>
      </c>
      <c r="X549">
        <v>3054.2689999999998</v>
      </c>
      <c r="Y549">
        <v>119912.4322</v>
      </c>
      <c r="Z549" t="s">
        <v>1689</v>
      </c>
      <c r="AA549">
        <v>2.2629999999999999</v>
      </c>
      <c r="AB549">
        <v>57.366100000000003</v>
      </c>
      <c r="AC549">
        <v>3.6400000000000002E-2</v>
      </c>
      <c r="AD549" t="s">
        <v>10</v>
      </c>
    </row>
    <row r="550" spans="1:30">
      <c r="A550" s="2">
        <v>259</v>
      </c>
      <c r="B550" s="6" t="s">
        <v>553</v>
      </c>
      <c r="C550" s="6" t="s">
        <v>1511</v>
      </c>
      <c r="D550" s="2">
        <v>549</v>
      </c>
      <c r="E550" s="3" t="str">
        <f t="shared" ref="E550" si="0">D550&amp;"g"</f>
        <v>549g</v>
      </c>
      <c r="F550" t="s">
        <v>1512</v>
      </c>
      <c r="G550" s="4">
        <v>44838</v>
      </c>
      <c r="H550" s="5">
        <v>0.43246527777777777</v>
      </c>
      <c r="I550" t="s">
        <v>9</v>
      </c>
      <c r="J550">
        <v>1.4059999999999999</v>
      </c>
      <c r="K550">
        <v>6603.8653999999997</v>
      </c>
      <c r="L550">
        <v>28563.493299999998</v>
      </c>
      <c r="M550" t="s">
        <v>10</v>
      </c>
      <c r="N550" t="s">
        <v>11</v>
      </c>
      <c r="O550">
        <v>1.97</v>
      </c>
      <c r="P550">
        <v>7202.1048000000001</v>
      </c>
      <c r="Q550">
        <v>26407.592700000001</v>
      </c>
      <c r="R550" t="s">
        <v>10</v>
      </c>
      <c r="S550" t="s">
        <v>1513</v>
      </c>
      <c r="T550" s="4">
        <v>44838</v>
      </c>
      <c r="U550" s="5">
        <v>0.43246527777777777</v>
      </c>
      <c r="V550" t="s">
        <v>13</v>
      </c>
      <c r="W550">
        <v>1.163</v>
      </c>
      <c r="X550">
        <v>3146.1464000000001</v>
      </c>
      <c r="Y550">
        <v>128401.5465</v>
      </c>
      <c r="Z550" t="s">
        <v>1689</v>
      </c>
      <c r="AA550">
        <v>2.266</v>
      </c>
      <c r="AB550">
        <v>226.33260000000001</v>
      </c>
      <c r="AC550">
        <v>0.72889999999999999</v>
      </c>
      <c r="AD550" t="s">
        <v>10</v>
      </c>
    </row>
    <row r="551" spans="1:30">
      <c r="A551" s="2">
        <v>260</v>
      </c>
      <c r="B551" s="6" t="s">
        <v>196</v>
      </c>
      <c r="C551" s="6" t="s">
        <v>196</v>
      </c>
      <c r="D551" s="2">
        <v>550</v>
      </c>
      <c r="E551" s="6" t="s">
        <v>196</v>
      </c>
      <c r="F551" t="s">
        <v>1514</v>
      </c>
      <c r="G551" s="4">
        <v>44838</v>
      </c>
      <c r="H551" s="5">
        <v>0.43622685185185189</v>
      </c>
      <c r="I551" t="s">
        <v>9</v>
      </c>
      <c r="J551">
        <v>1.403</v>
      </c>
      <c r="K551">
        <v>0.54600000000000004</v>
      </c>
      <c r="L551">
        <v>2.6795</v>
      </c>
      <c r="M551" t="s">
        <v>10</v>
      </c>
      <c r="N551" t="s">
        <v>11</v>
      </c>
      <c r="O551">
        <v>1.9430000000000001</v>
      </c>
      <c r="P551">
        <v>80.152100000000004</v>
      </c>
      <c r="Q551">
        <v>86.661299999999997</v>
      </c>
      <c r="R551" t="s">
        <v>10</v>
      </c>
      <c r="S551" t="s">
        <v>1515</v>
      </c>
      <c r="T551" s="4">
        <v>44838</v>
      </c>
      <c r="U551" s="5">
        <v>0.43622685185185189</v>
      </c>
      <c r="V551" t="s">
        <v>13</v>
      </c>
      <c r="W551">
        <v>1.1599999999999999</v>
      </c>
      <c r="X551">
        <v>2694.402</v>
      </c>
      <c r="Y551">
        <v>91791.948099999994</v>
      </c>
      <c r="Z551" t="s">
        <v>1689</v>
      </c>
      <c r="AA551">
        <v>2.2559999999999998</v>
      </c>
      <c r="AB551">
        <v>45.040599999999998</v>
      </c>
      <c r="AC551">
        <v>0</v>
      </c>
      <c r="AD551" t="s">
        <v>10</v>
      </c>
    </row>
    <row r="552" spans="1:30">
      <c r="A552" s="2">
        <v>261</v>
      </c>
      <c r="B552" s="6" t="s">
        <v>1291</v>
      </c>
      <c r="C552" s="6" t="s">
        <v>1516</v>
      </c>
      <c r="D552" s="2">
        <v>551</v>
      </c>
      <c r="E552" s="3" t="str">
        <f t="shared" ref="E552" si="1">D552&amp;"g"</f>
        <v>551g</v>
      </c>
      <c r="F552" t="s">
        <v>1517</v>
      </c>
      <c r="G552" s="4">
        <v>44838</v>
      </c>
      <c r="H552" s="5">
        <v>0.43997685185185187</v>
      </c>
      <c r="I552" t="s">
        <v>9</v>
      </c>
      <c r="J552">
        <v>1.4059999999999999</v>
      </c>
      <c r="K552">
        <v>0.71689999999999998</v>
      </c>
      <c r="L552">
        <v>3.4186999999999999</v>
      </c>
      <c r="M552" t="s">
        <v>10</v>
      </c>
      <c r="N552" t="s">
        <v>11</v>
      </c>
      <c r="O552">
        <v>1.95</v>
      </c>
      <c r="P552">
        <v>490.02569999999997</v>
      </c>
      <c r="Q552">
        <v>1601.4502</v>
      </c>
      <c r="R552" t="s">
        <v>10</v>
      </c>
      <c r="S552" t="s">
        <v>1518</v>
      </c>
      <c r="T552" s="4">
        <v>44838</v>
      </c>
      <c r="U552" s="5">
        <v>0.43997685185185187</v>
      </c>
      <c r="V552" t="s">
        <v>13</v>
      </c>
      <c r="W552">
        <v>1.1599999999999999</v>
      </c>
      <c r="X552">
        <v>3495.5954000000002</v>
      </c>
      <c r="Y552">
        <v>170560.48879999999</v>
      </c>
      <c r="Z552" t="s">
        <v>1689</v>
      </c>
      <c r="AA552">
        <v>2.2559999999999998</v>
      </c>
      <c r="AB552">
        <v>91.117599999999996</v>
      </c>
      <c r="AC552">
        <v>0.17469999999999999</v>
      </c>
      <c r="AD552" t="s">
        <v>10</v>
      </c>
    </row>
    <row r="553" spans="1:30">
      <c r="A553" s="2">
        <v>262</v>
      </c>
      <c r="B553" s="6" t="s">
        <v>196</v>
      </c>
      <c r="C553" s="6" t="s">
        <v>196</v>
      </c>
      <c r="D553" s="2">
        <v>552</v>
      </c>
      <c r="E553" s="6" t="s">
        <v>196</v>
      </c>
      <c r="F553" t="s">
        <v>1519</v>
      </c>
      <c r="G553" s="4">
        <v>44838</v>
      </c>
      <c r="H553" s="5">
        <v>0.44373842592592588</v>
      </c>
      <c r="I553" t="s">
        <v>9</v>
      </c>
      <c r="J553">
        <v>1.413</v>
      </c>
      <c r="K553">
        <v>0.36980000000000002</v>
      </c>
      <c r="L553">
        <v>1.9174</v>
      </c>
      <c r="M553" t="s">
        <v>10</v>
      </c>
      <c r="N553" t="s">
        <v>11</v>
      </c>
      <c r="O553">
        <v>1.9530000000000001</v>
      </c>
      <c r="P553">
        <v>101.0264</v>
      </c>
      <c r="Q553">
        <v>163.8074</v>
      </c>
      <c r="R553" t="s">
        <v>10</v>
      </c>
      <c r="S553" t="s">
        <v>1520</v>
      </c>
      <c r="T553" s="4">
        <v>44838</v>
      </c>
      <c r="U553" s="5">
        <v>0.44373842592592588</v>
      </c>
      <c r="V553" t="s">
        <v>13</v>
      </c>
      <c r="W553">
        <v>1.1659999999999999</v>
      </c>
      <c r="X553">
        <v>3047.4164000000001</v>
      </c>
      <c r="Y553">
        <v>119324.4436</v>
      </c>
      <c r="Z553" t="s">
        <v>1689</v>
      </c>
      <c r="AA553">
        <v>2.27</v>
      </c>
      <c r="AB553">
        <v>57.6892</v>
      </c>
      <c r="AC553">
        <v>3.7699999999999997E-2</v>
      </c>
      <c r="AD553" t="s">
        <v>10</v>
      </c>
    </row>
    <row r="554" spans="1:30">
      <c r="A554" s="2">
        <v>263</v>
      </c>
      <c r="B554" s="6" t="s">
        <v>1291</v>
      </c>
      <c r="C554" s="6" t="s">
        <v>1521</v>
      </c>
      <c r="D554" s="2">
        <v>553</v>
      </c>
      <c r="E554" s="3" t="str">
        <f t="shared" ref="E554" si="2">D554&amp;"g"</f>
        <v>553g</v>
      </c>
      <c r="F554" t="s">
        <v>1522</v>
      </c>
      <c r="G554" s="4">
        <v>44838</v>
      </c>
      <c r="H554" s="5">
        <v>0.44748842592592591</v>
      </c>
      <c r="I554" t="s">
        <v>9</v>
      </c>
      <c r="J554">
        <v>1.403</v>
      </c>
      <c r="K554">
        <v>17.021000000000001</v>
      </c>
      <c r="L554">
        <v>73.9375</v>
      </c>
      <c r="M554" t="s">
        <v>10</v>
      </c>
      <c r="N554" t="s">
        <v>11</v>
      </c>
      <c r="O554">
        <v>1.946</v>
      </c>
      <c r="P554">
        <v>985.29939999999999</v>
      </c>
      <c r="Q554">
        <v>3431.8562000000002</v>
      </c>
      <c r="R554" t="s">
        <v>10</v>
      </c>
      <c r="S554" t="s">
        <v>1523</v>
      </c>
      <c r="T554" s="4">
        <v>44838</v>
      </c>
      <c r="U554" s="5">
        <v>0.44748842592592591</v>
      </c>
      <c r="V554" t="s">
        <v>13</v>
      </c>
      <c r="W554">
        <v>1.1559999999999999</v>
      </c>
      <c r="X554">
        <v>3351.136</v>
      </c>
      <c r="Y554">
        <v>150518.4129</v>
      </c>
      <c r="Z554" t="s">
        <v>1689</v>
      </c>
      <c r="AA554">
        <v>2.25</v>
      </c>
      <c r="AB554">
        <v>104.98220000000001</v>
      </c>
      <c r="AC554">
        <v>0.23150000000000001</v>
      </c>
      <c r="AD554" t="s">
        <v>10</v>
      </c>
    </row>
    <row r="555" spans="1:30">
      <c r="A555" s="2">
        <v>264</v>
      </c>
      <c r="B555" s="6" t="s">
        <v>196</v>
      </c>
      <c r="C555" s="6" t="s">
        <v>196</v>
      </c>
      <c r="D555" s="2">
        <v>554</v>
      </c>
      <c r="E555" s="6" t="s">
        <v>196</v>
      </c>
      <c r="F555" t="s">
        <v>1524</v>
      </c>
      <c r="G555" s="4">
        <v>44838</v>
      </c>
      <c r="H555" s="5">
        <v>0.45126157407407402</v>
      </c>
      <c r="I555" t="s">
        <v>9</v>
      </c>
      <c r="J555">
        <v>1.4059999999999999</v>
      </c>
      <c r="K555">
        <v>0.35699999999999998</v>
      </c>
      <c r="L555">
        <v>1.8620000000000001</v>
      </c>
      <c r="M555" t="s">
        <v>10</v>
      </c>
      <c r="N555" t="s">
        <v>11</v>
      </c>
      <c r="O555">
        <v>1.95</v>
      </c>
      <c r="P555">
        <v>100.764</v>
      </c>
      <c r="Q555">
        <v>162.83770000000001</v>
      </c>
      <c r="R555" t="s">
        <v>10</v>
      </c>
      <c r="S555" t="s">
        <v>1525</v>
      </c>
      <c r="T555" s="4">
        <v>44838</v>
      </c>
      <c r="U555" s="5">
        <v>0.45126157407407402</v>
      </c>
      <c r="V555" t="s">
        <v>13</v>
      </c>
      <c r="W555">
        <v>1.1599999999999999</v>
      </c>
      <c r="X555">
        <v>3111.9614999999999</v>
      </c>
      <c r="Y555">
        <v>125171.7095</v>
      </c>
      <c r="Z555" t="s">
        <v>1689</v>
      </c>
      <c r="AA555">
        <v>2.266</v>
      </c>
      <c r="AB555">
        <v>57.252600000000001</v>
      </c>
      <c r="AC555">
        <v>3.5900000000000001E-2</v>
      </c>
      <c r="AD555" t="s">
        <v>10</v>
      </c>
    </row>
    <row r="556" spans="1:30">
      <c r="A556" s="2">
        <v>265</v>
      </c>
      <c r="B556" s="6" t="s">
        <v>1291</v>
      </c>
      <c r="C556" s="3" t="s">
        <v>1526</v>
      </c>
      <c r="D556" s="2">
        <v>555</v>
      </c>
      <c r="E556" s="3" t="str">
        <f t="shared" ref="E556" si="3">D556&amp;"g"</f>
        <v>555g</v>
      </c>
      <c r="F556" t="s">
        <v>1527</v>
      </c>
      <c r="G556" s="4">
        <v>44838</v>
      </c>
      <c r="H556" s="5">
        <v>0.45502314814814815</v>
      </c>
      <c r="I556" t="s">
        <v>9</v>
      </c>
      <c r="J556">
        <v>1.4059999999999999</v>
      </c>
      <c r="K556">
        <v>0.54</v>
      </c>
      <c r="L556">
        <v>2.6535000000000002</v>
      </c>
      <c r="M556" t="s">
        <v>10</v>
      </c>
      <c r="N556" t="s">
        <v>11</v>
      </c>
      <c r="O556">
        <v>1.9630000000000001</v>
      </c>
      <c r="P556">
        <v>4920.8886000000002</v>
      </c>
      <c r="Q556">
        <v>17976.795999999998</v>
      </c>
      <c r="R556" t="s">
        <v>10</v>
      </c>
      <c r="S556" t="s">
        <v>1528</v>
      </c>
      <c r="T556" s="4">
        <v>44838</v>
      </c>
      <c r="U556" s="5">
        <v>0.45502314814814815</v>
      </c>
      <c r="V556" t="s">
        <v>13</v>
      </c>
      <c r="W556">
        <v>1.1559999999999999</v>
      </c>
      <c r="X556">
        <v>3214.7615999999998</v>
      </c>
      <c r="Y556">
        <v>135215.70800000001</v>
      </c>
      <c r="Z556" t="s">
        <v>1689</v>
      </c>
      <c r="AA556">
        <v>2.2599999999999998</v>
      </c>
      <c r="AB556">
        <v>208.43199999999999</v>
      </c>
      <c r="AC556">
        <v>0.65559999999999996</v>
      </c>
      <c r="AD556" t="s">
        <v>10</v>
      </c>
    </row>
    <row r="557" spans="1:30">
      <c r="A557" s="2">
        <v>266</v>
      </c>
      <c r="B557" s="6" t="s">
        <v>196</v>
      </c>
      <c r="C557" s="6" t="s">
        <v>196</v>
      </c>
      <c r="D557" s="2">
        <v>556</v>
      </c>
      <c r="E557" s="6" t="s">
        <v>196</v>
      </c>
      <c r="F557" t="s">
        <v>1529</v>
      </c>
      <c r="G557" s="4">
        <v>44838</v>
      </c>
      <c r="H557" s="5">
        <v>0.45877314814814812</v>
      </c>
      <c r="I557" t="s">
        <v>9</v>
      </c>
      <c r="J557">
        <v>1.413</v>
      </c>
      <c r="K557">
        <v>0.253</v>
      </c>
      <c r="L557">
        <v>1.4121999999999999</v>
      </c>
      <c r="M557" t="s">
        <v>10</v>
      </c>
      <c r="N557" t="s">
        <v>11</v>
      </c>
      <c r="O557">
        <v>1.9630000000000001</v>
      </c>
      <c r="P557">
        <v>111.2392</v>
      </c>
      <c r="Q557">
        <v>201.5514</v>
      </c>
      <c r="R557" t="s">
        <v>10</v>
      </c>
      <c r="S557" t="s">
        <v>1530</v>
      </c>
      <c r="T557" s="4">
        <v>44838</v>
      </c>
      <c r="U557" s="5">
        <v>0.45877314814814812</v>
      </c>
      <c r="V557" t="s">
        <v>13</v>
      </c>
      <c r="W557">
        <v>1.1659999999999999</v>
      </c>
      <c r="X557">
        <v>3162.6053000000002</v>
      </c>
      <c r="Y557">
        <v>130005.4418</v>
      </c>
      <c r="Z557" t="s">
        <v>1689</v>
      </c>
      <c r="AA557">
        <v>2.2759999999999998</v>
      </c>
      <c r="AB557">
        <v>55.581000000000003</v>
      </c>
      <c r="AC557">
        <v>2.9000000000000001E-2</v>
      </c>
      <c r="AD557" t="s">
        <v>10</v>
      </c>
    </row>
    <row r="558" spans="1:30">
      <c r="A558" s="2">
        <v>267</v>
      </c>
      <c r="B558" s="3" t="s">
        <v>5</v>
      </c>
      <c r="C558" s="2" t="s">
        <v>6</v>
      </c>
      <c r="D558" s="2">
        <v>557</v>
      </c>
      <c r="E558" s="2" t="s">
        <v>1531</v>
      </c>
      <c r="F558" t="s">
        <v>1532</v>
      </c>
      <c r="G558" s="4">
        <v>44838</v>
      </c>
      <c r="H558" s="5">
        <v>0.46252314814814816</v>
      </c>
      <c r="I558" t="s">
        <v>9</v>
      </c>
      <c r="J558">
        <v>1.4059999999999999</v>
      </c>
      <c r="K558">
        <v>0.37940000000000002</v>
      </c>
      <c r="L558">
        <v>1.9589000000000001</v>
      </c>
      <c r="M558" t="s">
        <v>10</v>
      </c>
      <c r="N558" t="s">
        <v>11</v>
      </c>
      <c r="O558">
        <v>1.95</v>
      </c>
      <c r="P558">
        <v>110.24079999999999</v>
      </c>
      <c r="Q558">
        <v>197.86150000000001</v>
      </c>
      <c r="R558" t="s">
        <v>10</v>
      </c>
      <c r="S558" t="s">
        <v>1533</v>
      </c>
      <c r="T558" s="4">
        <v>44838</v>
      </c>
      <c r="U558" s="5">
        <v>0.46252314814814816</v>
      </c>
      <c r="V558" t="s">
        <v>13</v>
      </c>
      <c r="W558">
        <v>1.1559999999999999</v>
      </c>
      <c r="X558">
        <v>3145.2237</v>
      </c>
      <c r="Y558">
        <v>128311.63069999999</v>
      </c>
      <c r="Z558" t="s">
        <v>1689</v>
      </c>
      <c r="AA558">
        <v>2.2629999999999999</v>
      </c>
      <c r="AB558">
        <v>60.838999999999999</v>
      </c>
      <c r="AC558">
        <v>5.0599999999999999E-2</v>
      </c>
      <c r="AD558" t="s">
        <v>10</v>
      </c>
    </row>
    <row r="559" spans="1:30">
      <c r="A559" s="2">
        <v>268</v>
      </c>
      <c r="B559" s="6" t="s">
        <v>196</v>
      </c>
      <c r="C559" s="6" t="s">
        <v>196</v>
      </c>
      <c r="D559" s="2">
        <v>558</v>
      </c>
      <c r="E559" s="2" t="s">
        <v>1534</v>
      </c>
      <c r="F559" t="s">
        <v>1535</v>
      </c>
      <c r="G559" s="4">
        <v>44838</v>
      </c>
      <c r="H559" s="5">
        <v>0.46627314814814813</v>
      </c>
      <c r="I559" t="s">
        <v>9</v>
      </c>
      <c r="J559">
        <v>1.4059999999999999</v>
      </c>
      <c r="K559">
        <v>0.38519999999999999</v>
      </c>
      <c r="L559">
        <v>1.984</v>
      </c>
      <c r="M559" t="s">
        <v>10</v>
      </c>
      <c r="N559" t="s">
        <v>11</v>
      </c>
      <c r="O559">
        <v>1.95</v>
      </c>
      <c r="P559">
        <v>126.393</v>
      </c>
      <c r="Q559">
        <v>257.55599999999998</v>
      </c>
      <c r="R559" t="s">
        <v>10</v>
      </c>
      <c r="S559" t="s">
        <v>1536</v>
      </c>
      <c r="T559" s="4">
        <v>44838</v>
      </c>
      <c r="U559" s="5">
        <v>0.46627314814814813</v>
      </c>
      <c r="V559" t="s">
        <v>13</v>
      </c>
      <c r="W559">
        <v>1.1559999999999999</v>
      </c>
      <c r="X559">
        <v>3216.5884000000001</v>
      </c>
      <c r="Y559">
        <v>135406.68419999999</v>
      </c>
      <c r="Z559" t="s">
        <v>1689</v>
      </c>
      <c r="AA559">
        <v>2.2629999999999999</v>
      </c>
      <c r="AB559">
        <v>64.599599999999995</v>
      </c>
      <c r="AC559">
        <v>6.6000000000000003E-2</v>
      </c>
      <c r="AD559" t="s">
        <v>10</v>
      </c>
    </row>
    <row r="560" spans="1:30">
      <c r="A560" s="2">
        <v>269</v>
      </c>
      <c r="B560" s="3" t="s">
        <v>41</v>
      </c>
      <c r="C560" s="2" t="s">
        <v>6</v>
      </c>
      <c r="D560" s="2">
        <v>559</v>
      </c>
      <c r="E560" s="2" t="s">
        <v>1537</v>
      </c>
      <c r="F560" t="s">
        <v>1538</v>
      </c>
      <c r="G560" s="4">
        <v>44838</v>
      </c>
      <c r="H560" s="5">
        <v>0.47002314814814811</v>
      </c>
      <c r="I560" t="s">
        <v>9</v>
      </c>
      <c r="J560">
        <v>0</v>
      </c>
      <c r="K560">
        <v>0</v>
      </c>
      <c r="L560">
        <v>0</v>
      </c>
      <c r="M560" t="s">
        <v>10</v>
      </c>
      <c r="N560" t="s">
        <v>11</v>
      </c>
      <c r="O560">
        <v>1.946</v>
      </c>
      <c r="P560">
        <v>38.763599999999997</v>
      </c>
      <c r="Q560">
        <v>0</v>
      </c>
      <c r="R560" t="s">
        <v>10</v>
      </c>
      <c r="S560" t="s">
        <v>1539</v>
      </c>
      <c r="T560" s="4">
        <v>44838</v>
      </c>
      <c r="U560" s="5">
        <v>0.47002314814814811</v>
      </c>
      <c r="V560" t="s">
        <v>13</v>
      </c>
      <c r="W560">
        <v>1.153</v>
      </c>
      <c r="X560">
        <v>978.39660000000003</v>
      </c>
      <c r="Y560">
        <v>1353.1927000000001</v>
      </c>
      <c r="Z560" t="s">
        <v>1689</v>
      </c>
      <c r="AA560">
        <v>2.2629999999999999</v>
      </c>
      <c r="AB560">
        <v>16.786799999999999</v>
      </c>
      <c r="AC560">
        <v>0</v>
      </c>
      <c r="AD560" t="s">
        <v>10</v>
      </c>
    </row>
    <row r="561" spans="1:30">
      <c r="A561" s="2">
        <v>270</v>
      </c>
      <c r="B561" s="3" t="s">
        <v>5</v>
      </c>
      <c r="C561" s="2" t="s">
        <v>6</v>
      </c>
      <c r="D561" s="2">
        <v>560</v>
      </c>
      <c r="E561" s="2" t="s">
        <v>1540</v>
      </c>
      <c r="F561" t="s">
        <v>1541</v>
      </c>
      <c r="G561" s="4">
        <v>44838</v>
      </c>
      <c r="H561" s="5">
        <v>0.47377314814814814</v>
      </c>
      <c r="I561" t="s">
        <v>9</v>
      </c>
      <c r="J561">
        <v>1.4159999999999999</v>
      </c>
      <c r="K561">
        <v>0.33739999999999998</v>
      </c>
      <c r="L561">
        <v>1.7771999999999999</v>
      </c>
      <c r="M561" t="s">
        <v>10</v>
      </c>
      <c r="N561" t="s">
        <v>11</v>
      </c>
      <c r="O561">
        <v>1.96</v>
      </c>
      <c r="P561">
        <v>114.8784</v>
      </c>
      <c r="Q561">
        <v>215.0009</v>
      </c>
      <c r="R561" t="s">
        <v>10</v>
      </c>
      <c r="S561" t="s">
        <v>1542</v>
      </c>
      <c r="T561" s="4">
        <v>44838</v>
      </c>
      <c r="U561" s="5">
        <v>0.47377314814814814</v>
      </c>
      <c r="V561" t="s">
        <v>13</v>
      </c>
      <c r="W561">
        <v>1.1659999999999999</v>
      </c>
      <c r="X561">
        <v>3085.5536999999999</v>
      </c>
      <c r="Y561">
        <v>122761.8138</v>
      </c>
      <c r="Z561" t="s">
        <v>1689</v>
      </c>
      <c r="AA561">
        <v>2.2730000000000001</v>
      </c>
      <c r="AB561">
        <v>59.333300000000001</v>
      </c>
      <c r="AC561">
        <v>4.4400000000000002E-2</v>
      </c>
      <c r="AD561" t="s">
        <v>10</v>
      </c>
    </row>
    <row r="562" spans="1:30">
      <c r="A562" s="2">
        <v>271</v>
      </c>
      <c r="B562" s="3" t="s">
        <v>48</v>
      </c>
      <c r="C562" s="2" t="s">
        <v>6</v>
      </c>
      <c r="D562" s="2">
        <v>561</v>
      </c>
      <c r="E562" s="2" t="s">
        <v>1543</v>
      </c>
      <c r="F562" t="s">
        <v>1544</v>
      </c>
      <c r="G562" s="4">
        <v>44838</v>
      </c>
      <c r="H562" s="5">
        <v>0.47752314814814811</v>
      </c>
      <c r="I562" t="s">
        <v>9</v>
      </c>
      <c r="J562">
        <v>1.4059999999999999</v>
      </c>
      <c r="K562">
        <v>0.24360000000000001</v>
      </c>
      <c r="L562">
        <v>1.3714999999999999</v>
      </c>
      <c r="M562" t="s">
        <v>10</v>
      </c>
      <c r="N562" t="s">
        <v>11</v>
      </c>
      <c r="O562">
        <v>1.956</v>
      </c>
      <c r="P562">
        <v>86.287000000000006</v>
      </c>
      <c r="Q562">
        <v>109.3343</v>
      </c>
      <c r="R562" t="s">
        <v>10</v>
      </c>
      <c r="S562" t="s">
        <v>1545</v>
      </c>
      <c r="T562" s="4">
        <v>44838</v>
      </c>
      <c r="U562" s="5">
        <v>0.47752314814814811</v>
      </c>
      <c r="V562" t="s">
        <v>13</v>
      </c>
      <c r="W562">
        <v>1.1659999999999999</v>
      </c>
      <c r="X562">
        <v>3329.8784999999998</v>
      </c>
      <c r="Y562">
        <v>147917.50719999999</v>
      </c>
      <c r="Z562" t="s">
        <v>1689</v>
      </c>
      <c r="AA562">
        <v>2.27</v>
      </c>
      <c r="AB562">
        <v>57.368099999999998</v>
      </c>
      <c r="AC562">
        <v>3.6400000000000002E-2</v>
      </c>
      <c r="AD562" t="s">
        <v>10</v>
      </c>
    </row>
    <row r="563" spans="1:30">
      <c r="A563" s="2">
        <v>272</v>
      </c>
      <c r="B563" s="3" t="s">
        <v>5</v>
      </c>
      <c r="C563" s="2" t="s">
        <v>6</v>
      </c>
      <c r="D563" s="2">
        <v>562</v>
      </c>
      <c r="E563" s="2" t="s">
        <v>1546</v>
      </c>
      <c r="F563" t="s">
        <v>1547</v>
      </c>
      <c r="G563" s="4">
        <v>44838</v>
      </c>
      <c r="H563" s="5">
        <v>0.4812731481481482</v>
      </c>
      <c r="I563" t="s">
        <v>9</v>
      </c>
      <c r="J563">
        <v>1.4159999999999999</v>
      </c>
      <c r="K563">
        <v>0.32440000000000002</v>
      </c>
      <c r="L563">
        <v>1.7210000000000001</v>
      </c>
      <c r="M563" t="s">
        <v>10</v>
      </c>
      <c r="N563" t="s">
        <v>11</v>
      </c>
      <c r="O563">
        <v>1.9630000000000001</v>
      </c>
      <c r="P563">
        <v>106.0218</v>
      </c>
      <c r="Q563">
        <v>182.26920000000001</v>
      </c>
      <c r="R563" t="s">
        <v>10</v>
      </c>
      <c r="S563" t="s">
        <v>1548</v>
      </c>
      <c r="T563" s="4">
        <v>44838</v>
      </c>
      <c r="U563" s="5">
        <v>0.4812731481481482</v>
      </c>
      <c r="V563" t="s">
        <v>13</v>
      </c>
      <c r="W563">
        <v>1.1659999999999999</v>
      </c>
      <c r="X563">
        <v>3162.3287999999998</v>
      </c>
      <c r="Y563">
        <v>129978.4973</v>
      </c>
      <c r="Z563" t="s">
        <v>1689</v>
      </c>
      <c r="AA563">
        <v>2.2759999999999998</v>
      </c>
      <c r="AB563">
        <v>56.726999999999997</v>
      </c>
      <c r="AC563">
        <v>3.3700000000000001E-2</v>
      </c>
      <c r="AD563" t="s">
        <v>10</v>
      </c>
    </row>
    <row r="564" spans="1:30">
      <c r="A564" s="2">
        <v>273</v>
      </c>
      <c r="B564" s="3" t="s">
        <v>55</v>
      </c>
      <c r="C564" s="2" t="s">
        <v>6</v>
      </c>
      <c r="D564" s="2">
        <v>563</v>
      </c>
      <c r="E564" s="2" t="s">
        <v>1549</v>
      </c>
      <c r="F564" t="s">
        <v>1550</v>
      </c>
      <c r="G564" s="4">
        <v>44838</v>
      </c>
      <c r="H564" s="5">
        <v>0.48502314814814818</v>
      </c>
      <c r="I564" t="s">
        <v>9</v>
      </c>
      <c r="J564">
        <v>1.41</v>
      </c>
      <c r="K564">
        <v>0.64659999999999995</v>
      </c>
      <c r="L564">
        <v>3.1145999999999998</v>
      </c>
      <c r="M564" t="s">
        <v>10</v>
      </c>
      <c r="N564" t="s">
        <v>11</v>
      </c>
      <c r="O564">
        <v>1.9530000000000001</v>
      </c>
      <c r="P564">
        <v>161.74459999999999</v>
      </c>
      <c r="Q564">
        <v>388.20650000000001</v>
      </c>
      <c r="R564" t="s">
        <v>10</v>
      </c>
      <c r="S564" t="s">
        <v>1551</v>
      </c>
      <c r="T564" s="4">
        <v>44838</v>
      </c>
      <c r="U564" s="5">
        <v>0.48502314814814818</v>
      </c>
      <c r="V564" t="s">
        <v>13</v>
      </c>
      <c r="W564">
        <v>1.1599999999999999</v>
      </c>
      <c r="X564">
        <v>3773.6948000000002</v>
      </c>
      <c r="Y564">
        <v>211574.2415</v>
      </c>
      <c r="Z564" t="s">
        <v>1689</v>
      </c>
      <c r="AA564">
        <v>2.266</v>
      </c>
      <c r="AB564">
        <v>92.074799999999996</v>
      </c>
      <c r="AC564">
        <v>0.17860000000000001</v>
      </c>
      <c r="AD564" t="s">
        <v>10</v>
      </c>
    </row>
    <row r="565" spans="1:30">
      <c r="A565" s="2">
        <v>274</v>
      </c>
      <c r="B565" s="3" t="s">
        <v>5</v>
      </c>
      <c r="C565" s="2" t="s">
        <v>6</v>
      </c>
      <c r="D565" s="2">
        <v>564</v>
      </c>
      <c r="E565" s="2" t="s">
        <v>1552</v>
      </c>
      <c r="F565" t="s">
        <v>1553</v>
      </c>
      <c r="G565" s="4">
        <v>44838</v>
      </c>
      <c r="H565" s="5">
        <v>0.48878472222222219</v>
      </c>
      <c r="I565" t="s">
        <v>9</v>
      </c>
      <c r="J565">
        <v>1.413</v>
      </c>
      <c r="K565">
        <v>0.35120000000000001</v>
      </c>
      <c r="L565">
        <v>1.8369</v>
      </c>
      <c r="M565" t="s">
        <v>10</v>
      </c>
      <c r="N565" t="s">
        <v>11</v>
      </c>
      <c r="O565">
        <v>1.96</v>
      </c>
      <c r="P565">
        <v>119.0883</v>
      </c>
      <c r="Q565">
        <v>230.55959999999999</v>
      </c>
      <c r="R565" t="s">
        <v>10</v>
      </c>
      <c r="S565" t="s">
        <v>1554</v>
      </c>
      <c r="T565" s="4">
        <v>44838</v>
      </c>
      <c r="U565" s="5">
        <v>0.48878472222222219</v>
      </c>
      <c r="V565" t="s">
        <v>13</v>
      </c>
      <c r="W565">
        <v>1.1659999999999999</v>
      </c>
      <c r="X565">
        <v>3164.8157999999999</v>
      </c>
      <c r="Y565">
        <v>130220.8517</v>
      </c>
      <c r="Z565" t="s">
        <v>1689</v>
      </c>
      <c r="AA565">
        <v>2.2730000000000001</v>
      </c>
      <c r="AB565">
        <v>59.245600000000003</v>
      </c>
      <c r="AC565">
        <v>4.41E-2</v>
      </c>
      <c r="AD565" t="s">
        <v>10</v>
      </c>
    </row>
    <row r="566" spans="1:30">
      <c r="A566" s="2">
        <v>275</v>
      </c>
      <c r="B566" s="3" t="s">
        <v>62</v>
      </c>
      <c r="C566" s="2" t="s">
        <v>6</v>
      </c>
      <c r="D566" s="2">
        <v>565</v>
      </c>
      <c r="E566" s="2" t="s">
        <v>1555</v>
      </c>
      <c r="F566" t="s">
        <v>1556</v>
      </c>
      <c r="G566" s="4">
        <v>44838</v>
      </c>
      <c r="H566" s="5">
        <v>0.49253472222222222</v>
      </c>
      <c r="I566" t="s">
        <v>9</v>
      </c>
      <c r="J566">
        <v>1.4159999999999999</v>
      </c>
      <c r="K566">
        <v>4.6824000000000003</v>
      </c>
      <c r="L566">
        <v>20.5703</v>
      </c>
      <c r="M566" t="s">
        <v>10</v>
      </c>
      <c r="N566" t="s">
        <v>11</v>
      </c>
      <c r="O566">
        <v>1.9630000000000001</v>
      </c>
      <c r="P566">
        <v>606.48069999999996</v>
      </c>
      <c r="Q566">
        <v>2031.8384000000001</v>
      </c>
      <c r="R566" t="s">
        <v>10</v>
      </c>
      <c r="S566" t="s">
        <v>1557</v>
      </c>
      <c r="T566" s="4">
        <v>44838</v>
      </c>
      <c r="U566" s="5">
        <v>0.49253472222222222</v>
      </c>
      <c r="V566" t="s">
        <v>13</v>
      </c>
      <c r="W566">
        <v>1.1659999999999999</v>
      </c>
      <c r="X566">
        <v>3475.6017999999999</v>
      </c>
      <c r="Y566">
        <v>167611.85759999999</v>
      </c>
      <c r="Z566" t="s">
        <v>1689</v>
      </c>
      <c r="AA566">
        <v>2.2730000000000001</v>
      </c>
      <c r="AB566">
        <v>145.74039999999999</v>
      </c>
      <c r="AC566">
        <v>0.39860000000000001</v>
      </c>
      <c r="AD566" t="s">
        <v>10</v>
      </c>
    </row>
    <row r="567" spans="1:30">
      <c r="A567" s="2">
        <v>276</v>
      </c>
      <c r="B567" s="3" t="s">
        <v>5</v>
      </c>
      <c r="C567" s="2" t="s">
        <v>6</v>
      </c>
      <c r="D567" s="2">
        <v>566</v>
      </c>
      <c r="E567" s="2" t="s">
        <v>1558</v>
      </c>
      <c r="F567" t="s">
        <v>1559</v>
      </c>
      <c r="G567" s="4">
        <v>44838</v>
      </c>
      <c r="H567" s="5">
        <v>0.4962847222222222</v>
      </c>
      <c r="I567" t="s">
        <v>9</v>
      </c>
      <c r="J567">
        <v>1.4059999999999999</v>
      </c>
      <c r="K567">
        <v>0.32379999999999998</v>
      </c>
      <c r="L567">
        <v>1.7183999999999999</v>
      </c>
      <c r="M567" t="s">
        <v>10</v>
      </c>
      <c r="N567" t="s">
        <v>11</v>
      </c>
      <c r="O567">
        <v>1.95</v>
      </c>
      <c r="P567">
        <v>104.9532</v>
      </c>
      <c r="Q567">
        <v>178.31989999999999</v>
      </c>
      <c r="R567" t="s">
        <v>10</v>
      </c>
      <c r="S567" t="s">
        <v>1560</v>
      </c>
      <c r="T567" s="4">
        <v>44838</v>
      </c>
      <c r="U567" s="5">
        <v>0.4962847222222222</v>
      </c>
      <c r="V567" t="s">
        <v>13</v>
      </c>
      <c r="W567">
        <v>1.1559999999999999</v>
      </c>
      <c r="X567">
        <v>3036.6997999999999</v>
      </c>
      <c r="Y567">
        <v>118404.90360000001</v>
      </c>
      <c r="Z567" t="s">
        <v>1689</v>
      </c>
      <c r="AA567">
        <v>2.2599999999999998</v>
      </c>
      <c r="AB567">
        <v>56.122599999999998</v>
      </c>
      <c r="AC567">
        <v>3.1300000000000001E-2</v>
      </c>
      <c r="AD567" t="s">
        <v>10</v>
      </c>
    </row>
    <row r="568" spans="1:30">
      <c r="A568" s="2">
        <v>277</v>
      </c>
      <c r="B568" s="3" t="s">
        <v>69</v>
      </c>
      <c r="C568" s="2" t="s">
        <v>6</v>
      </c>
      <c r="D568" s="2">
        <v>567</v>
      </c>
      <c r="E568" s="2" t="s">
        <v>1561</v>
      </c>
      <c r="F568" t="s">
        <v>1562</v>
      </c>
      <c r="G568" s="4">
        <v>44838</v>
      </c>
      <c r="H568" s="5">
        <v>0.50003472222222223</v>
      </c>
      <c r="I568" t="s">
        <v>9</v>
      </c>
      <c r="J568">
        <v>1.41</v>
      </c>
      <c r="K568">
        <v>46.731400000000001</v>
      </c>
      <c r="L568">
        <v>202.44149999999999</v>
      </c>
      <c r="M568" t="s">
        <v>10</v>
      </c>
      <c r="N568" t="s">
        <v>11</v>
      </c>
      <c r="O568">
        <v>1.956</v>
      </c>
      <c r="P568">
        <v>1432.3396</v>
      </c>
      <c r="Q568">
        <v>5084.0034999999998</v>
      </c>
      <c r="R568" t="s">
        <v>10</v>
      </c>
      <c r="S568" t="s">
        <v>1563</v>
      </c>
      <c r="T568" s="4">
        <v>44838</v>
      </c>
      <c r="U568" s="5">
        <v>0.50003472222222223</v>
      </c>
      <c r="V568" t="s">
        <v>13</v>
      </c>
      <c r="W568">
        <v>1.1599999999999999</v>
      </c>
      <c r="X568">
        <v>3500.6275999999998</v>
      </c>
      <c r="Y568">
        <v>171302.63140000001</v>
      </c>
      <c r="Z568" t="s">
        <v>1689</v>
      </c>
      <c r="AA568">
        <v>2.2629999999999999</v>
      </c>
      <c r="AB568">
        <v>652.01819999999998</v>
      </c>
      <c r="AC568">
        <v>2.4738000000000002</v>
      </c>
      <c r="AD568" t="s">
        <v>10</v>
      </c>
    </row>
    <row r="569" spans="1:30">
      <c r="A569" s="2">
        <v>278</v>
      </c>
      <c r="B569" s="3" t="s">
        <v>5</v>
      </c>
      <c r="C569" s="2" t="s">
        <v>6</v>
      </c>
      <c r="D569" s="2">
        <v>568</v>
      </c>
      <c r="E569" s="2" t="s">
        <v>1564</v>
      </c>
      <c r="F569" t="s">
        <v>1565</v>
      </c>
      <c r="G569" s="4">
        <v>44838</v>
      </c>
      <c r="H569" s="5">
        <v>0.5037962962962963</v>
      </c>
      <c r="I569" t="s">
        <v>9</v>
      </c>
      <c r="J569">
        <v>1.41</v>
      </c>
      <c r="K569">
        <v>0.45119999999999999</v>
      </c>
      <c r="L569">
        <v>2.2694999999999999</v>
      </c>
      <c r="M569" t="s">
        <v>10</v>
      </c>
      <c r="N569" t="s">
        <v>11</v>
      </c>
      <c r="O569">
        <v>1.95</v>
      </c>
      <c r="P569">
        <v>117.5108</v>
      </c>
      <c r="Q569">
        <v>224.7296</v>
      </c>
      <c r="R569" t="s">
        <v>10</v>
      </c>
      <c r="S569" t="s">
        <v>1566</v>
      </c>
      <c r="T569" s="4">
        <v>44838</v>
      </c>
      <c r="U569" s="5">
        <v>0.5037962962962963</v>
      </c>
      <c r="V569" t="s">
        <v>13</v>
      </c>
      <c r="W569">
        <v>1.1599999999999999</v>
      </c>
      <c r="X569">
        <v>3157.1552000000001</v>
      </c>
      <c r="Y569">
        <v>129474.3377</v>
      </c>
      <c r="Z569" t="s">
        <v>1689</v>
      </c>
      <c r="AA569">
        <v>2.266</v>
      </c>
      <c r="AB569">
        <v>63.094700000000003</v>
      </c>
      <c r="AC569">
        <v>5.9799999999999999E-2</v>
      </c>
      <c r="AD569" t="s">
        <v>10</v>
      </c>
    </row>
    <row r="570" spans="1:30">
      <c r="A570" s="2">
        <v>279</v>
      </c>
      <c r="B570" s="3" t="s">
        <v>76</v>
      </c>
      <c r="C570" s="2" t="s">
        <v>6</v>
      </c>
      <c r="D570" s="2">
        <v>569</v>
      </c>
      <c r="E570" s="2" t="s">
        <v>1567</v>
      </c>
      <c r="F570" t="s">
        <v>1568</v>
      </c>
      <c r="G570" s="4">
        <v>44838</v>
      </c>
      <c r="H570" s="5">
        <v>0.50754629629629633</v>
      </c>
      <c r="I570" t="s">
        <v>9</v>
      </c>
      <c r="J570">
        <v>1.4059999999999999</v>
      </c>
      <c r="K570">
        <v>1146.8774000000001</v>
      </c>
      <c r="L570">
        <v>4960.8158000000003</v>
      </c>
      <c r="M570" t="s">
        <v>10</v>
      </c>
      <c r="N570" t="s">
        <v>11</v>
      </c>
      <c r="O570">
        <v>1.96</v>
      </c>
      <c r="P570">
        <v>2665.1259</v>
      </c>
      <c r="Q570">
        <v>9640.0691000000006</v>
      </c>
      <c r="R570" t="s">
        <v>10</v>
      </c>
      <c r="S570" t="s">
        <v>1569</v>
      </c>
      <c r="T570" s="4">
        <v>44838</v>
      </c>
      <c r="U570" s="5">
        <v>0.50754629629629633</v>
      </c>
      <c r="V570" t="s">
        <v>13</v>
      </c>
      <c r="W570">
        <v>1.1599999999999999</v>
      </c>
      <c r="X570">
        <v>3451.5326</v>
      </c>
      <c r="Y570">
        <v>164062.16200000001</v>
      </c>
      <c r="Z570" t="s">
        <v>1689</v>
      </c>
      <c r="AA570">
        <v>2.2599999999999998</v>
      </c>
      <c r="AB570">
        <v>1273.6594</v>
      </c>
      <c r="AC570">
        <v>5.0217999999999998</v>
      </c>
      <c r="AD570" t="s">
        <v>10</v>
      </c>
    </row>
    <row r="571" spans="1:30">
      <c r="A571" s="2">
        <v>280</v>
      </c>
      <c r="B571" s="3" t="s">
        <v>5</v>
      </c>
      <c r="C571" s="2" t="s">
        <v>6</v>
      </c>
      <c r="D571" s="2">
        <v>570</v>
      </c>
      <c r="E571" s="2" t="s">
        <v>1570</v>
      </c>
      <c r="F571" t="s">
        <v>1571</v>
      </c>
      <c r="G571" s="4">
        <v>44838</v>
      </c>
      <c r="H571" s="5">
        <v>0.51129629629629625</v>
      </c>
      <c r="I571" t="s">
        <v>9</v>
      </c>
      <c r="J571">
        <v>1.4159999999999999</v>
      </c>
      <c r="K571">
        <v>2.2746</v>
      </c>
      <c r="L571">
        <v>10.1561</v>
      </c>
      <c r="M571" t="s">
        <v>10</v>
      </c>
      <c r="N571" t="s">
        <v>11</v>
      </c>
      <c r="O571">
        <v>1.96</v>
      </c>
      <c r="P571">
        <v>136.95079999999999</v>
      </c>
      <c r="Q571">
        <v>296.57490000000001</v>
      </c>
      <c r="R571" t="s">
        <v>10</v>
      </c>
      <c r="S571" t="s">
        <v>1572</v>
      </c>
      <c r="T571" s="4">
        <v>44838</v>
      </c>
      <c r="U571" s="5">
        <v>0.51129629629629625</v>
      </c>
      <c r="V571" t="s">
        <v>13</v>
      </c>
      <c r="W571">
        <v>1.1659999999999999</v>
      </c>
      <c r="X571">
        <v>3182.3402000000001</v>
      </c>
      <c r="Y571">
        <v>131928.5784</v>
      </c>
      <c r="Z571" t="s">
        <v>1689</v>
      </c>
      <c r="AA571">
        <v>2.2730000000000001</v>
      </c>
      <c r="AB571">
        <v>64.757800000000003</v>
      </c>
      <c r="AC571">
        <v>6.6699999999999995E-2</v>
      </c>
      <c r="AD571" t="s">
        <v>10</v>
      </c>
    </row>
    <row r="572" spans="1:30">
      <c r="A572" s="2">
        <v>281</v>
      </c>
      <c r="B572" s="3" t="s">
        <v>83</v>
      </c>
      <c r="C572" s="2" t="s">
        <v>6</v>
      </c>
      <c r="D572" s="2">
        <v>571</v>
      </c>
      <c r="E572" s="2" t="s">
        <v>1573</v>
      </c>
      <c r="F572" t="s">
        <v>1574</v>
      </c>
      <c r="G572" s="4">
        <v>44838</v>
      </c>
      <c r="H572" s="5">
        <v>0.51505787037037043</v>
      </c>
      <c r="I572" t="s">
        <v>9</v>
      </c>
      <c r="J572">
        <v>1.39</v>
      </c>
      <c r="K572">
        <v>9895.6301000000003</v>
      </c>
      <c r="L572">
        <v>42801.102099999996</v>
      </c>
      <c r="M572" t="s">
        <v>10</v>
      </c>
      <c r="N572" t="s">
        <v>11</v>
      </c>
      <c r="O572">
        <v>1.9530000000000001</v>
      </c>
      <c r="P572">
        <v>11688.6898</v>
      </c>
      <c r="Q572">
        <v>42988.873299999999</v>
      </c>
      <c r="R572" t="s">
        <v>10</v>
      </c>
      <c r="S572" t="s">
        <v>1575</v>
      </c>
      <c r="T572" s="4">
        <v>44838</v>
      </c>
      <c r="U572" s="5">
        <v>0.51505787037037043</v>
      </c>
      <c r="V572" t="s">
        <v>13</v>
      </c>
      <c r="W572">
        <v>1.1559999999999999</v>
      </c>
      <c r="X572">
        <v>1186.3848</v>
      </c>
      <c r="Y572">
        <v>10315.5376</v>
      </c>
      <c r="Z572" t="s">
        <v>1689</v>
      </c>
      <c r="AA572">
        <v>2.266</v>
      </c>
      <c r="AB572">
        <v>4905.4054999999998</v>
      </c>
      <c r="AC572">
        <v>19.907900000000001</v>
      </c>
      <c r="AD572" t="s">
        <v>10</v>
      </c>
    </row>
    <row r="573" spans="1:30">
      <c r="A573" s="2">
        <v>282</v>
      </c>
      <c r="B573" s="3" t="s">
        <v>5</v>
      </c>
      <c r="C573" s="2" t="s">
        <v>6</v>
      </c>
      <c r="D573" s="2">
        <v>572</v>
      </c>
      <c r="E573" s="2" t="s">
        <v>1576</v>
      </c>
      <c r="F573" t="s">
        <v>1577</v>
      </c>
      <c r="G573" s="4">
        <v>44838</v>
      </c>
      <c r="H573" s="5">
        <v>0.51880787037037035</v>
      </c>
      <c r="I573" t="s">
        <v>9</v>
      </c>
      <c r="J573">
        <v>1.403</v>
      </c>
      <c r="K573">
        <v>5.7763999999999998</v>
      </c>
      <c r="L573">
        <v>25.302099999999999</v>
      </c>
      <c r="M573" t="s">
        <v>10</v>
      </c>
      <c r="N573" t="s">
        <v>11</v>
      </c>
      <c r="O573">
        <v>1.9430000000000001</v>
      </c>
      <c r="P573">
        <v>105.5925</v>
      </c>
      <c r="Q573">
        <v>180.68260000000001</v>
      </c>
      <c r="R573" t="s">
        <v>10</v>
      </c>
      <c r="S573" t="s">
        <v>1578</v>
      </c>
      <c r="T573" s="4">
        <v>44838</v>
      </c>
      <c r="U573" s="5">
        <v>0.51880787037037035</v>
      </c>
      <c r="V573" t="s">
        <v>13</v>
      </c>
      <c r="W573">
        <v>1.1559999999999999</v>
      </c>
      <c r="X573">
        <v>2835.4132</v>
      </c>
      <c r="Y573">
        <v>102079.7904</v>
      </c>
      <c r="Z573" t="s">
        <v>1689</v>
      </c>
      <c r="AA573">
        <v>2.2559999999999998</v>
      </c>
      <c r="AB573">
        <v>56.647799999999997</v>
      </c>
      <c r="AC573">
        <v>3.3399999999999999E-2</v>
      </c>
      <c r="AD573" t="s">
        <v>10</v>
      </c>
    </row>
    <row r="574" spans="1:30">
      <c r="A574" s="2">
        <v>283</v>
      </c>
      <c r="B574" s="3" t="s">
        <v>5</v>
      </c>
      <c r="C574" s="2" t="s">
        <v>6</v>
      </c>
      <c r="D574" s="2">
        <v>573</v>
      </c>
      <c r="E574" s="2" t="s">
        <v>1579</v>
      </c>
      <c r="F574" t="s">
        <v>1580</v>
      </c>
      <c r="G574" s="4">
        <v>44838</v>
      </c>
      <c r="H574" s="5">
        <v>0.52255787037037038</v>
      </c>
      <c r="I574" t="s">
        <v>9</v>
      </c>
      <c r="J574">
        <v>1.413</v>
      </c>
      <c r="K574">
        <v>0.376</v>
      </c>
      <c r="L574">
        <v>1.9441999999999999</v>
      </c>
      <c r="M574" t="s">
        <v>10</v>
      </c>
      <c r="N574" t="s">
        <v>11</v>
      </c>
      <c r="O574">
        <v>1.9630000000000001</v>
      </c>
      <c r="P574">
        <v>105.4196</v>
      </c>
      <c r="Q574">
        <v>180.0436</v>
      </c>
      <c r="R574" t="s">
        <v>10</v>
      </c>
      <c r="S574" t="s">
        <v>1581</v>
      </c>
      <c r="T574" s="4">
        <v>44838</v>
      </c>
      <c r="U574" s="5">
        <v>0.52255787037037038</v>
      </c>
      <c r="V574" t="s">
        <v>13</v>
      </c>
      <c r="W574">
        <v>1.163</v>
      </c>
      <c r="X574">
        <v>3187.3163</v>
      </c>
      <c r="Y574">
        <v>132413.492</v>
      </c>
      <c r="Z574" t="s">
        <v>1689</v>
      </c>
      <c r="AA574">
        <v>2.2759999999999998</v>
      </c>
      <c r="AB574">
        <v>59.4024</v>
      </c>
      <c r="AC574">
        <v>4.4699999999999997E-2</v>
      </c>
      <c r="AD574" t="s">
        <v>10</v>
      </c>
    </row>
    <row r="575" spans="1:30">
      <c r="A575" s="2">
        <v>284</v>
      </c>
      <c r="B575" s="3" t="s">
        <v>5</v>
      </c>
      <c r="C575" s="2" t="s">
        <v>6</v>
      </c>
      <c r="D575" s="2">
        <v>574</v>
      </c>
      <c r="E575" s="2" t="s">
        <v>1582</v>
      </c>
      <c r="F575" t="s">
        <v>1583</v>
      </c>
      <c r="G575" s="4">
        <v>44838</v>
      </c>
      <c r="H575" s="5">
        <v>0.52630787037037041</v>
      </c>
      <c r="I575" t="s">
        <v>9</v>
      </c>
      <c r="J575">
        <v>1.4059999999999999</v>
      </c>
      <c r="K575">
        <v>0.39100000000000001</v>
      </c>
      <c r="L575">
        <v>2.0091000000000001</v>
      </c>
      <c r="M575" t="s">
        <v>10</v>
      </c>
      <c r="N575" t="s">
        <v>11</v>
      </c>
      <c r="O575">
        <v>1.9530000000000001</v>
      </c>
      <c r="P575">
        <v>109.42700000000001</v>
      </c>
      <c r="Q575">
        <v>194.85390000000001</v>
      </c>
      <c r="R575" t="s">
        <v>10</v>
      </c>
      <c r="S575" t="s">
        <v>1584</v>
      </c>
      <c r="T575" s="4">
        <v>44838</v>
      </c>
      <c r="U575" s="5">
        <v>0.52630787037037041</v>
      </c>
      <c r="V575" t="s">
        <v>13</v>
      </c>
      <c r="W575">
        <v>1.1599999999999999</v>
      </c>
      <c r="X575">
        <v>3208.1419999999998</v>
      </c>
      <c r="Y575">
        <v>134523.68599999999</v>
      </c>
      <c r="Z575" t="s">
        <v>1689</v>
      </c>
      <c r="AA575">
        <v>2.266</v>
      </c>
      <c r="AB575">
        <v>64.404200000000003</v>
      </c>
      <c r="AC575">
        <v>6.5199999999999994E-2</v>
      </c>
      <c r="AD575" t="s">
        <v>10</v>
      </c>
    </row>
    <row r="576" spans="1:30">
      <c r="A576" s="2">
        <v>285</v>
      </c>
      <c r="B576" s="3" t="s">
        <v>96</v>
      </c>
      <c r="C576" s="2" t="s">
        <v>6</v>
      </c>
      <c r="D576" s="2">
        <v>575</v>
      </c>
      <c r="E576" s="2" t="s">
        <v>1585</v>
      </c>
      <c r="F576" t="s">
        <v>1586</v>
      </c>
      <c r="G576" s="4">
        <v>44838</v>
      </c>
      <c r="H576" s="5">
        <v>0.53005787037037033</v>
      </c>
      <c r="I576" t="s">
        <v>9</v>
      </c>
      <c r="J576">
        <v>0</v>
      </c>
      <c r="K576">
        <v>0</v>
      </c>
      <c r="L576">
        <v>0</v>
      </c>
      <c r="M576" t="s">
        <v>10</v>
      </c>
      <c r="N576" t="s">
        <v>11</v>
      </c>
      <c r="O576">
        <v>1.95</v>
      </c>
      <c r="P576">
        <v>13.2904</v>
      </c>
      <c r="Q576">
        <v>0</v>
      </c>
      <c r="R576" t="s">
        <v>10</v>
      </c>
      <c r="S576" t="s">
        <v>1587</v>
      </c>
      <c r="T576" s="4">
        <v>44838</v>
      </c>
      <c r="U576" s="5">
        <v>0.53005787037037033</v>
      </c>
      <c r="V576" t="s">
        <v>13</v>
      </c>
      <c r="W576">
        <v>1.153</v>
      </c>
      <c r="X576">
        <v>888.42960000000005</v>
      </c>
      <c r="Y576">
        <v>0</v>
      </c>
      <c r="Z576" t="s">
        <v>1689</v>
      </c>
      <c r="AA576">
        <v>2.2559999999999998</v>
      </c>
      <c r="AB576">
        <v>5.8718000000000004</v>
      </c>
      <c r="AC576">
        <v>0</v>
      </c>
      <c r="AD576" t="s">
        <v>10</v>
      </c>
    </row>
    <row r="577" spans="1:30">
      <c r="A577" s="2">
        <v>286</v>
      </c>
      <c r="B577" s="3" t="s">
        <v>5</v>
      </c>
      <c r="C577" s="2" t="s">
        <v>6</v>
      </c>
      <c r="D577" s="2">
        <v>576</v>
      </c>
      <c r="E577" s="2" t="s">
        <v>1588</v>
      </c>
      <c r="F577" t="s">
        <v>1589</v>
      </c>
      <c r="G577" s="4">
        <v>44838</v>
      </c>
      <c r="H577" s="5">
        <v>0.53380787037037036</v>
      </c>
      <c r="I577" t="s">
        <v>9</v>
      </c>
      <c r="J577">
        <v>1.41</v>
      </c>
      <c r="K577">
        <v>0.33600000000000002</v>
      </c>
      <c r="L577">
        <v>1.7712000000000001</v>
      </c>
      <c r="M577" t="s">
        <v>10</v>
      </c>
      <c r="N577" t="s">
        <v>11</v>
      </c>
      <c r="O577">
        <v>1.9530000000000001</v>
      </c>
      <c r="P577">
        <v>96.740700000000004</v>
      </c>
      <c r="Q577">
        <v>147.96860000000001</v>
      </c>
      <c r="R577" t="s">
        <v>10</v>
      </c>
      <c r="S577" t="s">
        <v>1590</v>
      </c>
      <c r="T577" s="4">
        <v>44838</v>
      </c>
      <c r="U577" s="5">
        <v>0.53380787037037036</v>
      </c>
      <c r="V577" t="s">
        <v>13</v>
      </c>
      <c r="W577">
        <v>1.1559999999999999</v>
      </c>
      <c r="X577">
        <v>3020.0140999999999</v>
      </c>
      <c r="Y577">
        <v>116973.1838</v>
      </c>
      <c r="Z577" t="s">
        <v>1689</v>
      </c>
      <c r="AA577">
        <v>2.27</v>
      </c>
      <c r="AB577">
        <v>56.918999999999997</v>
      </c>
      <c r="AC577">
        <v>3.4500000000000003E-2</v>
      </c>
      <c r="AD577" t="s">
        <v>10</v>
      </c>
    </row>
    <row r="578" spans="1:30">
      <c r="A578" s="2">
        <v>287</v>
      </c>
      <c r="B578" s="3" t="s">
        <v>103</v>
      </c>
      <c r="C578" s="2" t="s">
        <v>6</v>
      </c>
      <c r="D578" s="2">
        <v>577</v>
      </c>
      <c r="E578" s="2" t="s">
        <v>1591</v>
      </c>
      <c r="F578" t="s">
        <v>1592</v>
      </c>
      <c r="G578" s="4">
        <v>44838</v>
      </c>
      <c r="H578" s="5">
        <v>0.53756944444444443</v>
      </c>
      <c r="I578" t="s">
        <v>9</v>
      </c>
      <c r="J578">
        <v>1.4059999999999999</v>
      </c>
      <c r="K578">
        <v>0.17019999999999999</v>
      </c>
      <c r="L578">
        <v>1.0541</v>
      </c>
      <c r="M578" t="s">
        <v>10</v>
      </c>
      <c r="N578" t="s">
        <v>11</v>
      </c>
      <c r="O578">
        <v>1.95</v>
      </c>
      <c r="P578">
        <v>34.863500000000002</v>
      </c>
      <c r="Q578">
        <v>0</v>
      </c>
      <c r="R578" t="s">
        <v>10</v>
      </c>
      <c r="S578" t="s">
        <v>1593</v>
      </c>
      <c r="T578" s="4">
        <v>44838</v>
      </c>
      <c r="U578" s="5">
        <v>0.53756944444444443</v>
      </c>
      <c r="V578" t="s">
        <v>13</v>
      </c>
      <c r="W578">
        <v>1.1599999999999999</v>
      </c>
      <c r="X578">
        <v>1757.4992</v>
      </c>
      <c r="Y578">
        <v>37046.309200000003</v>
      </c>
      <c r="Z578" t="s">
        <v>1689</v>
      </c>
      <c r="AA578">
        <v>2.266</v>
      </c>
      <c r="AB578">
        <v>18.964200000000002</v>
      </c>
      <c r="AC578">
        <v>0</v>
      </c>
      <c r="AD578" t="s">
        <v>10</v>
      </c>
    </row>
    <row r="579" spans="1:30">
      <c r="A579" s="2">
        <v>288</v>
      </c>
      <c r="B579" s="3" t="s">
        <v>5</v>
      </c>
      <c r="C579" s="2" t="s">
        <v>6</v>
      </c>
      <c r="D579" s="2">
        <v>578</v>
      </c>
      <c r="E579" s="2" t="s">
        <v>1594</v>
      </c>
      <c r="F579" t="s">
        <v>1595</v>
      </c>
      <c r="G579" s="4">
        <v>44838</v>
      </c>
      <c r="H579" s="5">
        <v>0.54131944444444446</v>
      </c>
      <c r="I579" t="s">
        <v>9</v>
      </c>
      <c r="J579">
        <v>1.4159999999999999</v>
      </c>
      <c r="K579">
        <v>0.3972</v>
      </c>
      <c r="L579">
        <v>2.0358999999999998</v>
      </c>
      <c r="M579" t="s">
        <v>10</v>
      </c>
      <c r="N579" t="s">
        <v>11</v>
      </c>
      <c r="O579">
        <v>1.956</v>
      </c>
      <c r="P579">
        <v>116.0204</v>
      </c>
      <c r="Q579">
        <v>219.22149999999999</v>
      </c>
      <c r="R579" t="s">
        <v>10</v>
      </c>
      <c r="S579" t="s">
        <v>1596</v>
      </c>
      <c r="T579" s="4">
        <v>44838</v>
      </c>
      <c r="U579" s="5">
        <v>0.54131944444444446</v>
      </c>
      <c r="V579" t="s">
        <v>13</v>
      </c>
      <c r="W579">
        <v>1.1659999999999999</v>
      </c>
      <c r="X579">
        <v>3219.8393999999998</v>
      </c>
      <c r="Y579">
        <v>135746.54819999999</v>
      </c>
      <c r="Z579" t="s">
        <v>1689</v>
      </c>
      <c r="AA579">
        <v>2.27</v>
      </c>
      <c r="AB579">
        <v>67.176100000000005</v>
      </c>
      <c r="AC579">
        <v>7.6600000000000001E-2</v>
      </c>
      <c r="AD579" t="s">
        <v>10</v>
      </c>
    </row>
    <row r="580" spans="1:30">
      <c r="A580" s="2">
        <v>289</v>
      </c>
      <c r="B580" s="3" t="s">
        <v>110</v>
      </c>
      <c r="C580" s="2" t="s">
        <v>6</v>
      </c>
      <c r="D580" s="2">
        <v>579</v>
      </c>
      <c r="E580" s="2" t="s">
        <v>1597</v>
      </c>
      <c r="F580" t="s">
        <v>1598</v>
      </c>
      <c r="G580" s="4">
        <v>44838</v>
      </c>
      <c r="H580" s="5">
        <v>0.54508101851851853</v>
      </c>
      <c r="I580" t="s">
        <v>9</v>
      </c>
      <c r="J580">
        <v>1.413</v>
      </c>
      <c r="K580">
        <v>0.25879999999999997</v>
      </c>
      <c r="L580">
        <v>1.4373</v>
      </c>
      <c r="M580" t="s">
        <v>10</v>
      </c>
      <c r="N580" t="s">
        <v>11</v>
      </c>
      <c r="O580">
        <v>1.956</v>
      </c>
      <c r="P580">
        <v>55.364400000000003</v>
      </c>
      <c r="Q580">
        <v>0</v>
      </c>
      <c r="R580" t="s">
        <v>10</v>
      </c>
      <c r="S580" t="s">
        <v>1599</v>
      </c>
      <c r="T580" s="4">
        <v>44838</v>
      </c>
      <c r="U580" s="5">
        <v>0.54508101851851853</v>
      </c>
      <c r="V580" t="s">
        <v>13</v>
      </c>
      <c r="W580">
        <v>1.163</v>
      </c>
      <c r="X580">
        <v>2189.3054999999999</v>
      </c>
      <c r="Y580">
        <v>60021.5746</v>
      </c>
      <c r="Z580" t="s">
        <v>1689</v>
      </c>
      <c r="AA580">
        <v>2.266</v>
      </c>
      <c r="AB580">
        <v>29.676400000000001</v>
      </c>
      <c r="AC580">
        <v>0</v>
      </c>
      <c r="AD580" t="s">
        <v>10</v>
      </c>
    </row>
    <row r="581" spans="1:30">
      <c r="A581" s="2">
        <v>290</v>
      </c>
      <c r="B581" s="3" t="s">
        <v>5</v>
      </c>
      <c r="C581" s="2" t="s">
        <v>6</v>
      </c>
      <c r="D581" s="2">
        <v>580</v>
      </c>
      <c r="E581" s="2" t="s">
        <v>1600</v>
      </c>
      <c r="F581" t="s">
        <v>1601</v>
      </c>
      <c r="G581" s="4">
        <v>44838</v>
      </c>
      <c r="H581" s="5">
        <v>0.54883101851851845</v>
      </c>
      <c r="I581" t="s">
        <v>9</v>
      </c>
      <c r="J581">
        <v>1.403</v>
      </c>
      <c r="K581">
        <v>0.38440000000000002</v>
      </c>
      <c r="L581">
        <v>1.9804999999999999</v>
      </c>
      <c r="M581" t="s">
        <v>10</v>
      </c>
      <c r="N581" t="s">
        <v>11</v>
      </c>
      <c r="O581">
        <v>1.946</v>
      </c>
      <c r="P581">
        <v>111.1694</v>
      </c>
      <c r="Q581">
        <v>201.29339999999999</v>
      </c>
      <c r="R581" t="s">
        <v>10</v>
      </c>
      <c r="S581" t="s">
        <v>1602</v>
      </c>
      <c r="T581" s="4">
        <v>44838</v>
      </c>
      <c r="U581" s="5">
        <v>0.54883101851851845</v>
      </c>
      <c r="V581" t="s">
        <v>13</v>
      </c>
      <c r="W581">
        <v>1.1599999999999999</v>
      </c>
      <c r="X581">
        <v>3108.5349999999999</v>
      </c>
      <c r="Y581">
        <v>124859.0175</v>
      </c>
      <c r="Z581" t="s">
        <v>1689</v>
      </c>
      <c r="AA581">
        <v>2.2599999999999998</v>
      </c>
      <c r="AB581">
        <v>66.224599999999995</v>
      </c>
      <c r="AC581">
        <v>7.2700000000000001E-2</v>
      </c>
      <c r="AD581" t="s">
        <v>10</v>
      </c>
    </row>
    <row r="582" spans="1:30">
      <c r="A582" s="2">
        <v>291</v>
      </c>
      <c r="B582" s="3" t="s">
        <v>117</v>
      </c>
      <c r="C582" s="2" t="s">
        <v>6</v>
      </c>
      <c r="D582" s="2">
        <v>581</v>
      </c>
      <c r="E582" s="2" t="s">
        <v>1603</v>
      </c>
      <c r="F582" t="s">
        <v>1604</v>
      </c>
      <c r="G582" s="4">
        <v>44838</v>
      </c>
      <c r="H582" s="5">
        <v>0.55259259259259264</v>
      </c>
      <c r="I582" t="s">
        <v>9</v>
      </c>
      <c r="J582">
        <v>1.42</v>
      </c>
      <c r="K582">
        <v>0.28539999999999999</v>
      </c>
      <c r="L582">
        <v>1.5523</v>
      </c>
      <c r="M582" t="s">
        <v>10</v>
      </c>
      <c r="N582" t="s">
        <v>11</v>
      </c>
      <c r="O582">
        <v>1.966</v>
      </c>
      <c r="P582">
        <v>75.575199999999995</v>
      </c>
      <c r="Q582">
        <v>69.746200000000002</v>
      </c>
      <c r="R582" t="s">
        <v>10</v>
      </c>
      <c r="S582" t="s">
        <v>1605</v>
      </c>
      <c r="T582" s="4">
        <v>44838</v>
      </c>
      <c r="U582" s="5">
        <v>0.55259259259259264</v>
      </c>
      <c r="V582" t="s">
        <v>13</v>
      </c>
      <c r="W582">
        <v>1.1659999999999999</v>
      </c>
      <c r="X582">
        <v>2695.0043999999998</v>
      </c>
      <c r="Y582">
        <v>91833.667700000005</v>
      </c>
      <c r="Z582" t="s">
        <v>1689</v>
      </c>
      <c r="AA582">
        <v>2.2799999999999998</v>
      </c>
      <c r="AB582">
        <v>45.126800000000003</v>
      </c>
      <c r="AC582">
        <v>0</v>
      </c>
      <c r="AD582" t="s">
        <v>10</v>
      </c>
    </row>
    <row r="583" spans="1:30">
      <c r="A583" s="2">
        <v>292</v>
      </c>
      <c r="B583" s="3" t="s">
        <v>5</v>
      </c>
      <c r="C583" s="2" t="s">
        <v>6</v>
      </c>
      <c r="D583" s="2">
        <v>582</v>
      </c>
      <c r="E583" s="2" t="s">
        <v>1606</v>
      </c>
      <c r="F583" t="s">
        <v>1607</v>
      </c>
      <c r="G583" s="4">
        <v>44838</v>
      </c>
      <c r="H583" s="5">
        <v>0.55634259259259256</v>
      </c>
      <c r="I583" t="s">
        <v>9</v>
      </c>
      <c r="J583">
        <v>1.4059999999999999</v>
      </c>
      <c r="K583">
        <v>0.439</v>
      </c>
      <c r="L583">
        <v>2.2166999999999999</v>
      </c>
      <c r="M583" t="s">
        <v>10</v>
      </c>
      <c r="N583" t="s">
        <v>11</v>
      </c>
      <c r="O583">
        <v>1.9530000000000001</v>
      </c>
      <c r="P583">
        <v>114.9076</v>
      </c>
      <c r="Q583">
        <v>215.1088</v>
      </c>
      <c r="R583" t="s">
        <v>10</v>
      </c>
      <c r="S583" t="s">
        <v>1608</v>
      </c>
      <c r="T583" s="4">
        <v>44838</v>
      </c>
      <c r="U583" s="5">
        <v>0.55634259259259256</v>
      </c>
      <c r="V583" t="s">
        <v>13</v>
      </c>
      <c r="W583">
        <v>1.1559999999999999</v>
      </c>
      <c r="X583">
        <v>3355.3180000000002</v>
      </c>
      <c r="Y583">
        <v>151030.09049999999</v>
      </c>
      <c r="Z583" t="s">
        <v>1689</v>
      </c>
      <c r="AA583">
        <v>2.2629999999999999</v>
      </c>
      <c r="AB583">
        <v>66.889300000000006</v>
      </c>
      <c r="AC583">
        <v>7.5399999999999995E-2</v>
      </c>
      <c r="AD583" t="s">
        <v>10</v>
      </c>
    </row>
    <row r="584" spans="1:30">
      <c r="A584" s="2">
        <v>293</v>
      </c>
      <c r="B584" s="3" t="s">
        <v>124</v>
      </c>
      <c r="C584" s="2" t="s">
        <v>6</v>
      </c>
      <c r="D584" s="2">
        <v>583</v>
      </c>
      <c r="E584" s="2" t="s">
        <v>1609</v>
      </c>
      <c r="F584" t="s">
        <v>1610</v>
      </c>
      <c r="G584" s="4">
        <v>44838</v>
      </c>
      <c r="H584" s="5">
        <v>0.56009259259259259</v>
      </c>
      <c r="I584" t="s">
        <v>9</v>
      </c>
      <c r="J584">
        <v>1.42</v>
      </c>
      <c r="K584">
        <v>0.41170000000000001</v>
      </c>
      <c r="L584">
        <v>2.0985999999999998</v>
      </c>
      <c r="M584" t="s">
        <v>10</v>
      </c>
      <c r="N584" t="s">
        <v>11</v>
      </c>
      <c r="O584">
        <v>1.966</v>
      </c>
      <c r="P584">
        <v>97.804599999999994</v>
      </c>
      <c r="Q584">
        <v>151.90049999999999</v>
      </c>
      <c r="R584" t="s">
        <v>10</v>
      </c>
      <c r="S584" t="s">
        <v>1611</v>
      </c>
      <c r="T584" s="4">
        <v>44838</v>
      </c>
      <c r="U584" s="5">
        <v>0.56009259259259259</v>
      </c>
      <c r="V584" t="s">
        <v>13</v>
      </c>
      <c r="W584">
        <v>1.1659999999999999</v>
      </c>
      <c r="X584">
        <v>3102.7759999999998</v>
      </c>
      <c r="Y584">
        <v>124333.46859999999</v>
      </c>
      <c r="Z584" t="s">
        <v>1689</v>
      </c>
      <c r="AA584">
        <v>2.2799999999999998</v>
      </c>
      <c r="AB584">
        <v>60.233600000000003</v>
      </c>
      <c r="AC584">
        <v>4.8099999999999997E-2</v>
      </c>
      <c r="AD584" t="s">
        <v>10</v>
      </c>
    </row>
    <row r="585" spans="1:30">
      <c r="A585" s="2">
        <v>294</v>
      </c>
      <c r="B585" s="3" t="s">
        <v>5</v>
      </c>
      <c r="C585" s="2" t="s">
        <v>6</v>
      </c>
      <c r="D585" s="2">
        <v>584</v>
      </c>
      <c r="E585" s="2" t="s">
        <v>1612</v>
      </c>
      <c r="F585" t="s">
        <v>1613</v>
      </c>
      <c r="G585" s="4">
        <v>44838</v>
      </c>
      <c r="H585" s="5">
        <v>0.56384259259259262</v>
      </c>
      <c r="I585" t="s">
        <v>9</v>
      </c>
      <c r="J585">
        <v>1.4159999999999999</v>
      </c>
      <c r="K585">
        <v>0.43099999999999999</v>
      </c>
      <c r="L585">
        <v>2.1821000000000002</v>
      </c>
      <c r="M585" t="s">
        <v>10</v>
      </c>
      <c r="N585" t="s">
        <v>11</v>
      </c>
      <c r="O585">
        <v>1.9630000000000001</v>
      </c>
      <c r="P585">
        <v>118.79300000000001</v>
      </c>
      <c r="Q585">
        <v>229.4683</v>
      </c>
      <c r="R585" t="s">
        <v>10</v>
      </c>
      <c r="S585" t="s">
        <v>1614</v>
      </c>
      <c r="T585" s="4">
        <v>44838</v>
      </c>
      <c r="U585" s="5">
        <v>0.56384259259259262</v>
      </c>
      <c r="V585" t="s">
        <v>13</v>
      </c>
      <c r="W585">
        <v>1.1659999999999999</v>
      </c>
      <c r="X585">
        <v>3491.4434000000001</v>
      </c>
      <c r="Y585">
        <v>169948.15700000001</v>
      </c>
      <c r="Z585" t="s">
        <v>1689</v>
      </c>
      <c r="AA585">
        <v>2.2799999999999998</v>
      </c>
      <c r="AB585">
        <v>74.299599999999998</v>
      </c>
      <c r="AC585">
        <v>0.10580000000000001</v>
      </c>
      <c r="AD585" t="s">
        <v>10</v>
      </c>
    </row>
    <row r="586" spans="1:30">
      <c r="A586" s="2">
        <v>295</v>
      </c>
      <c r="B586" s="3" t="s">
        <v>131</v>
      </c>
      <c r="C586" s="2" t="s">
        <v>6</v>
      </c>
      <c r="D586" s="2">
        <v>585</v>
      </c>
      <c r="E586" s="2" t="s">
        <v>1615</v>
      </c>
      <c r="F586" t="s">
        <v>1616</v>
      </c>
      <c r="G586" s="4">
        <v>44838</v>
      </c>
      <c r="H586" s="5">
        <v>0.56759259259259254</v>
      </c>
      <c r="I586" t="s">
        <v>9</v>
      </c>
      <c r="J586">
        <v>1.4059999999999999</v>
      </c>
      <c r="K586">
        <v>0.42870000000000003</v>
      </c>
      <c r="L586">
        <v>2.1720999999999999</v>
      </c>
      <c r="M586" t="s">
        <v>10</v>
      </c>
      <c r="N586" t="s">
        <v>11</v>
      </c>
      <c r="O586">
        <v>1.9530000000000001</v>
      </c>
      <c r="P586">
        <v>112.8278</v>
      </c>
      <c r="Q586">
        <v>207.42240000000001</v>
      </c>
      <c r="R586" t="s">
        <v>10</v>
      </c>
      <c r="S586" t="s">
        <v>1617</v>
      </c>
      <c r="T586" s="4">
        <v>44838</v>
      </c>
      <c r="U586" s="5">
        <v>0.56759259259259254</v>
      </c>
      <c r="V586" t="s">
        <v>13</v>
      </c>
      <c r="W586">
        <v>1.1599999999999999</v>
      </c>
      <c r="X586">
        <v>3234.9178999999999</v>
      </c>
      <c r="Y586">
        <v>137322.87530000001</v>
      </c>
      <c r="Z586" t="s">
        <v>1689</v>
      </c>
      <c r="AA586">
        <v>2.27</v>
      </c>
      <c r="AB586">
        <v>66.810699999999997</v>
      </c>
      <c r="AC586">
        <v>7.51E-2</v>
      </c>
      <c r="AD586" t="s">
        <v>10</v>
      </c>
    </row>
    <row r="587" spans="1:30">
      <c r="A587" s="2">
        <v>296</v>
      </c>
      <c r="B587" s="3" t="s">
        <v>5</v>
      </c>
      <c r="C587" s="2" t="s">
        <v>6</v>
      </c>
      <c r="D587" s="2">
        <v>586</v>
      </c>
      <c r="E587" s="2" t="s">
        <v>1618</v>
      </c>
      <c r="F587" t="s">
        <v>1619</v>
      </c>
      <c r="G587" s="4">
        <v>44838</v>
      </c>
      <c r="H587" s="5">
        <v>0.57134259259259257</v>
      </c>
      <c r="I587" t="s">
        <v>9</v>
      </c>
      <c r="J587">
        <v>1.4159999999999999</v>
      </c>
      <c r="K587">
        <v>0.36220000000000002</v>
      </c>
      <c r="L587">
        <v>1.8845000000000001</v>
      </c>
      <c r="M587" t="s">
        <v>10</v>
      </c>
      <c r="N587" t="s">
        <v>11</v>
      </c>
      <c r="O587">
        <v>1.966</v>
      </c>
      <c r="P587">
        <v>101.4436</v>
      </c>
      <c r="Q587">
        <v>165.3493</v>
      </c>
      <c r="R587" t="s">
        <v>10</v>
      </c>
      <c r="S587" t="s">
        <v>1620</v>
      </c>
      <c r="T587" s="4">
        <v>44838</v>
      </c>
      <c r="U587" s="5">
        <v>0.57134259259259257</v>
      </c>
      <c r="V587" t="s">
        <v>13</v>
      </c>
      <c r="W587">
        <v>1.1659999999999999</v>
      </c>
      <c r="X587">
        <v>3254.9002</v>
      </c>
      <c r="Y587">
        <v>139411.8523</v>
      </c>
      <c r="Z587" t="s">
        <v>1689</v>
      </c>
      <c r="AA587">
        <v>2.2799999999999998</v>
      </c>
      <c r="AB587">
        <v>61.996000000000002</v>
      </c>
      <c r="AC587">
        <v>5.5300000000000002E-2</v>
      </c>
      <c r="AD587" t="s">
        <v>10</v>
      </c>
    </row>
    <row r="588" spans="1:30">
      <c r="A588" s="2">
        <v>297</v>
      </c>
      <c r="B588" s="3" t="s">
        <v>138</v>
      </c>
      <c r="C588" s="2" t="s">
        <v>6</v>
      </c>
      <c r="D588" s="2">
        <v>587</v>
      </c>
      <c r="E588" s="2" t="s">
        <v>1621</v>
      </c>
      <c r="F588" t="s">
        <v>1622</v>
      </c>
      <c r="G588" s="4">
        <v>44838</v>
      </c>
      <c r="H588" s="5">
        <v>0.57510416666666664</v>
      </c>
      <c r="I588" t="s">
        <v>9</v>
      </c>
      <c r="J588">
        <v>1.4059999999999999</v>
      </c>
      <c r="K588">
        <v>0.51900000000000002</v>
      </c>
      <c r="L588">
        <v>2.5627</v>
      </c>
      <c r="M588" t="s">
        <v>10</v>
      </c>
      <c r="N588" t="s">
        <v>11</v>
      </c>
      <c r="O588">
        <v>1.9530000000000001</v>
      </c>
      <c r="P588">
        <v>135.55770000000001</v>
      </c>
      <c r="Q588">
        <v>291.4264</v>
      </c>
      <c r="R588" t="s">
        <v>10</v>
      </c>
      <c r="S588" t="s">
        <v>1623</v>
      </c>
      <c r="T588" s="4">
        <v>44838</v>
      </c>
      <c r="U588" s="5">
        <v>0.57510416666666664</v>
      </c>
      <c r="V588" t="s">
        <v>13</v>
      </c>
      <c r="W588">
        <v>1.1599999999999999</v>
      </c>
      <c r="X588">
        <v>3540.9243999999999</v>
      </c>
      <c r="Y588">
        <v>177245.55319999999</v>
      </c>
      <c r="Z588" t="s">
        <v>1689</v>
      </c>
      <c r="AA588">
        <v>2.266</v>
      </c>
      <c r="AB588">
        <v>85.026899999999998</v>
      </c>
      <c r="AC588">
        <v>0.1497</v>
      </c>
      <c r="AD588" t="s">
        <v>10</v>
      </c>
    </row>
    <row r="589" spans="1:30">
      <c r="A589" s="2">
        <v>298</v>
      </c>
      <c r="B589" s="3" t="s">
        <v>5</v>
      </c>
      <c r="C589" s="2" t="s">
        <v>6</v>
      </c>
      <c r="D589" s="2">
        <v>588</v>
      </c>
      <c r="E589" s="2" t="s">
        <v>1624</v>
      </c>
      <c r="F589" t="s">
        <v>1625</v>
      </c>
      <c r="G589" s="4">
        <v>44838</v>
      </c>
      <c r="H589" s="5">
        <v>0.57885416666666667</v>
      </c>
      <c r="I589" t="s">
        <v>9</v>
      </c>
      <c r="J589">
        <v>1.42</v>
      </c>
      <c r="K589">
        <v>0.30680000000000002</v>
      </c>
      <c r="L589">
        <v>1.6449</v>
      </c>
      <c r="M589" t="s">
        <v>10</v>
      </c>
      <c r="N589" t="s">
        <v>11</v>
      </c>
      <c r="O589">
        <v>1.966</v>
      </c>
      <c r="P589">
        <v>87.027000000000001</v>
      </c>
      <c r="Q589">
        <v>112.0692</v>
      </c>
      <c r="R589" t="s">
        <v>10</v>
      </c>
      <c r="S589" t="s">
        <v>1626</v>
      </c>
      <c r="T589" s="4">
        <v>44838</v>
      </c>
      <c r="U589" s="5">
        <v>0.57885416666666667</v>
      </c>
      <c r="V589" t="s">
        <v>13</v>
      </c>
      <c r="W589">
        <v>1.1659999999999999</v>
      </c>
      <c r="X589">
        <v>3068.6316000000002</v>
      </c>
      <c r="Y589">
        <v>121217.5543</v>
      </c>
      <c r="Z589" t="s">
        <v>1689</v>
      </c>
      <c r="AA589">
        <v>2.2799999999999998</v>
      </c>
      <c r="AB589">
        <v>54.720599999999997</v>
      </c>
      <c r="AC589">
        <v>2.5499999999999998E-2</v>
      </c>
      <c r="AD589" t="s">
        <v>10</v>
      </c>
    </row>
    <row r="590" spans="1:30">
      <c r="A590" s="2">
        <v>299</v>
      </c>
      <c r="B590" s="3" t="s">
        <v>5</v>
      </c>
      <c r="C590" s="2" t="s">
        <v>6</v>
      </c>
      <c r="D590" s="2">
        <v>589</v>
      </c>
      <c r="E590" s="2" t="s">
        <v>1627</v>
      </c>
      <c r="F590" t="s">
        <v>1628</v>
      </c>
      <c r="G590" s="4">
        <v>44838</v>
      </c>
      <c r="H590" s="5">
        <v>0.5826041666666667</v>
      </c>
      <c r="I590" t="s">
        <v>9</v>
      </c>
      <c r="J590">
        <v>1.413</v>
      </c>
      <c r="K590">
        <v>0.37480000000000002</v>
      </c>
      <c r="L590">
        <v>1.9390000000000001</v>
      </c>
      <c r="M590" t="s">
        <v>10</v>
      </c>
      <c r="N590" t="s">
        <v>11</v>
      </c>
      <c r="O590">
        <v>1.9630000000000001</v>
      </c>
      <c r="P590">
        <v>89.691699999999997</v>
      </c>
      <c r="Q590">
        <v>121.9173</v>
      </c>
      <c r="R590" t="s">
        <v>10</v>
      </c>
      <c r="S590" t="s">
        <v>1629</v>
      </c>
      <c r="T590" s="4">
        <v>44838</v>
      </c>
      <c r="U590" s="5">
        <v>0.5826041666666667</v>
      </c>
      <c r="V590" t="s">
        <v>13</v>
      </c>
      <c r="W590">
        <v>1.163</v>
      </c>
      <c r="X590">
        <v>3095.9630999999999</v>
      </c>
      <c r="Y590">
        <v>123711.74400000001</v>
      </c>
      <c r="Z590" t="s">
        <v>1689</v>
      </c>
      <c r="AA590">
        <v>2.2799999999999998</v>
      </c>
      <c r="AB590">
        <v>54.741399999999999</v>
      </c>
      <c r="AC590">
        <v>2.5600000000000001E-2</v>
      </c>
      <c r="AD590" t="s">
        <v>10</v>
      </c>
    </row>
    <row r="591" spans="1:30">
      <c r="A591" s="2">
        <v>300</v>
      </c>
      <c r="B591" s="3" t="s">
        <v>5</v>
      </c>
      <c r="C591" s="2" t="s">
        <v>6</v>
      </c>
      <c r="D591" s="2">
        <v>590</v>
      </c>
      <c r="E591" s="2" t="s">
        <v>1630</v>
      </c>
      <c r="F591" t="s">
        <v>1631</v>
      </c>
      <c r="G591" s="4">
        <v>44838</v>
      </c>
      <c r="H591" s="5">
        <v>0.58636574074074077</v>
      </c>
      <c r="I591" t="s">
        <v>9</v>
      </c>
      <c r="J591">
        <v>1.41</v>
      </c>
      <c r="K591">
        <v>37.520000000000003</v>
      </c>
      <c r="L591">
        <v>162.6002</v>
      </c>
      <c r="M591" t="s">
        <v>10</v>
      </c>
      <c r="N591" t="s">
        <v>11</v>
      </c>
      <c r="O591">
        <v>1.9530000000000001</v>
      </c>
      <c r="P591">
        <v>215.1977</v>
      </c>
      <c r="Q591">
        <v>585.75559999999996</v>
      </c>
      <c r="R591" t="s">
        <v>10</v>
      </c>
      <c r="S591" t="s">
        <v>1632</v>
      </c>
      <c r="T591" s="4">
        <v>44838</v>
      </c>
      <c r="U591" s="5">
        <v>0.58636574074074077</v>
      </c>
      <c r="V591" t="s">
        <v>13</v>
      </c>
      <c r="W591">
        <v>1.1599999999999999</v>
      </c>
      <c r="X591">
        <v>3553.8971999999999</v>
      </c>
      <c r="Y591">
        <v>179158.76560000001</v>
      </c>
      <c r="Z591" t="s">
        <v>1689</v>
      </c>
      <c r="AA591">
        <v>2.27</v>
      </c>
      <c r="AB591">
        <v>97.291799999999995</v>
      </c>
      <c r="AC591">
        <v>0.2</v>
      </c>
      <c r="AD591" t="s">
        <v>10</v>
      </c>
    </row>
    <row r="592" spans="1:30">
      <c r="A592" s="2">
        <v>301</v>
      </c>
      <c r="B592" s="3" t="s">
        <v>151</v>
      </c>
      <c r="C592" s="2" t="s">
        <v>6</v>
      </c>
      <c r="D592" s="2">
        <v>591</v>
      </c>
      <c r="E592" s="2" t="s">
        <v>1633</v>
      </c>
      <c r="F592" t="s">
        <v>1634</v>
      </c>
      <c r="G592" s="4">
        <v>44838</v>
      </c>
      <c r="H592" s="5">
        <v>0.5901157407407408</v>
      </c>
      <c r="I592" t="s">
        <v>9</v>
      </c>
      <c r="J592">
        <v>1.4159999999999999</v>
      </c>
      <c r="K592">
        <v>0.1666</v>
      </c>
      <c r="L592">
        <v>1.0385</v>
      </c>
      <c r="M592" t="s">
        <v>10</v>
      </c>
      <c r="N592" t="s">
        <v>11</v>
      </c>
      <c r="O592">
        <v>1.9630000000000001</v>
      </c>
      <c r="P592">
        <v>44.2012</v>
      </c>
      <c r="Q592">
        <v>0</v>
      </c>
      <c r="R592" t="s">
        <v>10</v>
      </c>
      <c r="S592" t="s">
        <v>1635</v>
      </c>
      <c r="T592" s="4">
        <v>44838</v>
      </c>
      <c r="U592" s="5">
        <v>0.5901157407407408</v>
      </c>
      <c r="V592" t="s">
        <v>13</v>
      </c>
      <c r="W592">
        <v>1.163</v>
      </c>
      <c r="X592">
        <v>1100.6880000000001</v>
      </c>
      <c r="Y592">
        <v>6559.2183000000005</v>
      </c>
      <c r="Z592" t="s">
        <v>1689</v>
      </c>
      <c r="AA592">
        <v>2.2759999999999998</v>
      </c>
      <c r="AB592">
        <v>17.689399999999999</v>
      </c>
      <c r="AC592">
        <v>0</v>
      </c>
      <c r="AD592" t="s">
        <v>10</v>
      </c>
    </row>
    <row r="593" spans="1:30">
      <c r="A593" s="2">
        <v>302</v>
      </c>
      <c r="B593" s="3" t="s">
        <v>5</v>
      </c>
      <c r="C593" s="2" t="s">
        <v>6</v>
      </c>
      <c r="D593" s="2">
        <v>592</v>
      </c>
      <c r="E593" s="2" t="s">
        <v>1636</v>
      </c>
      <c r="F593" t="s">
        <v>1637</v>
      </c>
      <c r="G593" s="4">
        <v>44838</v>
      </c>
      <c r="H593" s="5">
        <v>0.59387731481481476</v>
      </c>
      <c r="I593" t="s">
        <v>9</v>
      </c>
      <c r="J593">
        <v>1.413</v>
      </c>
      <c r="K593">
        <v>0.41299999999999998</v>
      </c>
      <c r="L593">
        <v>2.1042000000000001</v>
      </c>
      <c r="M593" t="s">
        <v>10</v>
      </c>
      <c r="N593" t="s">
        <v>11</v>
      </c>
      <c r="O593">
        <v>1.956</v>
      </c>
      <c r="P593">
        <v>111.691</v>
      </c>
      <c r="Q593">
        <v>203.22110000000001</v>
      </c>
      <c r="R593" t="s">
        <v>10</v>
      </c>
      <c r="S593" t="s">
        <v>1638</v>
      </c>
      <c r="T593" s="4">
        <v>44838</v>
      </c>
      <c r="U593" s="5">
        <v>0.59387731481481476</v>
      </c>
      <c r="V593" t="s">
        <v>13</v>
      </c>
      <c r="W593">
        <v>1.1659999999999999</v>
      </c>
      <c r="X593">
        <v>3118.0944</v>
      </c>
      <c r="Y593">
        <v>125731.3793</v>
      </c>
      <c r="Z593" t="s">
        <v>1689</v>
      </c>
      <c r="AA593">
        <v>2.2730000000000001</v>
      </c>
      <c r="AB593">
        <v>62.241199999999999</v>
      </c>
      <c r="AC593">
        <v>5.6300000000000003E-2</v>
      </c>
      <c r="AD593" t="s">
        <v>10</v>
      </c>
    </row>
    <row r="594" spans="1:30">
      <c r="A594" s="2">
        <v>303</v>
      </c>
      <c r="B594" s="3" t="s">
        <v>158</v>
      </c>
      <c r="C594" s="2" t="s">
        <v>6</v>
      </c>
      <c r="D594" s="2">
        <v>593</v>
      </c>
      <c r="E594" s="2" t="s">
        <v>1639</v>
      </c>
      <c r="F594" t="s">
        <v>1640</v>
      </c>
      <c r="G594" s="4">
        <v>44838</v>
      </c>
      <c r="H594" s="5">
        <v>0.59762731481481479</v>
      </c>
      <c r="I594" t="s">
        <v>9</v>
      </c>
      <c r="J594">
        <v>0</v>
      </c>
      <c r="K594">
        <v>0</v>
      </c>
      <c r="L594">
        <v>0</v>
      </c>
      <c r="M594" t="s">
        <v>10</v>
      </c>
      <c r="N594" t="s">
        <v>11</v>
      </c>
      <c r="O594">
        <v>1.95</v>
      </c>
      <c r="P594">
        <v>46.177999999999997</v>
      </c>
      <c r="Q594">
        <v>0</v>
      </c>
      <c r="R594" t="s">
        <v>10</v>
      </c>
      <c r="S594" t="s">
        <v>1641</v>
      </c>
      <c r="T594" s="4">
        <v>44838</v>
      </c>
      <c r="U594" s="5">
        <v>0.59762731481481479</v>
      </c>
      <c r="V594" t="s">
        <v>13</v>
      </c>
      <c r="W594">
        <v>1.1559999999999999</v>
      </c>
      <c r="X594">
        <v>1652.9172000000001</v>
      </c>
      <c r="Y594">
        <v>31870.505300000001</v>
      </c>
      <c r="Z594" t="s">
        <v>1689</v>
      </c>
      <c r="AA594">
        <v>2.2629999999999999</v>
      </c>
      <c r="AB594">
        <v>16.697600000000001</v>
      </c>
      <c r="AC594">
        <v>0</v>
      </c>
      <c r="AD594" t="s">
        <v>10</v>
      </c>
    </row>
    <row r="595" spans="1:30">
      <c r="A595" s="2">
        <v>304</v>
      </c>
      <c r="B595" s="3" t="s">
        <v>5</v>
      </c>
      <c r="C595" s="2" t="s">
        <v>6</v>
      </c>
      <c r="D595" s="2">
        <v>594</v>
      </c>
      <c r="E595" s="2" t="s">
        <v>1642</v>
      </c>
      <c r="F595" t="s">
        <v>1643</v>
      </c>
      <c r="G595" s="4">
        <v>44838</v>
      </c>
      <c r="H595" s="5">
        <v>0.60137731481481482</v>
      </c>
      <c r="I595" t="s">
        <v>9</v>
      </c>
      <c r="J595">
        <v>1.4159999999999999</v>
      </c>
      <c r="K595">
        <v>0.37580000000000002</v>
      </c>
      <c r="L595">
        <v>1.9433</v>
      </c>
      <c r="M595" t="s">
        <v>10</v>
      </c>
      <c r="N595" t="s">
        <v>11</v>
      </c>
      <c r="O595">
        <v>1.9630000000000001</v>
      </c>
      <c r="P595">
        <v>113.06189999999999</v>
      </c>
      <c r="Q595">
        <v>208.2876</v>
      </c>
      <c r="R595" t="s">
        <v>10</v>
      </c>
      <c r="S595" t="s">
        <v>1644</v>
      </c>
      <c r="T595" s="4">
        <v>44838</v>
      </c>
      <c r="U595" s="5">
        <v>0.60137731481481482</v>
      </c>
      <c r="V595" t="s">
        <v>13</v>
      </c>
      <c r="W595">
        <v>1.1659999999999999</v>
      </c>
      <c r="X595">
        <v>3107.7253999999998</v>
      </c>
      <c r="Y595">
        <v>124785.1358</v>
      </c>
      <c r="Z595" t="s">
        <v>1689</v>
      </c>
      <c r="AA595">
        <v>2.2759999999999998</v>
      </c>
      <c r="AB595">
        <v>61.006</v>
      </c>
      <c r="AC595">
        <v>5.1299999999999998E-2</v>
      </c>
      <c r="AD595" t="s">
        <v>10</v>
      </c>
    </row>
    <row r="596" spans="1:30">
      <c r="A596" s="2">
        <v>305</v>
      </c>
      <c r="B596" s="3" t="s">
        <v>165</v>
      </c>
      <c r="C596" s="2" t="s">
        <v>6</v>
      </c>
      <c r="D596" s="2">
        <v>595</v>
      </c>
      <c r="E596" s="2" t="s">
        <v>1645</v>
      </c>
      <c r="F596" t="s">
        <v>1646</v>
      </c>
      <c r="G596" s="4">
        <v>44838</v>
      </c>
      <c r="H596" s="5">
        <v>0.60512731481481474</v>
      </c>
      <c r="I596" t="s">
        <v>9</v>
      </c>
      <c r="J596">
        <v>0</v>
      </c>
      <c r="K596">
        <v>0</v>
      </c>
      <c r="L596">
        <v>0</v>
      </c>
      <c r="M596" t="s">
        <v>10</v>
      </c>
      <c r="N596" t="s">
        <v>11</v>
      </c>
      <c r="O596">
        <v>1.9630000000000001</v>
      </c>
      <c r="P596">
        <v>43.827100000000002</v>
      </c>
      <c r="Q596">
        <v>0</v>
      </c>
      <c r="R596" t="s">
        <v>10</v>
      </c>
      <c r="S596" t="s">
        <v>1647</v>
      </c>
      <c r="T596" s="4">
        <v>44838</v>
      </c>
      <c r="U596" s="5">
        <v>0.60512731481481474</v>
      </c>
      <c r="V596" t="s">
        <v>13</v>
      </c>
      <c r="W596">
        <v>1.163</v>
      </c>
      <c r="X596">
        <v>2272.37</v>
      </c>
      <c r="Y596">
        <v>64844.117299999998</v>
      </c>
      <c r="Z596" t="s">
        <v>1689</v>
      </c>
      <c r="AA596">
        <v>2.2730000000000001</v>
      </c>
      <c r="AB596">
        <v>18.318300000000001</v>
      </c>
      <c r="AC596">
        <v>0</v>
      </c>
      <c r="AD596" t="s">
        <v>10</v>
      </c>
    </row>
    <row r="597" spans="1:30">
      <c r="A597" s="2">
        <v>306</v>
      </c>
      <c r="B597" s="3" t="s">
        <v>5</v>
      </c>
      <c r="C597" s="2" t="s">
        <v>6</v>
      </c>
      <c r="D597" s="2">
        <v>596</v>
      </c>
      <c r="E597" s="2" t="s">
        <v>1648</v>
      </c>
      <c r="F597" t="s">
        <v>1649</v>
      </c>
      <c r="G597" s="4">
        <v>44838</v>
      </c>
      <c r="H597" s="5">
        <v>0.60887731481481489</v>
      </c>
      <c r="I597" t="s">
        <v>9</v>
      </c>
      <c r="J597">
        <v>1.42</v>
      </c>
      <c r="K597">
        <v>0.373</v>
      </c>
      <c r="L597">
        <v>1.9312</v>
      </c>
      <c r="M597" t="s">
        <v>10</v>
      </c>
      <c r="N597" t="s">
        <v>11</v>
      </c>
      <c r="O597">
        <v>1.966</v>
      </c>
      <c r="P597">
        <v>109.117</v>
      </c>
      <c r="Q597">
        <v>193.70820000000001</v>
      </c>
      <c r="R597" t="s">
        <v>10</v>
      </c>
      <c r="S597" t="s">
        <v>1650</v>
      </c>
      <c r="T597" s="4">
        <v>44838</v>
      </c>
      <c r="U597" s="5">
        <v>0.60887731481481489</v>
      </c>
      <c r="V597" t="s">
        <v>13</v>
      </c>
      <c r="W597">
        <v>1.1659999999999999</v>
      </c>
      <c r="X597">
        <v>3178.0529999999999</v>
      </c>
      <c r="Y597">
        <v>131510.7972</v>
      </c>
      <c r="Z597" t="s">
        <v>1689</v>
      </c>
      <c r="AA597">
        <v>2.2799999999999998</v>
      </c>
      <c r="AB597">
        <v>63.079700000000003</v>
      </c>
      <c r="AC597">
        <v>5.9799999999999999E-2</v>
      </c>
      <c r="AD597" t="s">
        <v>10</v>
      </c>
    </row>
    <row r="598" spans="1:30">
      <c r="A598" s="2">
        <v>307</v>
      </c>
      <c r="B598" s="3" t="s">
        <v>172</v>
      </c>
      <c r="C598" s="2" t="s">
        <v>6</v>
      </c>
      <c r="D598" s="2">
        <v>597</v>
      </c>
      <c r="E598" s="2" t="s">
        <v>1651</v>
      </c>
      <c r="F598" t="s">
        <v>1652</v>
      </c>
      <c r="G598" s="4">
        <v>44838</v>
      </c>
      <c r="H598" s="5">
        <v>0.61263888888888884</v>
      </c>
      <c r="I598" t="s">
        <v>9</v>
      </c>
      <c r="J598">
        <v>0</v>
      </c>
      <c r="K598">
        <v>0</v>
      </c>
      <c r="L598">
        <v>0</v>
      </c>
      <c r="M598" t="s">
        <v>10</v>
      </c>
      <c r="N598" t="s">
        <v>11</v>
      </c>
      <c r="O598">
        <v>1.97</v>
      </c>
      <c r="P598">
        <v>42.286799999999999</v>
      </c>
      <c r="Q598">
        <v>0</v>
      </c>
      <c r="R598" t="s">
        <v>10</v>
      </c>
      <c r="S598" t="s">
        <v>1653</v>
      </c>
      <c r="T598" s="4">
        <v>44838</v>
      </c>
      <c r="U598" s="5">
        <v>0.61263888888888884</v>
      </c>
      <c r="V598" t="s">
        <v>13</v>
      </c>
      <c r="W598">
        <v>1.1659999999999999</v>
      </c>
      <c r="X598">
        <v>2896.4346999999998</v>
      </c>
      <c r="Y598">
        <v>106762.0073</v>
      </c>
      <c r="Z598" t="s">
        <v>1689</v>
      </c>
      <c r="AA598">
        <v>2.286</v>
      </c>
      <c r="AB598">
        <v>16.027999999999999</v>
      </c>
      <c r="AC598">
        <v>0</v>
      </c>
      <c r="AD598" t="s">
        <v>10</v>
      </c>
    </row>
    <row r="599" spans="1:30">
      <c r="A599" s="2">
        <v>308</v>
      </c>
      <c r="B599" s="3" t="s">
        <v>5</v>
      </c>
      <c r="C599" s="2" t="s">
        <v>6</v>
      </c>
      <c r="D599" s="2">
        <v>598</v>
      </c>
      <c r="E599" s="2" t="s">
        <v>1654</v>
      </c>
      <c r="F599" t="s">
        <v>1655</v>
      </c>
      <c r="G599" s="4">
        <v>44838</v>
      </c>
      <c r="H599" s="5">
        <v>0.61638888888888888</v>
      </c>
      <c r="I599" t="s">
        <v>9</v>
      </c>
      <c r="J599">
        <v>1.4059999999999999</v>
      </c>
      <c r="K599">
        <v>0.36720000000000003</v>
      </c>
      <c r="L599">
        <v>1.9060999999999999</v>
      </c>
      <c r="M599" t="s">
        <v>10</v>
      </c>
      <c r="N599" t="s">
        <v>11</v>
      </c>
      <c r="O599">
        <v>1.95</v>
      </c>
      <c r="P599">
        <v>99.617599999999996</v>
      </c>
      <c r="Q599">
        <v>158.6009</v>
      </c>
      <c r="R599" t="s">
        <v>10</v>
      </c>
      <c r="S599" t="s">
        <v>1656</v>
      </c>
      <c r="T599" s="4">
        <v>44838</v>
      </c>
      <c r="U599" s="5">
        <v>0.61638888888888888</v>
      </c>
      <c r="V599" t="s">
        <v>13</v>
      </c>
      <c r="W599">
        <v>1.1599999999999999</v>
      </c>
      <c r="X599">
        <v>2962.5252999999998</v>
      </c>
      <c r="Y599">
        <v>112113.2371</v>
      </c>
      <c r="Z599" t="s">
        <v>1689</v>
      </c>
      <c r="AA599">
        <v>2.266</v>
      </c>
      <c r="AB599">
        <v>56.973999999999997</v>
      </c>
      <c r="AC599">
        <v>3.4799999999999998E-2</v>
      </c>
      <c r="AD599" t="s">
        <v>10</v>
      </c>
    </row>
    <row r="600" spans="1:30">
      <c r="A600" s="2">
        <v>309</v>
      </c>
      <c r="B600" s="3" t="s">
        <v>179</v>
      </c>
      <c r="C600" s="2" t="s">
        <v>6</v>
      </c>
      <c r="D600" s="2">
        <v>599</v>
      </c>
      <c r="E600" s="2" t="s">
        <v>1657</v>
      </c>
      <c r="F600" t="s">
        <v>1658</v>
      </c>
      <c r="G600" s="4">
        <v>44838</v>
      </c>
      <c r="H600" s="5">
        <v>0.62015046296296295</v>
      </c>
      <c r="I600" t="s">
        <v>9</v>
      </c>
      <c r="J600">
        <v>0</v>
      </c>
      <c r="K600">
        <v>0</v>
      </c>
      <c r="L600">
        <v>0</v>
      </c>
      <c r="M600" t="s">
        <v>10</v>
      </c>
      <c r="N600" t="s">
        <v>11</v>
      </c>
      <c r="O600">
        <v>1.97</v>
      </c>
      <c r="P600">
        <v>42.804900000000004</v>
      </c>
      <c r="Q600">
        <v>0</v>
      </c>
      <c r="R600" t="s">
        <v>10</v>
      </c>
      <c r="S600" t="s">
        <v>1659</v>
      </c>
      <c r="T600" s="4">
        <v>44838</v>
      </c>
      <c r="U600" s="5">
        <v>0.62015046296296295</v>
      </c>
      <c r="V600" t="s">
        <v>13</v>
      </c>
      <c r="W600">
        <v>1.1659999999999999</v>
      </c>
      <c r="X600">
        <v>3395.8443000000002</v>
      </c>
      <c r="Y600">
        <v>156235.83050000001</v>
      </c>
      <c r="Z600" t="s">
        <v>1689</v>
      </c>
      <c r="AA600">
        <v>2.2829999999999999</v>
      </c>
      <c r="AB600">
        <v>17.433</v>
      </c>
      <c r="AC600">
        <v>0</v>
      </c>
      <c r="AD600" t="s">
        <v>10</v>
      </c>
    </row>
    <row r="601" spans="1:30">
      <c r="A601" s="2">
        <v>310</v>
      </c>
      <c r="B601" s="3" t="s">
        <v>5</v>
      </c>
      <c r="C601" s="2" t="s">
        <v>6</v>
      </c>
      <c r="D601" s="2">
        <v>600</v>
      </c>
      <c r="E601" s="2" t="s">
        <v>1660</v>
      </c>
      <c r="F601" t="s">
        <v>1661</v>
      </c>
      <c r="G601" s="4">
        <v>44838</v>
      </c>
      <c r="H601" s="5">
        <v>0.62390046296296298</v>
      </c>
      <c r="I601" t="s">
        <v>9</v>
      </c>
      <c r="J601">
        <v>1.41</v>
      </c>
      <c r="K601">
        <v>0.36149999999999999</v>
      </c>
      <c r="L601">
        <v>1.8815</v>
      </c>
      <c r="M601" t="s">
        <v>10</v>
      </c>
      <c r="N601" t="s">
        <v>11</v>
      </c>
      <c r="O601">
        <v>1.956</v>
      </c>
      <c r="P601">
        <v>90.804599999999994</v>
      </c>
      <c r="Q601">
        <v>126.03019999999999</v>
      </c>
      <c r="R601" t="s">
        <v>10</v>
      </c>
      <c r="S601" t="s">
        <v>1662</v>
      </c>
      <c r="T601" s="4">
        <v>44838</v>
      </c>
      <c r="U601" s="5">
        <v>0.62390046296296298</v>
      </c>
      <c r="V601" t="s">
        <v>13</v>
      </c>
      <c r="W601">
        <v>1.1599999999999999</v>
      </c>
      <c r="X601">
        <v>2978.0169999999998</v>
      </c>
      <c r="Y601">
        <v>113369.61440000001</v>
      </c>
      <c r="Z601" t="s">
        <v>1689</v>
      </c>
      <c r="AA601">
        <v>2.2759999999999998</v>
      </c>
      <c r="AB601">
        <v>54.300699999999999</v>
      </c>
      <c r="AC601">
        <v>2.3800000000000002E-2</v>
      </c>
      <c r="AD601" t="s">
        <v>10</v>
      </c>
    </row>
    <row r="602" spans="1:30">
      <c r="A602" s="2">
        <v>311</v>
      </c>
      <c r="B602" s="3" t="s">
        <v>5</v>
      </c>
      <c r="C602" s="2" t="s">
        <v>6</v>
      </c>
      <c r="D602" s="2">
        <v>601</v>
      </c>
      <c r="E602" s="2" t="s">
        <v>1663</v>
      </c>
      <c r="F602" t="s">
        <v>1664</v>
      </c>
      <c r="G602" s="4">
        <v>44838</v>
      </c>
      <c r="H602" s="5">
        <v>0.62765046296296301</v>
      </c>
      <c r="I602" t="s">
        <v>9</v>
      </c>
      <c r="J602">
        <v>1.42</v>
      </c>
      <c r="K602">
        <v>0.30840000000000001</v>
      </c>
      <c r="L602">
        <v>1.6517999999999999</v>
      </c>
      <c r="M602" t="s">
        <v>10</v>
      </c>
      <c r="N602" t="s">
        <v>11</v>
      </c>
      <c r="O602">
        <v>1.97</v>
      </c>
      <c r="P602">
        <v>89.175600000000003</v>
      </c>
      <c r="Q602">
        <v>120.0099</v>
      </c>
      <c r="R602" t="s">
        <v>10</v>
      </c>
      <c r="S602" t="s">
        <v>1665</v>
      </c>
      <c r="T602" s="4">
        <v>44838</v>
      </c>
      <c r="U602" s="5">
        <v>0.62765046296296301</v>
      </c>
      <c r="V602" t="s">
        <v>13</v>
      </c>
      <c r="W602">
        <v>1.1659999999999999</v>
      </c>
      <c r="X602">
        <v>3038.3782000000001</v>
      </c>
      <c r="Y602">
        <v>118548.91899999999</v>
      </c>
      <c r="Z602" t="s">
        <v>1689</v>
      </c>
      <c r="AA602">
        <v>2.29</v>
      </c>
      <c r="AB602">
        <v>54.0944</v>
      </c>
      <c r="AC602">
        <v>2.3E-2</v>
      </c>
      <c r="AD602" t="s">
        <v>10</v>
      </c>
    </row>
    <row r="603" spans="1:30">
      <c r="A603" s="2">
        <v>312</v>
      </c>
      <c r="B603" s="3" t="s">
        <v>5</v>
      </c>
      <c r="C603" s="2" t="s">
        <v>6</v>
      </c>
      <c r="D603" s="2">
        <v>602</v>
      </c>
      <c r="E603" s="2" t="s">
        <v>1666</v>
      </c>
      <c r="F603" t="s">
        <v>1667</v>
      </c>
      <c r="G603" s="4">
        <v>44838</v>
      </c>
      <c r="H603" s="5">
        <v>0.63140046296296293</v>
      </c>
      <c r="I603" t="s">
        <v>9</v>
      </c>
      <c r="J603">
        <v>1.41</v>
      </c>
      <c r="K603">
        <v>0.40639999999999998</v>
      </c>
      <c r="L603">
        <v>2.0756999999999999</v>
      </c>
      <c r="M603" t="s">
        <v>10</v>
      </c>
      <c r="N603" t="s">
        <v>11</v>
      </c>
      <c r="O603">
        <v>1.96</v>
      </c>
      <c r="P603">
        <v>98.266599999999997</v>
      </c>
      <c r="Q603">
        <v>153.6079</v>
      </c>
      <c r="R603" t="s">
        <v>10</v>
      </c>
      <c r="S603" t="s">
        <v>1668</v>
      </c>
      <c r="T603" s="4">
        <v>44838</v>
      </c>
      <c r="U603" s="5">
        <v>0.63140046296296293</v>
      </c>
      <c r="V603" t="s">
        <v>13</v>
      </c>
      <c r="W603">
        <v>1.1599999999999999</v>
      </c>
      <c r="X603">
        <v>3088.2736</v>
      </c>
      <c r="Y603">
        <v>123010.0236</v>
      </c>
      <c r="Z603" t="s">
        <v>1689</v>
      </c>
      <c r="AA603">
        <v>2.2730000000000001</v>
      </c>
      <c r="AB603">
        <v>60.814799999999998</v>
      </c>
      <c r="AC603">
        <v>5.0500000000000003E-2</v>
      </c>
      <c r="AD603" t="s">
        <v>10</v>
      </c>
    </row>
    <row r="604" spans="1:30">
      <c r="B604" s="8"/>
      <c r="C604" s="8"/>
      <c r="D604" s="8"/>
      <c r="S604" t="s">
        <v>1669</v>
      </c>
    </row>
  </sheetData>
  <autoFilter ref="B1:B604" xr:uid="{73ADF30F-0F55-E24F-B695-C86D757F18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374C-7617-A643-97BB-3596FBE98AA5}">
  <dimension ref="A1:M21"/>
  <sheetViews>
    <sheetView workbookViewId="0">
      <selection activeCell="A18" sqref="A18:K18"/>
    </sheetView>
  </sheetViews>
  <sheetFormatPr baseColWidth="10" defaultRowHeight="16"/>
  <cols>
    <col min="1" max="1" width="16.6640625" bestFit="1" customWidth="1"/>
  </cols>
  <sheetData>
    <row r="1" spans="1:13">
      <c r="A1" t="s">
        <v>1695</v>
      </c>
      <c r="B1" t="s">
        <v>1696</v>
      </c>
      <c r="C1" t="s">
        <v>1697</v>
      </c>
      <c r="D1" t="s">
        <v>1698</v>
      </c>
      <c r="E1" t="s">
        <v>1699</v>
      </c>
      <c r="F1" t="s">
        <v>1700</v>
      </c>
      <c r="G1" t="s">
        <v>1701</v>
      </c>
      <c r="H1" t="s">
        <v>1702</v>
      </c>
      <c r="I1" t="s">
        <v>1703</v>
      </c>
      <c r="J1" t="s">
        <v>1704</v>
      </c>
      <c r="K1" t="s">
        <v>1705</v>
      </c>
    </row>
    <row r="2" spans="1:13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</row>
    <row r="3" spans="1:13" ht="18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18</v>
      </c>
      <c r="H3">
        <v>0</v>
      </c>
      <c r="I3">
        <v>0</v>
      </c>
      <c r="J3">
        <v>0</v>
      </c>
      <c r="K3">
        <v>0</v>
      </c>
      <c r="M3" s="11"/>
    </row>
    <row r="4" spans="1:13">
      <c r="A4" t="s">
        <v>96</v>
      </c>
      <c r="B4">
        <v>415</v>
      </c>
      <c r="C4">
        <v>1.8</v>
      </c>
      <c r="D4">
        <v>0.32500000000000001</v>
      </c>
      <c r="E4" s="9">
        <v>209500</v>
      </c>
      <c r="F4">
        <v>0</v>
      </c>
      <c r="G4">
        <v>18</v>
      </c>
      <c r="H4">
        <v>0</v>
      </c>
      <c r="I4">
        <v>0</v>
      </c>
      <c r="J4">
        <v>0</v>
      </c>
      <c r="K4">
        <v>0</v>
      </c>
    </row>
    <row r="5" spans="1:13">
      <c r="A5" t="s">
        <v>103</v>
      </c>
      <c r="B5">
        <v>415</v>
      </c>
      <c r="C5">
        <v>1.8</v>
      </c>
      <c r="D5">
        <v>0.32500000000000001</v>
      </c>
      <c r="E5" s="9">
        <v>209500</v>
      </c>
      <c r="F5">
        <v>3</v>
      </c>
      <c r="G5">
        <v>15</v>
      </c>
      <c r="H5">
        <v>69.166666669999998</v>
      </c>
      <c r="I5">
        <v>0.3</v>
      </c>
      <c r="J5" s="10">
        <v>5.4166699999999998E-2</v>
      </c>
      <c r="K5">
        <v>34916.666669999999</v>
      </c>
    </row>
    <row r="6" spans="1:13">
      <c r="A6" t="s">
        <v>110</v>
      </c>
      <c r="B6">
        <v>415</v>
      </c>
      <c r="C6">
        <v>1.8</v>
      </c>
      <c r="D6">
        <v>0.32500000000000001</v>
      </c>
      <c r="E6" s="9">
        <v>209500</v>
      </c>
      <c r="F6">
        <v>6</v>
      </c>
      <c r="G6">
        <v>12</v>
      </c>
      <c r="H6">
        <v>138.33333329999999</v>
      </c>
      <c r="I6">
        <v>0.6</v>
      </c>
      <c r="J6" s="10">
        <v>0.108333</v>
      </c>
      <c r="K6">
        <v>69833.333329999994</v>
      </c>
    </row>
    <row r="7" spans="1:13">
      <c r="A7" t="s">
        <v>117</v>
      </c>
      <c r="B7">
        <v>415</v>
      </c>
      <c r="C7">
        <v>1.8</v>
      </c>
      <c r="D7">
        <v>0.32500000000000001</v>
      </c>
      <c r="E7" s="9">
        <v>209500</v>
      </c>
      <c r="F7">
        <v>9</v>
      </c>
      <c r="G7">
        <v>9</v>
      </c>
      <c r="H7">
        <v>207.5</v>
      </c>
      <c r="I7">
        <v>0.9</v>
      </c>
      <c r="J7">
        <v>0.16250000000000001</v>
      </c>
      <c r="K7">
        <v>104750</v>
      </c>
    </row>
    <row r="8" spans="1:13">
      <c r="A8" t="s">
        <v>124</v>
      </c>
      <c r="B8">
        <v>415</v>
      </c>
      <c r="C8">
        <v>1.8</v>
      </c>
      <c r="D8">
        <v>0.32500000000000001</v>
      </c>
      <c r="E8" s="9">
        <v>209500</v>
      </c>
      <c r="F8">
        <v>12</v>
      </c>
      <c r="G8">
        <v>6</v>
      </c>
      <c r="H8">
        <v>276.66666670000001</v>
      </c>
      <c r="I8">
        <v>1.2</v>
      </c>
      <c r="J8" s="10">
        <v>0.216667</v>
      </c>
      <c r="K8">
        <v>139666.6667</v>
      </c>
    </row>
    <row r="9" spans="1:13">
      <c r="A9" t="s">
        <v>131</v>
      </c>
      <c r="B9">
        <v>415</v>
      </c>
      <c r="C9">
        <v>1.8</v>
      </c>
      <c r="D9">
        <v>0.32500000000000001</v>
      </c>
      <c r="E9" s="9">
        <v>209500</v>
      </c>
      <c r="F9">
        <v>15</v>
      </c>
      <c r="G9">
        <v>3</v>
      </c>
      <c r="H9">
        <v>345.83333329999999</v>
      </c>
      <c r="I9">
        <v>1.5</v>
      </c>
      <c r="J9" s="10">
        <v>0.27083299999999999</v>
      </c>
      <c r="K9">
        <v>174583.3333</v>
      </c>
    </row>
    <row r="10" spans="1:13">
      <c r="A10" t="s">
        <v>138</v>
      </c>
      <c r="B10">
        <v>415</v>
      </c>
      <c r="C10">
        <v>1.8</v>
      </c>
      <c r="D10">
        <v>0.32500000000000001</v>
      </c>
      <c r="E10" s="9">
        <v>209500</v>
      </c>
      <c r="F10">
        <v>18</v>
      </c>
      <c r="G10">
        <v>0</v>
      </c>
      <c r="H10">
        <v>415</v>
      </c>
      <c r="I10">
        <v>1.8</v>
      </c>
      <c r="J10">
        <v>0.32500000000000001</v>
      </c>
      <c r="K10">
        <v>209500</v>
      </c>
    </row>
    <row r="11" spans="1:13">
      <c r="A11" t="s">
        <v>151</v>
      </c>
      <c r="B11">
        <v>0</v>
      </c>
      <c r="C11">
        <v>0</v>
      </c>
      <c r="D11">
        <v>0</v>
      </c>
      <c r="E11" s="9">
        <v>1000000</v>
      </c>
      <c r="F11">
        <v>0</v>
      </c>
      <c r="G11">
        <v>18</v>
      </c>
      <c r="H11">
        <v>0</v>
      </c>
      <c r="I11">
        <v>0</v>
      </c>
      <c r="J11">
        <v>0</v>
      </c>
      <c r="K11">
        <v>0</v>
      </c>
    </row>
    <row r="12" spans="1:13">
      <c r="A12" t="s">
        <v>158</v>
      </c>
      <c r="B12">
        <v>0</v>
      </c>
      <c r="C12">
        <v>0</v>
      </c>
      <c r="D12">
        <v>0</v>
      </c>
      <c r="E12" s="9">
        <v>1000000</v>
      </c>
      <c r="F12">
        <v>0.5</v>
      </c>
      <c r="G12">
        <v>17.5</v>
      </c>
      <c r="H12">
        <v>0</v>
      </c>
      <c r="I12">
        <v>0</v>
      </c>
      <c r="J12">
        <v>0</v>
      </c>
      <c r="K12">
        <v>27777.77778</v>
      </c>
    </row>
    <row r="13" spans="1:13">
      <c r="A13" t="s">
        <v>165</v>
      </c>
      <c r="B13">
        <v>0</v>
      </c>
      <c r="C13">
        <v>0</v>
      </c>
      <c r="D13">
        <v>0</v>
      </c>
      <c r="E13" s="9">
        <v>1000000</v>
      </c>
      <c r="F13">
        <v>1</v>
      </c>
      <c r="G13">
        <v>17</v>
      </c>
      <c r="H13">
        <v>0</v>
      </c>
      <c r="I13">
        <v>0</v>
      </c>
      <c r="J13">
        <v>0</v>
      </c>
      <c r="K13">
        <v>55555.555560000001</v>
      </c>
    </row>
    <row r="14" spans="1:13">
      <c r="A14" t="s">
        <v>172</v>
      </c>
      <c r="B14">
        <v>0</v>
      </c>
      <c r="C14">
        <v>0</v>
      </c>
      <c r="D14">
        <v>0</v>
      </c>
      <c r="E14" s="9">
        <v>1000000</v>
      </c>
      <c r="F14">
        <v>2</v>
      </c>
      <c r="G14">
        <v>16</v>
      </c>
      <c r="H14">
        <v>0</v>
      </c>
      <c r="I14">
        <v>0</v>
      </c>
      <c r="J14">
        <v>0</v>
      </c>
      <c r="K14">
        <v>111111.11109999999</v>
      </c>
    </row>
    <row r="15" spans="1:13">
      <c r="A15" t="s">
        <v>179</v>
      </c>
      <c r="B15">
        <v>0</v>
      </c>
      <c r="C15">
        <v>0</v>
      </c>
      <c r="D15">
        <v>0</v>
      </c>
      <c r="E15" s="9">
        <v>1000000</v>
      </c>
      <c r="F15">
        <v>3</v>
      </c>
      <c r="G15">
        <v>15</v>
      </c>
      <c r="H15">
        <v>0</v>
      </c>
      <c r="I15">
        <v>0</v>
      </c>
      <c r="J15">
        <v>0</v>
      </c>
      <c r="K15">
        <v>166666.6667</v>
      </c>
    </row>
    <row r="16" spans="1:13">
      <c r="A16" t="s">
        <v>48</v>
      </c>
      <c r="B16">
        <v>152.4</v>
      </c>
      <c r="C16">
        <v>0.97629999999999995</v>
      </c>
      <c r="D16">
        <v>0.22800000000000001</v>
      </c>
      <c r="E16">
        <v>180100</v>
      </c>
      <c r="F16">
        <v>18</v>
      </c>
      <c r="G16">
        <v>0</v>
      </c>
      <c r="H16">
        <v>152.4</v>
      </c>
      <c r="I16">
        <v>0.97629999999999995</v>
      </c>
      <c r="J16">
        <v>0.22800000000000001</v>
      </c>
      <c r="K16">
        <v>180100</v>
      </c>
    </row>
    <row r="17" spans="1:11">
      <c r="A17" t="s">
        <v>55</v>
      </c>
      <c r="B17">
        <v>426.2</v>
      </c>
      <c r="C17">
        <v>3.008</v>
      </c>
      <c r="D17">
        <v>0.379</v>
      </c>
      <c r="E17">
        <v>240100</v>
      </c>
      <c r="F17">
        <v>18</v>
      </c>
      <c r="G17">
        <v>0</v>
      </c>
      <c r="H17">
        <v>426.2</v>
      </c>
      <c r="I17">
        <v>3.008</v>
      </c>
      <c r="J17">
        <v>0.379</v>
      </c>
      <c r="K17">
        <v>240100</v>
      </c>
    </row>
    <row r="18" spans="1:11">
      <c r="A18" t="s">
        <v>62</v>
      </c>
      <c r="B18">
        <v>2013</v>
      </c>
      <c r="C18">
        <v>20.64</v>
      </c>
      <c r="D18">
        <v>0.495</v>
      </c>
      <c r="E18">
        <v>200500</v>
      </c>
      <c r="F18">
        <v>18</v>
      </c>
      <c r="G18">
        <v>0</v>
      </c>
      <c r="H18">
        <v>2013</v>
      </c>
      <c r="I18">
        <v>20.64</v>
      </c>
      <c r="J18">
        <v>0.495</v>
      </c>
      <c r="K18">
        <v>200500</v>
      </c>
    </row>
    <row r="19" spans="1:11">
      <c r="A19" t="s">
        <v>69</v>
      </c>
      <c r="B19">
        <v>4967</v>
      </c>
      <c r="C19">
        <v>201.4</v>
      </c>
      <c r="D19">
        <v>2.4900000000000002</v>
      </c>
      <c r="E19">
        <v>200700</v>
      </c>
      <c r="F19">
        <v>18</v>
      </c>
      <c r="G19">
        <v>0</v>
      </c>
      <c r="H19">
        <v>4967</v>
      </c>
      <c r="I19">
        <v>201.4</v>
      </c>
      <c r="J19">
        <v>2.4900000000000002</v>
      </c>
      <c r="K19">
        <v>200700</v>
      </c>
    </row>
    <row r="20" spans="1:11">
      <c r="A20" t="s">
        <v>76</v>
      </c>
      <c r="B20">
        <v>10080</v>
      </c>
      <c r="C20">
        <v>5029</v>
      </c>
      <c r="D20">
        <v>5</v>
      </c>
      <c r="E20">
        <v>202000</v>
      </c>
      <c r="F20">
        <v>18</v>
      </c>
      <c r="G20">
        <v>0</v>
      </c>
      <c r="H20">
        <v>10080</v>
      </c>
      <c r="I20">
        <v>5029</v>
      </c>
      <c r="J20">
        <v>5</v>
      </c>
      <c r="K20">
        <v>202000</v>
      </c>
    </row>
    <row r="21" spans="1:11">
      <c r="A21" t="s">
        <v>83</v>
      </c>
      <c r="B21">
        <v>49990</v>
      </c>
      <c r="C21">
        <v>60340</v>
      </c>
      <c r="D21">
        <v>20</v>
      </c>
      <c r="F21">
        <v>18</v>
      </c>
      <c r="G21">
        <v>0</v>
      </c>
      <c r="H21">
        <v>49990</v>
      </c>
      <c r="I21">
        <v>60340</v>
      </c>
      <c r="J21">
        <v>20</v>
      </c>
      <c r="K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CAA2-DA6D-2C49-A418-E1A72C8EF54F}">
  <dimension ref="A1:AH55"/>
  <sheetViews>
    <sheetView topLeftCell="M1" zoomScale="90" zoomScaleNormal="70" workbookViewId="0">
      <selection activeCell="AF1" activeCellId="1" sqref="K1:K1048576 AF1:AF1048576"/>
    </sheetView>
  </sheetViews>
  <sheetFormatPr baseColWidth="10" defaultRowHeight="16"/>
  <cols>
    <col min="6" max="10" width="10.83203125" customWidth="1"/>
    <col min="12" max="15" width="10.83203125" customWidth="1"/>
    <col min="17" max="23" width="10.83203125" customWidth="1"/>
    <col min="25" max="27" width="10.83203125" customWidth="1"/>
    <col min="29" max="30" width="10.83203125" customWidth="1"/>
  </cols>
  <sheetData>
    <row r="1" spans="1:34" s="13" customFormat="1" ht="4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1670</v>
      </c>
      <c r="G1" s="12" t="s">
        <v>1671</v>
      </c>
      <c r="H1" s="12" t="s">
        <v>1672</v>
      </c>
      <c r="I1" s="12" t="s">
        <v>1673</v>
      </c>
      <c r="J1" s="12" t="s">
        <v>1678</v>
      </c>
      <c r="K1" s="12" t="s">
        <v>1674</v>
      </c>
      <c r="L1" s="12" t="s">
        <v>1675</v>
      </c>
      <c r="M1" s="12" t="s">
        <v>1676</v>
      </c>
      <c r="N1" s="12" t="s">
        <v>1677</v>
      </c>
      <c r="O1" s="12" t="s">
        <v>1678</v>
      </c>
      <c r="P1" s="12" t="s">
        <v>1679</v>
      </c>
      <c r="Q1" s="12" t="s">
        <v>1680</v>
      </c>
      <c r="R1" s="12" t="s">
        <v>1681</v>
      </c>
      <c r="S1" s="12" t="s">
        <v>1682</v>
      </c>
      <c r="T1" s="12" t="s">
        <v>1683</v>
      </c>
      <c r="U1" s="12" t="s">
        <v>1684</v>
      </c>
      <c r="V1" s="12" t="s">
        <v>1685</v>
      </c>
      <c r="W1" s="12" t="s">
        <v>1686</v>
      </c>
      <c r="X1" s="12" t="s">
        <v>1687</v>
      </c>
      <c r="Y1" s="12" t="s">
        <v>1688</v>
      </c>
      <c r="Z1" s="12" t="s">
        <v>1690</v>
      </c>
      <c r="AA1" s="12" t="s">
        <v>1691</v>
      </c>
      <c r="AB1" s="12" t="s">
        <v>1692</v>
      </c>
      <c r="AC1" s="12" t="s">
        <v>1693</v>
      </c>
      <c r="AD1" s="12" t="s">
        <v>1694</v>
      </c>
      <c r="AE1" t="s">
        <v>1702</v>
      </c>
      <c r="AF1" t="s">
        <v>1703</v>
      </c>
      <c r="AG1" t="s">
        <v>1704</v>
      </c>
      <c r="AH1" t="s">
        <v>1705</v>
      </c>
    </row>
    <row r="2" spans="1:34" hidden="1">
      <c r="A2" s="2">
        <v>1</v>
      </c>
      <c r="B2" s="3" t="s">
        <v>5</v>
      </c>
      <c r="C2" s="2" t="s">
        <v>6</v>
      </c>
      <c r="D2" s="2">
        <v>1</v>
      </c>
      <c r="E2" s="2" t="s">
        <v>7</v>
      </c>
      <c r="F2" t="s">
        <v>8</v>
      </c>
      <c r="G2" s="4">
        <v>44834</v>
      </c>
      <c r="H2" s="5">
        <v>0.32184027777777779</v>
      </c>
      <c r="I2" t="s">
        <v>9</v>
      </c>
      <c r="J2">
        <v>1.4</v>
      </c>
      <c r="K2">
        <v>0.27839999999999998</v>
      </c>
      <c r="L2">
        <v>1.5221</v>
      </c>
      <c r="M2" t="s">
        <v>10</v>
      </c>
      <c r="N2" t="s">
        <v>11</v>
      </c>
      <c r="O2">
        <v>1.913</v>
      </c>
      <c r="P2">
        <v>95.474000000000004</v>
      </c>
      <c r="Q2">
        <v>143.28720000000001</v>
      </c>
      <c r="R2" t="s">
        <v>10</v>
      </c>
      <c r="S2" t="s">
        <v>12</v>
      </c>
      <c r="T2" s="4">
        <v>44834</v>
      </c>
      <c r="U2" s="5">
        <v>0.32184027777777779</v>
      </c>
      <c r="V2" t="s">
        <v>13</v>
      </c>
      <c r="W2">
        <v>1.163</v>
      </c>
      <c r="X2">
        <v>3236.0891999999999</v>
      </c>
      <c r="Y2">
        <v>137445.32459999999</v>
      </c>
      <c r="Z2" t="s">
        <v>1689</v>
      </c>
      <c r="AA2">
        <v>2.2130000000000001</v>
      </c>
      <c r="AB2">
        <v>51.8202</v>
      </c>
      <c r="AC2">
        <v>1.3599999999999999E-2</v>
      </c>
      <c r="AD2" t="s">
        <v>10</v>
      </c>
    </row>
    <row r="3" spans="1:34" hidden="1">
      <c r="A3" s="2">
        <v>2</v>
      </c>
      <c r="B3" s="3" t="s">
        <v>5</v>
      </c>
      <c r="C3" s="2" t="s">
        <v>6</v>
      </c>
      <c r="D3" s="2">
        <v>2</v>
      </c>
      <c r="E3" s="2" t="s">
        <v>14</v>
      </c>
      <c r="F3" t="s">
        <v>15</v>
      </c>
      <c r="G3" s="4">
        <v>44834</v>
      </c>
      <c r="H3" s="5">
        <v>0.32559027777777777</v>
      </c>
      <c r="I3" t="s">
        <v>9</v>
      </c>
      <c r="J3">
        <v>1.4059999999999999</v>
      </c>
      <c r="K3">
        <v>0.29039999999999999</v>
      </c>
      <c r="L3">
        <v>1.5740000000000001</v>
      </c>
      <c r="M3" t="s">
        <v>10</v>
      </c>
      <c r="N3" t="s">
        <v>11</v>
      </c>
      <c r="O3">
        <v>1.92</v>
      </c>
      <c r="P3">
        <v>89.7547</v>
      </c>
      <c r="Q3">
        <v>122.15009999999999</v>
      </c>
      <c r="R3" t="s">
        <v>10</v>
      </c>
      <c r="S3" t="s">
        <v>16</v>
      </c>
      <c r="T3" s="4">
        <v>44834</v>
      </c>
      <c r="U3" s="5">
        <v>0.32559027777777777</v>
      </c>
      <c r="V3" t="s">
        <v>13</v>
      </c>
      <c r="W3">
        <v>1.1659999999999999</v>
      </c>
      <c r="X3">
        <v>3113.7458000000001</v>
      </c>
      <c r="Y3">
        <v>125334.5393</v>
      </c>
      <c r="Z3" t="s">
        <v>1689</v>
      </c>
      <c r="AA3">
        <v>2.2160000000000002</v>
      </c>
      <c r="AB3">
        <v>49.396799999999999</v>
      </c>
      <c r="AC3">
        <v>3.7000000000000002E-3</v>
      </c>
      <c r="AD3" t="s">
        <v>10</v>
      </c>
    </row>
    <row r="4" spans="1:34" hidden="1">
      <c r="A4" s="2">
        <v>3</v>
      </c>
      <c r="B4" s="3" t="s">
        <v>5</v>
      </c>
      <c r="C4" s="2" t="s">
        <v>6</v>
      </c>
      <c r="D4" s="2">
        <v>3</v>
      </c>
      <c r="E4" s="2" t="s">
        <v>17</v>
      </c>
      <c r="F4" t="s">
        <v>18</v>
      </c>
      <c r="G4" s="4">
        <v>44834</v>
      </c>
      <c r="H4" s="5">
        <v>0.3293402777777778</v>
      </c>
      <c r="I4" t="s">
        <v>9</v>
      </c>
      <c r="J4">
        <v>1.4</v>
      </c>
      <c r="K4">
        <v>0.31830000000000003</v>
      </c>
      <c r="L4">
        <v>1.6946000000000001</v>
      </c>
      <c r="M4" t="s">
        <v>10</v>
      </c>
      <c r="N4" t="s">
        <v>11</v>
      </c>
      <c r="O4">
        <v>1.913</v>
      </c>
      <c r="P4">
        <v>102.7178</v>
      </c>
      <c r="Q4">
        <v>170.05840000000001</v>
      </c>
      <c r="R4" t="s">
        <v>10</v>
      </c>
      <c r="S4" t="s">
        <v>19</v>
      </c>
      <c r="T4" s="4">
        <v>44834</v>
      </c>
      <c r="U4" s="5">
        <v>0.3293402777777778</v>
      </c>
      <c r="V4" t="s">
        <v>13</v>
      </c>
      <c r="W4">
        <v>1.163</v>
      </c>
      <c r="X4">
        <v>3259.7307999999998</v>
      </c>
      <c r="Y4">
        <v>139916.8499</v>
      </c>
      <c r="Z4" t="s">
        <v>1689</v>
      </c>
      <c r="AA4">
        <v>2.21</v>
      </c>
      <c r="AB4">
        <v>59.890999999999998</v>
      </c>
      <c r="AC4">
        <v>4.6699999999999998E-2</v>
      </c>
      <c r="AD4" t="s">
        <v>10</v>
      </c>
    </row>
    <row r="5" spans="1:34" hidden="1">
      <c r="A5" s="2">
        <v>4</v>
      </c>
      <c r="B5" s="3" t="s">
        <v>5</v>
      </c>
      <c r="C5" s="2" t="s">
        <v>6</v>
      </c>
      <c r="D5" s="2">
        <v>4</v>
      </c>
      <c r="E5" s="2" t="s">
        <v>20</v>
      </c>
      <c r="F5" t="s">
        <v>21</v>
      </c>
      <c r="G5" s="4">
        <v>44834</v>
      </c>
      <c r="H5" s="5">
        <v>0.33309027777777778</v>
      </c>
      <c r="I5" t="s">
        <v>9</v>
      </c>
      <c r="J5">
        <v>1.403</v>
      </c>
      <c r="K5">
        <v>0.36520000000000002</v>
      </c>
      <c r="L5">
        <v>1.8975</v>
      </c>
      <c r="M5" t="s">
        <v>10</v>
      </c>
      <c r="N5" t="s">
        <v>11</v>
      </c>
      <c r="O5">
        <v>1.9159999999999999</v>
      </c>
      <c r="P5">
        <v>109.1048</v>
      </c>
      <c r="Q5">
        <v>193.66309999999999</v>
      </c>
      <c r="R5" t="s">
        <v>10</v>
      </c>
      <c r="S5" t="s">
        <v>22</v>
      </c>
      <c r="T5" s="4">
        <v>44834</v>
      </c>
      <c r="U5" s="5">
        <v>0.33309027777777778</v>
      </c>
      <c r="V5" t="s">
        <v>13</v>
      </c>
      <c r="W5">
        <v>1.163</v>
      </c>
      <c r="X5">
        <v>3417.0821999999998</v>
      </c>
      <c r="Y5">
        <v>159076.3083</v>
      </c>
      <c r="Z5" t="s">
        <v>1689</v>
      </c>
      <c r="AA5">
        <v>2.2130000000000001</v>
      </c>
      <c r="AB5">
        <v>62.992600000000003</v>
      </c>
      <c r="AC5">
        <v>5.9400000000000001E-2</v>
      </c>
      <c r="AD5" t="s">
        <v>10</v>
      </c>
    </row>
    <row r="6" spans="1:34" hidden="1">
      <c r="A6" s="2">
        <v>5</v>
      </c>
      <c r="B6" s="3" t="s">
        <v>5</v>
      </c>
      <c r="C6" s="2" t="s">
        <v>6</v>
      </c>
      <c r="D6" s="2">
        <v>5</v>
      </c>
      <c r="E6" s="2" t="s">
        <v>23</v>
      </c>
      <c r="F6" t="s">
        <v>24</v>
      </c>
      <c r="G6" s="4">
        <v>44834</v>
      </c>
      <c r="H6" s="5">
        <v>0.3368518518518519</v>
      </c>
      <c r="I6" t="s">
        <v>9</v>
      </c>
      <c r="J6">
        <v>1.403</v>
      </c>
      <c r="K6">
        <v>0.29580000000000001</v>
      </c>
      <c r="L6">
        <v>1.5972999999999999</v>
      </c>
      <c r="M6" t="s">
        <v>10</v>
      </c>
      <c r="N6" t="s">
        <v>11</v>
      </c>
      <c r="O6">
        <v>1.913</v>
      </c>
      <c r="P6">
        <v>90.867999999999995</v>
      </c>
      <c r="Q6">
        <v>126.2646</v>
      </c>
      <c r="R6" t="s">
        <v>10</v>
      </c>
      <c r="S6" t="s">
        <v>25</v>
      </c>
      <c r="T6" s="4">
        <v>44834</v>
      </c>
      <c r="U6" s="5">
        <v>0.3368518518518519</v>
      </c>
      <c r="V6" t="s">
        <v>13</v>
      </c>
      <c r="W6">
        <v>1.1599999999999999</v>
      </c>
      <c r="X6">
        <v>3152.4220999999998</v>
      </c>
      <c r="Y6">
        <v>129013.1041</v>
      </c>
      <c r="Z6" t="s">
        <v>1689</v>
      </c>
      <c r="AA6">
        <v>2.21</v>
      </c>
      <c r="AB6">
        <v>55.708799999999997</v>
      </c>
      <c r="AC6">
        <v>2.9600000000000001E-2</v>
      </c>
      <c r="AD6" t="s">
        <v>10</v>
      </c>
    </row>
    <row r="7" spans="1:34" hidden="1">
      <c r="A7" s="2">
        <v>6</v>
      </c>
      <c r="B7" s="3" t="s">
        <v>5</v>
      </c>
      <c r="C7" s="2" t="s">
        <v>6</v>
      </c>
      <c r="D7" s="2">
        <v>6</v>
      </c>
      <c r="E7" s="2" t="s">
        <v>26</v>
      </c>
      <c r="F7" t="s">
        <v>27</v>
      </c>
      <c r="G7" s="4">
        <v>44834</v>
      </c>
      <c r="H7" s="5">
        <v>0.34061342592592592</v>
      </c>
      <c r="I7" t="s">
        <v>9</v>
      </c>
      <c r="J7">
        <v>1.41</v>
      </c>
      <c r="K7">
        <v>0.307</v>
      </c>
      <c r="L7">
        <v>1.6457999999999999</v>
      </c>
      <c r="M7" t="s">
        <v>10</v>
      </c>
      <c r="N7" t="s">
        <v>11</v>
      </c>
      <c r="O7">
        <v>1.923</v>
      </c>
      <c r="P7">
        <v>88.9572</v>
      </c>
      <c r="Q7">
        <v>119.20269999999999</v>
      </c>
      <c r="R7" t="s">
        <v>10</v>
      </c>
      <c r="S7" t="s">
        <v>28</v>
      </c>
      <c r="T7" s="4">
        <v>44834</v>
      </c>
      <c r="U7" s="5">
        <v>0.34061342592592592</v>
      </c>
      <c r="V7" t="s">
        <v>13</v>
      </c>
      <c r="W7">
        <v>1.1659999999999999</v>
      </c>
      <c r="X7">
        <v>3163.6668</v>
      </c>
      <c r="Y7">
        <v>130108.88340000001</v>
      </c>
      <c r="Z7" t="s">
        <v>1689</v>
      </c>
      <c r="AA7">
        <v>2.2229999999999999</v>
      </c>
      <c r="AB7">
        <v>53.468400000000003</v>
      </c>
      <c r="AC7">
        <v>2.0400000000000001E-2</v>
      </c>
      <c r="AD7" t="s">
        <v>10</v>
      </c>
    </row>
    <row r="8" spans="1:34" hidden="1">
      <c r="A8" s="2">
        <v>7</v>
      </c>
      <c r="B8" s="3" t="s">
        <v>5</v>
      </c>
      <c r="C8" s="2" t="s">
        <v>6</v>
      </c>
      <c r="D8" s="2">
        <v>7</v>
      </c>
      <c r="E8" s="2" t="s">
        <v>29</v>
      </c>
      <c r="F8" t="s">
        <v>30</v>
      </c>
      <c r="G8" s="4">
        <v>44834</v>
      </c>
      <c r="H8" s="5">
        <v>0.34436342592592589</v>
      </c>
      <c r="I8" t="s">
        <v>9</v>
      </c>
      <c r="J8">
        <v>1.413</v>
      </c>
      <c r="K8">
        <v>0.33329999999999999</v>
      </c>
      <c r="L8">
        <v>1.7595000000000001</v>
      </c>
      <c r="M8" t="s">
        <v>10</v>
      </c>
      <c r="N8" t="s">
        <v>11</v>
      </c>
      <c r="O8">
        <v>1.9259999999999999</v>
      </c>
      <c r="P8">
        <v>98.793099999999995</v>
      </c>
      <c r="Q8">
        <v>155.55369999999999</v>
      </c>
      <c r="R8" t="s">
        <v>10</v>
      </c>
      <c r="S8" t="s">
        <v>31</v>
      </c>
      <c r="T8" s="4">
        <v>44834</v>
      </c>
      <c r="U8" s="5">
        <v>0.34436342592592589</v>
      </c>
      <c r="V8" t="s">
        <v>13</v>
      </c>
      <c r="W8">
        <v>1.17</v>
      </c>
      <c r="X8">
        <v>3300.4506999999999</v>
      </c>
      <c r="Y8">
        <v>144501.3996</v>
      </c>
      <c r="Z8" t="s">
        <v>1689</v>
      </c>
      <c r="AA8">
        <v>2.226</v>
      </c>
      <c r="AB8">
        <v>56.186799999999998</v>
      </c>
      <c r="AC8">
        <v>3.15E-2</v>
      </c>
      <c r="AD8" t="s">
        <v>10</v>
      </c>
    </row>
    <row r="9" spans="1:34" hidden="1">
      <c r="A9" s="2">
        <v>8</v>
      </c>
      <c r="B9" s="3" t="s">
        <v>5</v>
      </c>
      <c r="C9" s="2" t="s">
        <v>6</v>
      </c>
      <c r="D9" s="2">
        <v>8</v>
      </c>
      <c r="E9" s="2" t="s">
        <v>32</v>
      </c>
      <c r="F9" t="s">
        <v>33</v>
      </c>
      <c r="G9" s="4">
        <v>44834</v>
      </c>
      <c r="H9" s="5">
        <v>0.34811342592592592</v>
      </c>
      <c r="I9" t="s">
        <v>9</v>
      </c>
      <c r="J9">
        <v>1.4</v>
      </c>
      <c r="K9">
        <v>0.31540000000000001</v>
      </c>
      <c r="L9">
        <v>1.6820999999999999</v>
      </c>
      <c r="M9" t="s">
        <v>10</v>
      </c>
      <c r="N9" t="s">
        <v>11</v>
      </c>
      <c r="O9">
        <v>1.913</v>
      </c>
      <c r="P9">
        <v>94.366600000000005</v>
      </c>
      <c r="Q9">
        <v>139.19450000000001</v>
      </c>
      <c r="R9" t="s">
        <v>10</v>
      </c>
      <c r="S9" t="s">
        <v>34</v>
      </c>
      <c r="T9" s="4">
        <v>44834</v>
      </c>
      <c r="U9" s="5">
        <v>0.34811342592592592</v>
      </c>
      <c r="V9" t="s">
        <v>13</v>
      </c>
      <c r="W9">
        <v>1.1599999999999999</v>
      </c>
      <c r="X9">
        <v>3154.4769999999999</v>
      </c>
      <c r="Y9">
        <v>129213.351</v>
      </c>
      <c r="Z9" t="s">
        <v>1689</v>
      </c>
      <c r="AA9">
        <v>2.21</v>
      </c>
      <c r="AB9">
        <v>53.443899999999999</v>
      </c>
      <c r="AC9">
        <v>2.0299999999999999E-2</v>
      </c>
      <c r="AD9" t="s">
        <v>10</v>
      </c>
    </row>
    <row r="10" spans="1:34" hidden="1">
      <c r="A10" s="2">
        <v>9</v>
      </c>
      <c r="B10" s="3" t="s">
        <v>5</v>
      </c>
      <c r="C10" s="2" t="s">
        <v>6</v>
      </c>
      <c r="D10" s="2">
        <v>9</v>
      </c>
      <c r="E10" s="2" t="s">
        <v>35</v>
      </c>
      <c r="F10" t="s">
        <v>36</v>
      </c>
      <c r="G10" s="4">
        <v>44834</v>
      </c>
      <c r="H10" s="5">
        <v>0.3518634259259259</v>
      </c>
      <c r="I10" t="s">
        <v>9</v>
      </c>
      <c r="J10">
        <v>1.41</v>
      </c>
      <c r="K10">
        <v>0.28370000000000001</v>
      </c>
      <c r="L10">
        <v>1.5449999999999999</v>
      </c>
      <c r="M10" t="s">
        <v>10</v>
      </c>
      <c r="N10" t="s">
        <v>11</v>
      </c>
      <c r="O10">
        <v>1.9259999999999999</v>
      </c>
      <c r="P10">
        <v>84.565899999999999</v>
      </c>
      <c r="Q10">
        <v>102.9736</v>
      </c>
      <c r="R10" t="s">
        <v>10</v>
      </c>
      <c r="S10" t="s">
        <v>37</v>
      </c>
      <c r="T10" s="4">
        <v>44834</v>
      </c>
      <c r="U10" s="5">
        <v>0.3518634259259259</v>
      </c>
      <c r="V10" t="s">
        <v>13</v>
      </c>
      <c r="W10">
        <v>1.1659999999999999</v>
      </c>
      <c r="X10">
        <v>3065.4079000000002</v>
      </c>
      <c r="Y10">
        <v>120923.3692</v>
      </c>
      <c r="Z10" t="s">
        <v>1689</v>
      </c>
      <c r="AA10">
        <v>2.226</v>
      </c>
      <c r="AB10">
        <v>50.3889</v>
      </c>
      <c r="AC10">
        <v>7.7999999999999996E-3</v>
      </c>
      <c r="AD10" t="s">
        <v>10</v>
      </c>
    </row>
    <row r="11" spans="1:34" hidden="1">
      <c r="A11" s="2">
        <v>10</v>
      </c>
      <c r="B11" s="3" t="s">
        <v>5</v>
      </c>
      <c r="C11" s="2" t="s">
        <v>6</v>
      </c>
      <c r="D11" s="2">
        <v>10</v>
      </c>
      <c r="E11" s="2" t="s">
        <v>38</v>
      </c>
      <c r="F11" t="s">
        <v>39</v>
      </c>
      <c r="G11" s="4">
        <v>44834</v>
      </c>
      <c r="H11" s="5">
        <v>0.35561342592592587</v>
      </c>
      <c r="I11" t="s">
        <v>9</v>
      </c>
      <c r="J11">
        <v>1.4059999999999999</v>
      </c>
      <c r="K11">
        <v>0.35389999999999999</v>
      </c>
      <c r="L11">
        <v>1.8486</v>
      </c>
      <c r="M11" t="s">
        <v>10</v>
      </c>
      <c r="N11" t="s">
        <v>11</v>
      </c>
      <c r="O11">
        <v>1.923</v>
      </c>
      <c r="P11">
        <v>109.23350000000001</v>
      </c>
      <c r="Q11">
        <v>194.1388</v>
      </c>
      <c r="R11" t="s">
        <v>10</v>
      </c>
      <c r="S11" t="s">
        <v>40</v>
      </c>
      <c r="T11" s="4">
        <v>44834</v>
      </c>
      <c r="U11" s="5">
        <v>0.35561342592592587</v>
      </c>
      <c r="V11" t="s">
        <v>13</v>
      </c>
      <c r="W11">
        <v>1.17</v>
      </c>
      <c r="X11">
        <v>3316.991</v>
      </c>
      <c r="Y11">
        <v>146366.28200000001</v>
      </c>
      <c r="Z11" t="s">
        <v>1689</v>
      </c>
      <c r="AA11">
        <v>2.2200000000000002</v>
      </c>
      <c r="AB11">
        <v>59.388599999999997</v>
      </c>
      <c r="AC11">
        <v>4.4699999999999997E-2</v>
      </c>
      <c r="AD11" t="s">
        <v>10</v>
      </c>
    </row>
    <row r="12" spans="1:34" hidden="1">
      <c r="A12" s="2">
        <v>12</v>
      </c>
      <c r="B12" s="3" t="s">
        <v>5</v>
      </c>
      <c r="C12" s="2" t="s">
        <v>6</v>
      </c>
      <c r="D12" s="2">
        <v>12</v>
      </c>
      <c r="E12" s="2" t="s">
        <v>45</v>
      </c>
      <c r="F12" t="s">
        <v>46</v>
      </c>
      <c r="G12" s="4">
        <v>44834</v>
      </c>
      <c r="H12" s="5">
        <v>0.36313657407407413</v>
      </c>
      <c r="I12" t="s">
        <v>9</v>
      </c>
      <c r="J12">
        <v>1.4059999999999999</v>
      </c>
      <c r="K12">
        <v>0.29220000000000002</v>
      </c>
      <c r="L12">
        <v>1.5817000000000001</v>
      </c>
      <c r="M12" t="s">
        <v>10</v>
      </c>
      <c r="N12" t="s">
        <v>11</v>
      </c>
      <c r="O12">
        <v>1.92</v>
      </c>
      <c r="P12">
        <v>82.304699999999997</v>
      </c>
      <c r="Q12">
        <v>94.616799999999998</v>
      </c>
      <c r="R12" t="s">
        <v>10</v>
      </c>
      <c r="S12" t="s">
        <v>47</v>
      </c>
      <c r="T12" s="4">
        <v>44834</v>
      </c>
      <c r="U12" s="5">
        <v>0.36313657407407413</v>
      </c>
      <c r="V12" t="s">
        <v>13</v>
      </c>
      <c r="W12">
        <v>1.1659999999999999</v>
      </c>
      <c r="X12">
        <v>2901.2608</v>
      </c>
      <c r="Y12">
        <v>107152.7674</v>
      </c>
      <c r="Z12" t="s">
        <v>1689</v>
      </c>
      <c r="AA12">
        <v>2.2160000000000002</v>
      </c>
      <c r="AB12">
        <v>48.339599999999997</v>
      </c>
      <c r="AC12">
        <v>0</v>
      </c>
      <c r="AD12" t="s">
        <v>10</v>
      </c>
    </row>
    <row r="13" spans="1:34" hidden="1">
      <c r="A13" s="2">
        <v>14</v>
      </c>
      <c r="B13" s="3" t="s">
        <v>5</v>
      </c>
      <c r="C13" s="2" t="s">
        <v>6</v>
      </c>
      <c r="D13" s="2">
        <v>14</v>
      </c>
      <c r="E13" s="2" t="s">
        <v>52</v>
      </c>
      <c r="F13" t="s">
        <v>53</v>
      </c>
      <c r="G13" s="4">
        <v>44834</v>
      </c>
      <c r="H13" s="5">
        <v>0.37064814814814812</v>
      </c>
      <c r="I13" t="s">
        <v>9</v>
      </c>
      <c r="J13">
        <v>1.4</v>
      </c>
      <c r="K13">
        <v>0.30599999999999999</v>
      </c>
      <c r="L13">
        <v>1.6414</v>
      </c>
      <c r="M13" t="s">
        <v>10</v>
      </c>
      <c r="N13" t="s">
        <v>11</v>
      </c>
      <c r="O13">
        <v>1.913</v>
      </c>
      <c r="P13">
        <v>94.8185</v>
      </c>
      <c r="Q13">
        <v>140.8646</v>
      </c>
      <c r="R13" t="s">
        <v>10</v>
      </c>
      <c r="S13" t="s">
        <v>54</v>
      </c>
      <c r="T13" s="4">
        <v>44834</v>
      </c>
      <c r="U13" s="5">
        <v>0.37064814814814812</v>
      </c>
      <c r="V13" t="s">
        <v>13</v>
      </c>
      <c r="W13">
        <v>1.1599999999999999</v>
      </c>
      <c r="X13">
        <v>3156.3932</v>
      </c>
      <c r="Y13">
        <v>129400.0819</v>
      </c>
      <c r="Z13" t="s">
        <v>1689</v>
      </c>
      <c r="AA13">
        <v>2.21</v>
      </c>
      <c r="AB13">
        <v>57.317399999999999</v>
      </c>
      <c r="AC13">
        <v>3.6200000000000003E-2</v>
      </c>
      <c r="AD13" t="s">
        <v>10</v>
      </c>
    </row>
    <row r="14" spans="1:34" hidden="1">
      <c r="A14" s="2">
        <v>16</v>
      </c>
      <c r="B14" s="3" t="s">
        <v>5</v>
      </c>
      <c r="C14" s="2" t="s">
        <v>6</v>
      </c>
      <c r="D14" s="2">
        <v>16</v>
      </c>
      <c r="E14" s="2" t="s">
        <v>59</v>
      </c>
      <c r="F14" t="s">
        <v>60</v>
      </c>
      <c r="G14" s="4">
        <v>44834</v>
      </c>
      <c r="H14" s="5">
        <v>0.37815972222222222</v>
      </c>
      <c r="I14" t="s">
        <v>9</v>
      </c>
      <c r="J14">
        <v>1.403</v>
      </c>
      <c r="K14">
        <v>0.30380000000000001</v>
      </c>
      <c r="L14">
        <v>1.6318999999999999</v>
      </c>
      <c r="M14" t="s">
        <v>10</v>
      </c>
      <c r="N14" t="s">
        <v>11</v>
      </c>
      <c r="O14">
        <v>1.9159999999999999</v>
      </c>
      <c r="P14">
        <v>91.680999999999997</v>
      </c>
      <c r="Q14">
        <v>129.26920000000001</v>
      </c>
      <c r="R14" t="s">
        <v>10</v>
      </c>
      <c r="S14" t="s">
        <v>61</v>
      </c>
      <c r="T14" s="4">
        <v>44834</v>
      </c>
      <c r="U14" s="5">
        <v>0.37815972222222222</v>
      </c>
      <c r="V14" t="s">
        <v>13</v>
      </c>
      <c r="W14">
        <v>1.163</v>
      </c>
      <c r="X14">
        <v>3036.3186000000001</v>
      </c>
      <c r="Y14">
        <v>118372.19469999999</v>
      </c>
      <c r="Z14" t="s">
        <v>1689</v>
      </c>
      <c r="AA14">
        <v>2.2130000000000001</v>
      </c>
      <c r="AB14">
        <v>49.971200000000003</v>
      </c>
      <c r="AC14">
        <v>6.1000000000000004E-3</v>
      </c>
      <c r="AD14" t="s">
        <v>10</v>
      </c>
    </row>
    <row r="15" spans="1:34" hidden="1">
      <c r="A15" s="2">
        <v>18</v>
      </c>
      <c r="B15" s="3" t="s">
        <v>5</v>
      </c>
      <c r="C15" s="2" t="s">
        <v>6</v>
      </c>
      <c r="D15" s="2">
        <v>18</v>
      </c>
      <c r="E15" s="2" t="s">
        <v>66</v>
      </c>
      <c r="F15" t="s">
        <v>67</v>
      </c>
      <c r="G15" s="4">
        <v>44834</v>
      </c>
      <c r="H15" s="5">
        <v>0.38567129629629626</v>
      </c>
      <c r="I15" t="s">
        <v>9</v>
      </c>
      <c r="J15">
        <v>1.4059999999999999</v>
      </c>
      <c r="K15">
        <v>0.30640000000000001</v>
      </c>
      <c r="L15">
        <v>1.6432</v>
      </c>
      <c r="M15" t="s">
        <v>10</v>
      </c>
      <c r="N15" t="s">
        <v>11</v>
      </c>
      <c r="O15">
        <v>1.923</v>
      </c>
      <c r="P15">
        <v>96.416399999999996</v>
      </c>
      <c r="Q15">
        <v>146.77000000000001</v>
      </c>
      <c r="R15" t="s">
        <v>10</v>
      </c>
      <c r="S15" t="s">
        <v>68</v>
      </c>
      <c r="T15" s="4">
        <v>44834</v>
      </c>
      <c r="U15" s="5">
        <v>0.38567129629629626</v>
      </c>
      <c r="V15" t="s">
        <v>13</v>
      </c>
      <c r="W15">
        <v>1.1659999999999999</v>
      </c>
      <c r="X15">
        <v>3168.4474</v>
      </c>
      <c r="Y15">
        <v>130574.7457</v>
      </c>
      <c r="Z15" t="s">
        <v>1689</v>
      </c>
      <c r="AA15">
        <v>2.2200000000000002</v>
      </c>
      <c r="AB15">
        <v>57.435099999999998</v>
      </c>
      <c r="AC15">
        <v>3.6600000000000001E-2</v>
      </c>
      <c r="AD15" t="s">
        <v>10</v>
      </c>
    </row>
    <row r="16" spans="1:34" hidden="1">
      <c r="A16" s="2">
        <v>20</v>
      </c>
      <c r="B16" s="3" t="s">
        <v>5</v>
      </c>
      <c r="C16" s="2" t="s">
        <v>6</v>
      </c>
      <c r="D16" s="2">
        <v>20</v>
      </c>
      <c r="E16" s="2" t="s">
        <v>73</v>
      </c>
      <c r="F16" t="s">
        <v>74</v>
      </c>
      <c r="G16" s="4">
        <v>44834</v>
      </c>
      <c r="H16" s="5">
        <v>0.39318287037037036</v>
      </c>
      <c r="I16" t="s">
        <v>9</v>
      </c>
      <c r="J16">
        <v>1.41</v>
      </c>
      <c r="K16">
        <v>0.38100000000000001</v>
      </c>
      <c r="L16">
        <v>1.9658</v>
      </c>
      <c r="M16" t="s">
        <v>10</v>
      </c>
      <c r="N16" t="s">
        <v>11</v>
      </c>
      <c r="O16">
        <v>1.9259999999999999</v>
      </c>
      <c r="P16">
        <v>116.3309</v>
      </c>
      <c r="Q16">
        <v>220.369</v>
      </c>
      <c r="R16" t="s">
        <v>10</v>
      </c>
      <c r="S16" t="s">
        <v>75</v>
      </c>
      <c r="T16" s="4">
        <v>44834</v>
      </c>
      <c r="U16" s="5">
        <v>0.39318287037037036</v>
      </c>
      <c r="V16" t="s">
        <v>13</v>
      </c>
      <c r="W16">
        <v>1.1659999999999999</v>
      </c>
      <c r="X16">
        <v>3394.7462</v>
      </c>
      <c r="Y16">
        <v>156088.9644</v>
      </c>
      <c r="Z16" t="s">
        <v>1689</v>
      </c>
      <c r="AA16">
        <v>2.226</v>
      </c>
      <c r="AB16">
        <v>70.407399999999996</v>
      </c>
      <c r="AC16">
        <v>8.9800000000000005E-2</v>
      </c>
      <c r="AD16" t="s">
        <v>10</v>
      </c>
    </row>
    <row r="17" spans="1:30" hidden="1">
      <c r="A17" s="2">
        <v>22</v>
      </c>
      <c r="B17" s="3" t="s">
        <v>5</v>
      </c>
      <c r="C17" s="2" t="s">
        <v>6</v>
      </c>
      <c r="D17" s="2">
        <v>22</v>
      </c>
      <c r="E17" s="2" t="s">
        <v>80</v>
      </c>
      <c r="F17" t="s">
        <v>81</v>
      </c>
      <c r="G17" s="4">
        <v>44834</v>
      </c>
      <c r="H17" s="5">
        <v>0.40068287037037037</v>
      </c>
      <c r="I17" t="s">
        <v>9</v>
      </c>
      <c r="J17">
        <v>1.4</v>
      </c>
      <c r="K17">
        <v>1.7276</v>
      </c>
      <c r="L17">
        <v>7.7901999999999996</v>
      </c>
      <c r="M17" t="s">
        <v>10</v>
      </c>
      <c r="N17" t="s">
        <v>11</v>
      </c>
      <c r="O17">
        <v>1.9159999999999999</v>
      </c>
      <c r="P17">
        <v>99.142899999999997</v>
      </c>
      <c r="Q17">
        <v>156.84649999999999</v>
      </c>
      <c r="R17" t="s">
        <v>10</v>
      </c>
      <c r="S17" t="s">
        <v>82</v>
      </c>
      <c r="T17" s="4">
        <v>44834</v>
      </c>
      <c r="U17" s="5">
        <v>0.40068287037037037</v>
      </c>
      <c r="V17" t="s">
        <v>13</v>
      </c>
      <c r="W17">
        <v>1.1599999999999999</v>
      </c>
      <c r="X17">
        <v>3033.9261999999999</v>
      </c>
      <c r="Y17">
        <v>118166.9143</v>
      </c>
      <c r="Z17" t="s">
        <v>1689</v>
      </c>
      <c r="AA17">
        <v>2.2160000000000002</v>
      </c>
      <c r="AB17">
        <v>59.6995</v>
      </c>
      <c r="AC17">
        <v>4.5900000000000003E-2</v>
      </c>
      <c r="AD17" t="s">
        <v>10</v>
      </c>
    </row>
    <row r="18" spans="1:30" hidden="1">
      <c r="A18" s="2">
        <v>24</v>
      </c>
      <c r="B18" s="3" t="s">
        <v>5</v>
      </c>
      <c r="C18" s="2" t="s">
        <v>6</v>
      </c>
      <c r="D18" s="2">
        <v>24</v>
      </c>
      <c r="E18" s="2" t="s">
        <v>87</v>
      </c>
      <c r="F18" t="s">
        <v>88</v>
      </c>
      <c r="G18" s="4">
        <v>44834</v>
      </c>
      <c r="H18" s="5">
        <v>0.40818287037037032</v>
      </c>
      <c r="I18" t="s">
        <v>9</v>
      </c>
      <c r="J18">
        <v>1.4</v>
      </c>
      <c r="K18">
        <v>13.1366</v>
      </c>
      <c r="L18">
        <v>57.136600000000001</v>
      </c>
      <c r="M18" t="s">
        <v>10</v>
      </c>
      <c r="N18" t="s">
        <v>11</v>
      </c>
      <c r="O18">
        <v>1.9159999999999999</v>
      </c>
      <c r="P18">
        <v>165.08160000000001</v>
      </c>
      <c r="Q18">
        <v>400.53919999999999</v>
      </c>
      <c r="R18" t="s">
        <v>10</v>
      </c>
      <c r="S18" t="s">
        <v>89</v>
      </c>
      <c r="T18" s="4">
        <v>44834</v>
      </c>
      <c r="U18" s="5">
        <v>0.40818287037037032</v>
      </c>
      <c r="V18" t="s">
        <v>13</v>
      </c>
      <c r="W18">
        <v>1.1599999999999999</v>
      </c>
      <c r="X18">
        <v>3104.5542</v>
      </c>
      <c r="Y18">
        <v>124495.7417</v>
      </c>
      <c r="Z18" t="s">
        <v>1689</v>
      </c>
      <c r="AA18">
        <v>2.2130000000000001</v>
      </c>
      <c r="AB18">
        <v>68.955200000000005</v>
      </c>
      <c r="AC18">
        <v>8.3900000000000002E-2</v>
      </c>
      <c r="AD18" t="s">
        <v>10</v>
      </c>
    </row>
    <row r="19" spans="1:30" hidden="1">
      <c r="A19" s="2">
        <v>25</v>
      </c>
      <c r="B19" s="3" t="s">
        <v>5</v>
      </c>
      <c r="C19" s="2" t="s">
        <v>6</v>
      </c>
      <c r="D19" s="2">
        <v>25</v>
      </c>
      <c r="E19" s="2" t="s">
        <v>90</v>
      </c>
      <c r="F19" t="s">
        <v>91</v>
      </c>
      <c r="G19" s="4">
        <v>44834</v>
      </c>
      <c r="H19" s="5">
        <v>0.41193287037037035</v>
      </c>
      <c r="I19" t="s">
        <v>9</v>
      </c>
      <c r="J19">
        <v>1.41</v>
      </c>
      <c r="K19">
        <v>0.39700000000000002</v>
      </c>
      <c r="L19">
        <v>2.0350000000000001</v>
      </c>
      <c r="M19" t="s">
        <v>10</v>
      </c>
      <c r="N19" t="s">
        <v>11</v>
      </c>
      <c r="O19">
        <v>1.9330000000000001</v>
      </c>
      <c r="P19">
        <v>126.0158</v>
      </c>
      <c r="Q19">
        <v>256.1619</v>
      </c>
      <c r="R19" t="s">
        <v>10</v>
      </c>
      <c r="S19" t="s">
        <v>92</v>
      </c>
      <c r="T19" s="4">
        <v>44834</v>
      </c>
      <c r="U19" s="5">
        <v>0.41193287037037035</v>
      </c>
      <c r="V19" t="s">
        <v>13</v>
      </c>
      <c r="W19">
        <v>1.1659999999999999</v>
      </c>
      <c r="X19">
        <v>3083.3274000000001</v>
      </c>
      <c r="Y19">
        <v>122558.64840000001</v>
      </c>
      <c r="Z19" t="s">
        <v>1689</v>
      </c>
      <c r="AA19">
        <v>2.2330000000000001</v>
      </c>
      <c r="AB19">
        <v>55.592599999999997</v>
      </c>
      <c r="AC19">
        <v>2.9100000000000001E-2</v>
      </c>
      <c r="AD19" t="s">
        <v>10</v>
      </c>
    </row>
    <row r="20" spans="1:30" hidden="1">
      <c r="A20" s="2">
        <v>26</v>
      </c>
      <c r="B20" s="3" t="s">
        <v>5</v>
      </c>
      <c r="C20" s="2" t="s">
        <v>6</v>
      </c>
      <c r="D20" s="2">
        <v>26</v>
      </c>
      <c r="E20" s="2" t="s">
        <v>93</v>
      </c>
      <c r="F20" t="s">
        <v>94</v>
      </c>
      <c r="G20" s="4">
        <v>44834</v>
      </c>
      <c r="H20" s="5">
        <v>0.41568287037037038</v>
      </c>
      <c r="I20" t="s">
        <v>9</v>
      </c>
      <c r="J20">
        <v>1.41</v>
      </c>
      <c r="K20">
        <v>0.36580000000000001</v>
      </c>
      <c r="L20">
        <v>1.9000999999999999</v>
      </c>
      <c r="M20" t="s">
        <v>10</v>
      </c>
      <c r="N20" t="s">
        <v>11</v>
      </c>
      <c r="O20">
        <v>1.9330000000000001</v>
      </c>
      <c r="P20">
        <v>123.2278</v>
      </c>
      <c r="Q20">
        <v>245.85820000000001</v>
      </c>
      <c r="R20" t="s">
        <v>10</v>
      </c>
      <c r="S20" t="s">
        <v>95</v>
      </c>
      <c r="T20" s="4">
        <v>44834</v>
      </c>
      <c r="U20" s="5">
        <v>0.41568287037037038</v>
      </c>
      <c r="V20" t="s">
        <v>13</v>
      </c>
      <c r="W20">
        <v>1.1659999999999999</v>
      </c>
      <c r="X20">
        <v>3017.6134000000002</v>
      </c>
      <c r="Y20">
        <v>116767.19130000001</v>
      </c>
      <c r="Z20" t="s">
        <v>1689</v>
      </c>
      <c r="AA20">
        <v>2.2360000000000002</v>
      </c>
      <c r="AB20">
        <v>56.705800000000004</v>
      </c>
      <c r="AC20">
        <v>3.3700000000000001E-2</v>
      </c>
      <c r="AD20" t="s">
        <v>10</v>
      </c>
    </row>
    <row r="21" spans="1:30" hidden="1">
      <c r="A21" s="2">
        <v>28</v>
      </c>
      <c r="B21" s="3" t="s">
        <v>5</v>
      </c>
      <c r="C21" s="2" t="s">
        <v>6</v>
      </c>
      <c r="D21" s="2">
        <v>28</v>
      </c>
      <c r="E21" s="2" t="s">
        <v>100</v>
      </c>
      <c r="F21" t="s">
        <v>101</v>
      </c>
      <c r="G21" s="4">
        <v>44834</v>
      </c>
      <c r="H21" s="5">
        <v>0.42319444444444443</v>
      </c>
      <c r="I21" t="s">
        <v>9</v>
      </c>
      <c r="J21">
        <v>1.4159999999999999</v>
      </c>
      <c r="K21">
        <v>0.37359999999999999</v>
      </c>
      <c r="L21">
        <v>1.9338</v>
      </c>
      <c r="M21" t="s">
        <v>10</v>
      </c>
      <c r="N21" t="s">
        <v>11</v>
      </c>
      <c r="O21">
        <v>1.946</v>
      </c>
      <c r="P21">
        <v>164.9888</v>
      </c>
      <c r="Q21">
        <v>400.19619999999998</v>
      </c>
      <c r="R21" t="s">
        <v>10</v>
      </c>
      <c r="S21" t="s">
        <v>102</v>
      </c>
      <c r="T21" s="4">
        <v>44834</v>
      </c>
      <c r="U21" s="5">
        <v>0.42319444444444443</v>
      </c>
      <c r="V21" t="s">
        <v>13</v>
      </c>
      <c r="W21">
        <v>1.1659999999999999</v>
      </c>
      <c r="X21">
        <v>3179.2919999999999</v>
      </c>
      <c r="Y21">
        <v>131631.53589999999</v>
      </c>
      <c r="Z21" t="s">
        <v>1689</v>
      </c>
      <c r="AA21">
        <v>2.2530000000000001</v>
      </c>
      <c r="AB21">
        <v>57.674199999999999</v>
      </c>
      <c r="AC21">
        <v>3.7600000000000001E-2</v>
      </c>
      <c r="AD21" t="s">
        <v>10</v>
      </c>
    </row>
    <row r="22" spans="1:30" hidden="1">
      <c r="A22" s="2">
        <v>30</v>
      </c>
      <c r="B22" s="3" t="s">
        <v>5</v>
      </c>
      <c r="C22" s="2" t="s">
        <v>6</v>
      </c>
      <c r="D22" s="2">
        <v>30</v>
      </c>
      <c r="E22" s="2" t="s">
        <v>107</v>
      </c>
      <c r="F22" t="s">
        <v>108</v>
      </c>
      <c r="G22" s="4">
        <v>44834</v>
      </c>
      <c r="H22" s="5">
        <v>0.43069444444444444</v>
      </c>
      <c r="I22" t="s">
        <v>9</v>
      </c>
      <c r="J22">
        <v>1.42</v>
      </c>
      <c r="K22">
        <v>0.3614</v>
      </c>
      <c r="L22">
        <v>1.8811</v>
      </c>
      <c r="M22" t="s">
        <v>10</v>
      </c>
      <c r="N22" t="s">
        <v>11</v>
      </c>
      <c r="O22">
        <v>1.95</v>
      </c>
      <c r="P22">
        <v>134.756</v>
      </c>
      <c r="Q22">
        <v>288.46350000000001</v>
      </c>
      <c r="R22" t="s">
        <v>10</v>
      </c>
      <c r="S22" t="s">
        <v>109</v>
      </c>
      <c r="T22" s="4">
        <v>44834</v>
      </c>
      <c r="U22" s="5">
        <v>0.43069444444444444</v>
      </c>
      <c r="V22" t="s">
        <v>13</v>
      </c>
      <c r="W22">
        <v>1.17</v>
      </c>
      <c r="X22">
        <v>3245.4551999999999</v>
      </c>
      <c r="Y22">
        <v>138424.45910000001</v>
      </c>
      <c r="Z22" t="s">
        <v>1689</v>
      </c>
      <c r="AA22">
        <v>2.2559999999999998</v>
      </c>
      <c r="AB22">
        <v>62.279699999999998</v>
      </c>
      <c r="AC22">
        <v>5.6500000000000002E-2</v>
      </c>
      <c r="AD22" t="s">
        <v>10</v>
      </c>
    </row>
    <row r="23" spans="1:30" hidden="1">
      <c r="A23" s="2">
        <v>32</v>
      </c>
      <c r="B23" s="3" t="s">
        <v>5</v>
      </c>
      <c r="C23" s="2" t="s">
        <v>6</v>
      </c>
      <c r="D23" s="2">
        <v>32</v>
      </c>
      <c r="E23" s="2" t="s">
        <v>114</v>
      </c>
      <c r="F23" t="s">
        <v>115</v>
      </c>
      <c r="G23" s="4">
        <v>44834</v>
      </c>
      <c r="H23" s="5">
        <v>0.4381944444444445</v>
      </c>
      <c r="I23" t="s">
        <v>9</v>
      </c>
      <c r="J23">
        <v>1.41</v>
      </c>
      <c r="K23">
        <v>0.28299999999999997</v>
      </c>
      <c r="L23">
        <v>1.542</v>
      </c>
      <c r="M23" t="s">
        <v>10</v>
      </c>
      <c r="N23" t="s">
        <v>11</v>
      </c>
      <c r="O23">
        <v>1.9430000000000001</v>
      </c>
      <c r="P23">
        <v>149.32140000000001</v>
      </c>
      <c r="Q23">
        <v>342.29349999999999</v>
      </c>
      <c r="R23" t="s">
        <v>10</v>
      </c>
      <c r="S23" t="s">
        <v>116</v>
      </c>
      <c r="T23" s="4">
        <v>44834</v>
      </c>
      <c r="U23" s="5">
        <v>0.4381944444444445</v>
      </c>
      <c r="V23" t="s">
        <v>13</v>
      </c>
      <c r="W23">
        <v>1.1599999999999999</v>
      </c>
      <c r="X23">
        <v>3056.5934999999999</v>
      </c>
      <c r="Y23">
        <v>120118.9938</v>
      </c>
      <c r="Z23" t="s">
        <v>1689</v>
      </c>
      <c r="AA23">
        <v>2.25</v>
      </c>
      <c r="AB23">
        <v>56.562899999999999</v>
      </c>
      <c r="AC23">
        <v>3.3099999999999997E-2</v>
      </c>
      <c r="AD23" t="s">
        <v>10</v>
      </c>
    </row>
    <row r="24" spans="1:30" hidden="1">
      <c r="A24" s="2">
        <v>34</v>
      </c>
      <c r="B24" s="3" t="s">
        <v>5</v>
      </c>
      <c r="C24" s="2" t="s">
        <v>6</v>
      </c>
      <c r="D24" s="2">
        <v>34</v>
      </c>
      <c r="E24" s="2" t="s">
        <v>121</v>
      </c>
      <c r="F24" t="s">
        <v>122</v>
      </c>
      <c r="G24" s="4">
        <v>44834</v>
      </c>
      <c r="H24" s="5">
        <v>0.44568287037037035</v>
      </c>
      <c r="I24" t="s">
        <v>9</v>
      </c>
      <c r="J24">
        <v>1.4159999999999999</v>
      </c>
      <c r="K24">
        <v>0.39019999999999999</v>
      </c>
      <c r="L24">
        <v>2.0055999999999998</v>
      </c>
      <c r="M24" t="s">
        <v>10</v>
      </c>
      <c r="N24" t="s">
        <v>11</v>
      </c>
      <c r="O24">
        <v>1.9530000000000001</v>
      </c>
      <c r="P24">
        <v>143.18450000000001</v>
      </c>
      <c r="Q24">
        <v>319.61309999999997</v>
      </c>
      <c r="R24" t="s">
        <v>10</v>
      </c>
      <c r="S24" t="s">
        <v>123</v>
      </c>
      <c r="T24" s="4">
        <v>44834</v>
      </c>
      <c r="U24" s="5">
        <v>0.44568287037037035</v>
      </c>
      <c r="V24" t="s">
        <v>13</v>
      </c>
      <c r="W24">
        <v>1.17</v>
      </c>
      <c r="X24">
        <v>3355.9061999999999</v>
      </c>
      <c r="Y24">
        <v>151102.0582</v>
      </c>
      <c r="Z24" t="s">
        <v>1689</v>
      </c>
      <c r="AA24">
        <v>2.2599999999999998</v>
      </c>
      <c r="AB24">
        <v>68.574600000000004</v>
      </c>
      <c r="AC24">
        <v>8.2299999999999998E-2</v>
      </c>
      <c r="AD24" t="s">
        <v>10</v>
      </c>
    </row>
    <row r="25" spans="1:30" hidden="1">
      <c r="A25" s="2">
        <v>36</v>
      </c>
      <c r="B25" s="3" t="s">
        <v>5</v>
      </c>
      <c r="C25" s="2" t="s">
        <v>6</v>
      </c>
      <c r="D25" s="2">
        <v>36</v>
      </c>
      <c r="E25" s="2" t="s">
        <v>128</v>
      </c>
      <c r="F25" t="s">
        <v>129</v>
      </c>
      <c r="G25" s="4">
        <v>44834</v>
      </c>
      <c r="H25" s="5">
        <v>0.45317129629629632</v>
      </c>
      <c r="I25" t="s">
        <v>9</v>
      </c>
      <c r="J25">
        <v>1.4059999999999999</v>
      </c>
      <c r="K25">
        <v>0.33379999999999999</v>
      </c>
      <c r="L25">
        <v>1.7617</v>
      </c>
      <c r="M25" t="s">
        <v>10</v>
      </c>
      <c r="N25" t="s">
        <v>11</v>
      </c>
      <c r="O25">
        <v>1.94</v>
      </c>
      <c r="P25">
        <v>117.27630000000001</v>
      </c>
      <c r="Q25">
        <v>223.8629</v>
      </c>
      <c r="R25" t="s">
        <v>10</v>
      </c>
      <c r="S25" t="s">
        <v>130</v>
      </c>
      <c r="T25" s="4">
        <v>44834</v>
      </c>
      <c r="U25" s="5">
        <v>0.45317129629629632</v>
      </c>
      <c r="V25" t="s">
        <v>13</v>
      </c>
      <c r="W25">
        <v>1.1599999999999999</v>
      </c>
      <c r="X25">
        <v>2936.8861999999999</v>
      </c>
      <c r="Y25">
        <v>110037.288</v>
      </c>
      <c r="Z25" t="s">
        <v>1689</v>
      </c>
      <c r="AA25">
        <v>2.246</v>
      </c>
      <c r="AB25">
        <v>53.918999999999997</v>
      </c>
      <c r="AC25">
        <v>2.2200000000000001E-2</v>
      </c>
      <c r="AD25" t="s">
        <v>10</v>
      </c>
    </row>
    <row r="26" spans="1:30" hidden="1">
      <c r="A26" s="2">
        <v>38</v>
      </c>
      <c r="B26" s="3" t="s">
        <v>5</v>
      </c>
      <c r="C26" s="2" t="s">
        <v>6</v>
      </c>
      <c r="D26" s="2">
        <v>38</v>
      </c>
      <c r="E26" s="2" t="s">
        <v>135</v>
      </c>
      <c r="F26" t="s">
        <v>136</v>
      </c>
      <c r="G26" s="4">
        <v>44834</v>
      </c>
      <c r="H26" s="5">
        <v>0.46067129629629627</v>
      </c>
      <c r="I26" t="s">
        <v>9</v>
      </c>
      <c r="J26">
        <v>1.413</v>
      </c>
      <c r="K26">
        <v>0.34799999999999998</v>
      </c>
      <c r="L26">
        <v>1.8230999999999999</v>
      </c>
      <c r="M26" t="s">
        <v>10</v>
      </c>
      <c r="N26" t="s">
        <v>11</v>
      </c>
      <c r="O26">
        <v>1.946</v>
      </c>
      <c r="P26">
        <v>98.2</v>
      </c>
      <c r="Q26">
        <v>153.36179999999999</v>
      </c>
      <c r="R26" t="s">
        <v>10</v>
      </c>
      <c r="S26" t="s">
        <v>137</v>
      </c>
      <c r="T26" s="4">
        <v>44834</v>
      </c>
      <c r="U26" s="5">
        <v>0.46067129629629627</v>
      </c>
      <c r="V26" t="s">
        <v>13</v>
      </c>
      <c r="W26">
        <v>1.1659999999999999</v>
      </c>
      <c r="X26">
        <v>3115.0796</v>
      </c>
      <c r="Y26">
        <v>125456.25780000001</v>
      </c>
      <c r="Z26" t="s">
        <v>1689</v>
      </c>
      <c r="AA26">
        <v>2.2559999999999998</v>
      </c>
      <c r="AB26">
        <v>58.106200000000001</v>
      </c>
      <c r="AC26">
        <v>3.9399999999999998E-2</v>
      </c>
      <c r="AD26" t="s">
        <v>10</v>
      </c>
    </row>
    <row r="27" spans="1:30" hidden="1">
      <c r="A27" s="2">
        <v>40</v>
      </c>
      <c r="B27" s="3" t="s">
        <v>5</v>
      </c>
      <c r="C27" s="2" t="s">
        <v>6</v>
      </c>
      <c r="D27" s="2">
        <v>40</v>
      </c>
      <c r="E27" s="2" t="s">
        <v>142</v>
      </c>
      <c r="F27" t="s">
        <v>143</v>
      </c>
      <c r="G27" s="4">
        <v>44834</v>
      </c>
      <c r="H27" s="5">
        <v>0.46815972222222224</v>
      </c>
      <c r="I27" t="s">
        <v>9</v>
      </c>
      <c r="J27">
        <v>1.4059999999999999</v>
      </c>
      <c r="K27">
        <v>0.33979999999999999</v>
      </c>
      <c r="L27">
        <v>1.7876000000000001</v>
      </c>
      <c r="M27" t="s">
        <v>10</v>
      </c>
      <c r="N27" t="s">
        <v>11</v>
      </c>
      <c r="O27">
        <v>1.94</v>
      </c>
      <c r="P27">
        <v>99.265000000000001</v>
      </c>
      <c r="Q27">
        <v>157.29769999999999</v>
      </c>
      <c r="R27" t="s">
        <v>10</v>
      </c>
      <c r="S27" t="s">
        <v>144</v>
      </c>
      <c r="T27" s="4">
        <v>44834</v>
      </c>
      <c r="U27" s="5">
        <v>0.46815972222222224</v>
      </c>
      <c r="V27" t="s">
        <v>13</v>
      </c>
      <c r="W27">
        <v>1.1599999999999999</v>
      </c>
      <c r="X27">
        <v>3120.2361999999998</v>
      </c>
      <c r="Y27">
        <v>125926.83349999999</v>
      </c>
      <c r="Z27" t="s">
        <v>1689</v>
      </c>
      <c r="AA27">
        <v>2.246</v>
      </c>
      <c r="AB27">
        <v>64.375500000000002</v>
      </c>
      <c r="AC27">
        <v>6.5100000000000005E-2</v>
      </c>
      <c r="AD27" t="s">
        <v>10</v>
      </c>
    </row>
    <row r="28" spans="1:30" hidden="1">
      <c r="A28" s="2">
        <v>41</v>
      </c>
      <c r="B28" s="3" t="s">
        <v>5</v>
      </c>
      <c r="C28" s="2" t="s">
        <v>6</v>
      </c>
      <c r="D28" s="2">
        <v>41</v>
      </c>
      <c r="E28" s="2" t="s">
        <v>145</v>
      </c>
      <c r="F28" t="s">
        <v>146</v>
      </c>
      <c r="G28" s="4">
        <v>44834</v>
      </c>
      <c r="H28" s="5">
        <v>0.47192129629629626</v>
      </c>
      <c r="I28" t="s">
        <v>9</v>
      </c>
      <c r="J28">
        <v>1.4159999999999999</v>
      </c>
      <c r="K28">
        <v>0.3589</v>
      </c>
      <c r="L28">
        <v>1.8702000000000001</v>
      </c>
      <c r="M28" t="s">
        <v>10</v>
      </c>
      <c r="N28" t="s">
        <v>11</v>
      </c>
      <c r="O28">
        <v>1.95</v>
      </c>
      <c r="P28">
        <v>110.70740000000001</v>
      </c>
      <c r="Q28">
        <v>199.58600000000001</v>
      </c>
      <c r="R28" t="s">
        <v>10</v>
      </c>
      <c r="S28" t="s">
        <v>147</v>
      </c>
      <c r="T28" s="4">
        <v>44834</v>
      </c>
      <c r="U28" s="5">
        <v>0.47192129629629626</v>
      </c>
      <c r="V28" t="s">
        <v>13</v>
      </c>
      <c r="W28">
        <v>1.1659999999999999</v>
      </c>
      <c r="X28">
        <v>3284.6673000000001</v>
      </c>
      <c r="Y28">
        <v>142721.856</v>
      </c>
      <c r="Z28" t="s">
        <v>1689</v>
      </c>
      <c r="AA28">
        <v>2.2599999999999998</v>
      </c>
      <c r="AB28">
        <v>66.504599999999996</v>
      </c>
      <c r="AC28">
        <v>7.3800000000000004E-2</v>
      </c>
      <c r="AD28" t="s">
        <v>10</v>
      </c>
    </row>
    <row r="29" spans="1:30" hidden="1">
      <c r="A29" s="2">
        <v>42</v>
      </c>
      <c r="B29" s="3" t="s">
        <v>5</v>
      </c>
      <c r="C29" s="2" t="s">
        <v>6</v>
      </c>
      <c r="D29" s="2">
        <v>42</v>
      </c>
      <c r="E29" s="2" t="s">
        <v>148</v>
      </c>
      <c r="F29" t="s">
        <v>149</v>
      </c>
      <c r="G29" s="4">
        <v>44834</v>
      </c>
      <c r="H29" s="5">
        <v>0.47565972222222225</v>
      </c>
      <c r="I29" t="s">
        <v>9</v>
      </c>
      <c r="J29">
        <v>1.4059999999999999</v>
      </c>
      <c r="K29">
        <v>0.32900000000000001</v>
      </c>
      <c r="L29">
        <v>1.7408999999999999</v>
      </c>
      <c r="M29" t="s">
        <v>10</v>
      </c>
      <c r="N29" t="s">
        <v>11</v>
      </c>
      <c r="O29">
        <v>1.9359999999999999</v>
      </c>
      <c r="P29">
        <v>99.654799999999994</v>
      </c>
      <c r="Q29">
        <v>158.73830000000001</v>
      </c>
      <c r="R29" t="s">
        <v>10</v>
      </c>
      <c r="S29" t="s">
        <v>150</v>
      </c>
      <c r="T29" s="4">
        <v>44834</v>
      </c>
      <c r="U29" s="5">
        <v>0.47565972222222225</v>
      </c>
      <c r="V29" t="s">
        <v>13</v>
      </c>
      <c r="W29">
        <v>1.1559999999999999</v>
      </c>
      <c r="X29">
        <v>3004.518</v>
      </c>
      <c r="Y29">
        <v>115643.5379</v>
      </c>
      <c r="Z29" t="s">
        <v>1689</v>
      </c>
      <c r="AA29">
        <v>2.2429999999999999</v>
      </c>
      <c r="AB29">
        <v>56.7624</v>
      </c>
      <c r="AC29">
        <v>3.39E-2</v>
      </c>
      <c r="AD29" t="s">
        <v>10</v>
      </c>
    </row>
    <row r="30" spans="1:30" hidden="1">
      <c r="A30" s="2">
        <v>44</v>
      </c>
      <c r="B30" s="3" t="s">
        <v>5</v>
      </c>
      <c r="C30" s="2" t="s">
        <v>6</v>
      </c>
      <c r="D30" s="2">
        <v>44</v>
      </c>
      <c r="E30" s="2" t="s">
        <v>155</v>
      </c>
      <c r="F30" t="s">
        <v>156</v>
      </c>
      <c r="G30" s="4">
        <v>44834</v>
      </c>
      <c r="H30" s="5">
        <v>0.48317129629629635</v>
      </c>
      <c r="I30" t="s">
        <v>9</v>
      </c>
      <c r="J30">
        <v>1.4059999999999999</v>
      </c>
      <c r="K30">
        <v>0.36880000000000002</v>
      </c>
      <c r="L30">
        <v>1.9131</v>
      </c>
      <c r="M30" t="s">
        <v>10</v>
      </c>
      <c r="N30" t="s">
        <v>11</v>
      </c>
      <c r="O30">
        <v>1.9359999999999999</v>
      </c>
      <c r="P30">
        <v>109.414</v>
      </c>
      <c r="Q30">
        <v>194.80590000000001</v>
      </c>
      <c r="R30" t="s">
        <v>10</v>
      </c>
      <c r="S30" t="s">
        <v>157</v>
      </c>
      <c r="T30" s="4">
        <v>44834</v>
      </c>
      <c r="U30" s="5">
        <v>0.48317129629629635</v>
      </c>
      <c r="V30" t="s">
        <v>13</v>
      </c>
      <c r="W30">
        <v>1.1599999999999999</v>
      </c>
      <c r="X30">
        <v>3130.1727999999998</v>
      </c>
      <c r="Y30">
        <v>126844.94289999999</v>
      </c>
      <c r="Z30" t="s">
        <v>1689</v>
      </c>
      <c r="AA30">
        <v>2.246</v>
      </c>
      <c r="AB30">
        <v>63.515799999999999</v>
      </c>
      <c r="AC30">
        <v>6.1600000000000002E-2</v>
      </c>
      <c r="AD30" t="s">
        <v>10</v>
      </c>
    </row>
    <row r="31" spans="1:30" hidden="1">
      <c r="A31" s="2">
        <v>46</v>
      </c>
      <c r="B31" s="3" t="s">
        <v>5</v>
      </c>
      <c r="C31" s="2" t="s">
        <v>6</v>
      </c>
      <c r="D31" s="2">
        <v>46</v>
      </c>
      <c r="E31" s="2" t="s">
        <v>162</v>
      </c>
      <c r="F31" t="s">
        <v>163</v>
      </c>
      <c r="G31" s="4">
        <v>44834</v>
      </c>
      <c r="H31" s="5">
        <v>0.4906712962962963</v>
      </c>
      <c r="I31" t="s">
        <v>9</v>
      </c>
      <c r="J31">
        <v>1.41</v>
      </c>
      <c r="K31">
        <v>0.32579999999999998</v>
      </c>
      <c r="L31">
        <v>1.7271000000000001</v>
      </c>
      <c r="M31" t="s">
        <v>10</v>
      </c>
      <c r="N31" t="s">
        <v>11</v>
      </c>
      <c r="O31">
        <v>1.95</v>
      </c>
      <c r="P31">
        <v>97.729500000000002</v>
      </c>
      <c r="Q31">
        <v>151.62289999999999</v>
      </c>
      <c r="R31" t="s">
        <v>10</v>
      </c>
      <c r="S31" t="s">
        <v>164</v>
      </c>
      <c r="T31" s="4">
        <v>44834</v>
      </c>
      <c r="U31" s="5">
        <v>0.4906712962962963</v>
      </c>
      <c r="V31" t="s">
        <v>13</v>
      </c>
      <c r="W31">
        <v>1.163</v>
      </c>
      <c r="X31">
        <v>3085.0012000000002</v>
      </c>
      <c r="Y31">
        <v>122711.3943</v>
      </c>
      <c r="Z31" t="s">
        <v>1689</v>
      </c>
      <c r="AA31">
        <v>2.2559999999999998</v>
      </c>
      <c r="AB31">
        <v>57.855800000000002</v>
      </c>
      <c r="AC31">
        <v>3.8399999999999997E-2</v>
      </c>
      <c r="AD31" t="s">
        <v>10</v>
      </c>
    </row>
    <row r="32" spans="1:30" hidden="1">
      <c r="A32" s="2">
        <v>48</v>
      </c>
      <c r="B32" s="3" t="s">
        <v>5</v>
      </c>
      <c r="C32" s="2" t="s">
        <v>6</v>
      </c>
      <c r="D32" s="2">
        <v>48</v>
      </c>
      <c r="E32" s="2" t="s">
        <v>169</v>
      </c>
      <c r="F32" t="s">
        <v>170</v>
      </c>
      <c r="G32" s="4">
        <v>44834</v>
      </c>
      <c r="H32" s="5">
        <v>0.49815972222222221</v>
      </c>
      <c r="I32" t="s">
        <v>9</v>
      </c>
      <c r="J32">
        <v>1.4159999999999999</v>
      </c>
      <c r="K32">
        <v>0.34179999999999999</v>
      </c>
      <c r="L32">
        <v>1.7963</v>
      </c>
      <c r="M32" t="s">
        <v>10</v>
      </c>
      <c r="N32" t="s">
        <v>11</v>
      </c>
      <c r="O32">
        <v>1.9530000000000001</v>
      </c>
      <c r="P32">
        <v>106.7157</v>
      </c>
      <c r="Q32">
        <v>184.83359999999999</v>
      </c>
      <c r="R32" t="s">
        <v>10</v>
      </c>
      <c r="S32" t="s">
        <v>171</v>
      </c>
      <c r="T32" s="4">
        <v>44834</v>
      </c>
      <c r="U32" s="5">
        <v>0.49815972222222221</v>
      </c>
      <c r="V32" t="s">
        <v>13</v>
      </c>
      <c r="W32">
        <v>1.1659999999999999</v>
      </c>
      <c r="X32">
        <v>3192.3065999999999</v>
      </c>
      <c r="Y32">
        <v>132899.7893</v>
      </c>
      <c r="Z32" t="s">
        <v>1689</v>
      </c>
      <c r="AA32">
        <v>2.2629999999999999</v>
      </c>
      <c r="AB32">
        <v>65.989000000000004</v>
      </c>
      <c r="AC32">
        <v>7.17E-2</v>
      </c>
      <c r="AD32" t="s">
        <v>10</v>
      </c>
    </row>
    <row r="33" spans="1:34" hidden="1">
      <c r="A33" s="2">
        <v>50</v>
      </c>
      <c r="B33" s="3" t="s">
        <v>5</v>
      </c>
      <c r="C33" s="2" t="s">
        <v>6</v>
      </c>
      <c r="D33" s="2">
        <v>50</v>
      </c>
      <c r="E33" s="2" t="s">
        <v>176</v>
      </c>
      <c r="F33" t="s">
        <v>177</v>
      </c>
      <c r="G33" s="4">
        <v>44834</v>
      </c>
      <c r="H33" s="5">
        <v>0.50565972222222222</v>
      </c>
      <c r="I33" t="s">
        <v>9</v>
      </c>
      <c r="J33">
        <v>1.4059999999999999</v>
      </c>
      <c r="K33">
        <v>0.3664</v>
      </c>
      <c r="L33">
        <v>1.9027000000000001</v>
      </c>
      <c r="M33" t="s">
        <v>10</v>
      </c>
      <c r="N33" t="s">
        <v>11</v>
      </c>
      <c r="O33">
        <v>1.94</v>
      </c>
      <c r="P33">
        <v>109.1571</v>
      </c>
      <c r="Q33">
        <v>193.85640000000001</v>
      </c>
      <c r="R33" t="s">
        <v>10</v>
      </c>
      <c r="S33" t="s">
        <v>178</v>
      </c>
      <c r="T33" s="4">
        <v>44834</v>
      </c>
      <c r="U33" s="5">
        <v>0.50565972222222222</v>
      </c>
      <c r="V33" t="s">
        <v>13</v>
      </c>
      <c r="W33">
        <v>1.1559999999999999</v>
      </c>
      <c r="X33">
        <v>3137.2979999999998</v>
      </c>
      <c r="Y33">
        <v>127539.283</v>
      </c>
      <c r="Z33" t="s">
        <v>1689</v>
      </c>
      <c r="AA33">
        <v>2.2530000000000001</v>
      </c>
      <c r="AB33">
        <v>65.1554</v>
      </c>
      <c r="AC33">
        <v>6.83E-2</v>
      </c>
      <c r="AD33" t="s">
        <v>10</v>
      </c>
    </row>
    <row r="34" spans="1:34" hidden="1">
      <c r="A34" s="2">
        <v>52</v>
      </c>
      <c r="B34" s="3" t="s">
        <v>5</v>
      </c>
      <c r="C34" s="2" t="s">
        <v>6</v>
      </c>
      <c r="D34" s="2">
        <v>52</v>
      </c>
      <c r="E34" s="2" t="s">
        <v>183</v>
      </c>
      <c r="F34" t="s">
        <v>184</v>
      </c>
      <c r="G34" s="4">
        <v>44834</v>
      </c>
      <c r="H34" s="5">
        <v>0.51314814814814813</v>
      </c>
      <c r="I34" t="s">
        <v>9</v>
      </c>
      <c r="J34">
        <v>1.4159999999999999</v>
      </c>
      <c r="K34">
        <v>0.38059999999999999</v>
      </c>
      <c r="L34">
        <v>1.9641</v>
      </c>
      <c r="M34" t="s">
        <v>10</v>
      </c>
      <c r="N34" t="s">
        <v>11</v>
      </c>
      <c r="O34">
        <v>1.956</v>
      </c>
      <c r="P34">
        <v>103.5333</v>
      </c>
      <c r="Q34">
        <v>173.07230000000001</v>
      </c>
      <c r="R34" t="s">
        <v>10</v>
      </c>
      <c r="S34" t="s">
        <v>185</v>
      </c>
      <c r="T34" s="4">
        <v>44834</v>
      </c>
      <c r="U34" s="5">
        <v>0.51314814814814813</v>
      </c>
      <c r="V34" t="s">
        <v>13</v>
      </c>
      <c r="W34">
        <v>1.1659999999999999</v>
      </c>
      <c r="X34">
        <v>3193.8876</v>
      </c>
      <c r="Y34">
        <v>133053.8554</v>
      </c>
      <c r="Z34" t="s">
        <v>1689</v>
      </c>
      <c r="AA34">
        <v>2.266</v>
      </c>
      <c r="AB34">
        <v>60.858199999999997</v>
      </c>
      <c r="AC34">
        <v>5.0700000000000002E-2</v>
      </c>
      <c r="AD34" t="s">
        <v>10</v>
      </c>
    </row>
    <row r="35" spans="1:34" hidden="1">
      <c r="A35" s="2">
        <v>53</v>
      </c>
      <c r="B35" s="3" t="s">
        <v>5</v>
      </c>
      <c r="C35" s="2" t="s">
        <v>6</v>
      </c>
      <c r="D35" s="2">
        <v>53</v>
      </c>
      <c r="E35" s="2" t="s">
        <v>186</v>
      </c>
      <c r="F35" t="s">
        <v>187</v>
      </c>
      <c r="G35" s="4">
        <v>44834</v>
      </c>
      <c r="H35" s="5">
        <v>0.51689814814814816</v>
      </c>
      <c r="I35" t="s">
        <v>9</v>
      </c>
      <c r="J35">
        <v>1.4059999999999999</v>
      </c>
      <c r="K35">
        <v>0.34</v>
      </c>
      <c r="L35">
        <v>1.7885</v>
      </c>
      <c r="M35" t="s">
        <v>10</v>
      </c>
      <c r="N35" t="s">
        <v>11</v>
      </c>
      <c r="O35">
        <v>1.946</v>
      </c>
      <c r="P35">
        <v>115.26860000000001</v>
      </c>
      <c r="Q35">
        <v>216.44300000000001</v>
      </c>
      <c r="R35" t="s">
        <v>10</v>
      </c>
      <c r="S35" t="s">
        <v>188</v>
      </c>
      <c r="T35" s="4">
        <v>44834</v>
      </c>
      <c r="U35" s="5">
        <v>0.51689814814814816</v>
      </c>
      <c r="V35" t="s">
        <v>13</v>
      </c>
      <c r="W35">
        <v>1.1599999999999999</v>
      </c>
      <c r="X35">
        <v>3040.5639999999999</v>
      </c>
      <c r="Y35">
        <v>118736.47199999999</v>
      </c>
      <c r="Z35" t="s">
        <v>1689</v>
      </c>
      <c r="AA35">
        <v>2.2559999999999998</v>
      </c>
      <c r="AB35">
        <v>61.606999999999999</v>
      </c>
      <c r="AC35">
        <v>5.3699999999999998E-2</v>
      </c>
      <c r="AD35" t="s">
        <v>10</v>
      </c>
    </row>
    <row r="36" spans="1:34" hidden="1">
      <c r="A36" s="2">
        <v>54</v>
      </c>
      <c r="B36" s="3" t="s">
        <v>5</v>
      </c>
      <c r="C36" s="2" t="s">
        <v>6</v>
      </c>
      <c r="D36" s="2">
        <v>54</v>
      </c>
      <c r="E36" s="2" t="s">
        <v>189</v>
      </c>
      <c r="F36" t="s">
        <v>190</v>
      </c>
      <c r="G36" s="4">
        <v>44834</v>
      </c>
      <c r="H36" s="5">
        <v>0.52103009259259259</v>
      </c>
      <c r="I36" t="s">
        <v>9</v>
      </c>
      <c r="J36">
        <v>1.41</v>
      </c>
      <c r="K36">
        <v>0.35780000000000001</v>
      </c>
      <c r="L36">
        <v>1.8654999999999999</v>
      </c>
      <c r="M36" t="s">
        <v>10</v>
      </c>
      <c r="N36" t="s">
        <v>11</v>
      </c>
      <c r="O36">
        <v>1.946</v>
      </c>
      <c r="P36">
        <v>99.148799999999994</v>
      </c>
      <c r="Q36">
        <v>156.8683</v>
      </c>
      <c r="R36" t="s">
        <v>10</v>
      </c>
      <c r="S36" t="s">
        <v>191</v>
      </c>
      <c r="T36" s="4">
        <v>44834</v>
      </c>
      <c r="U36" s="5">
        <v>0.52103009259259259</v>
      </c>
      <c r="V36" t="s">
        <v>13</v>
      </c>
      <c r="W36">
        <v>1.1659999999999999</v>
      </c>
      <c r="X36">
        <v>3073.4656</v>
      </c>
      <c r="Y36">
        <v>121658.69040000001</v>
      </c>
      <c r="Z36" t="s">
        <v>1689</v>
      </c>
      <c r="AA36">
        <v>2.2559999999999998</v>
      </c>
      <c r="AB36">
        <v>62.131900000000002</v>
      </c>
      <c r="AC36">
        <v>5.5899999999999998E-2</v>
      </c>
      <c r="AD36" t="s">
        <v>10</v>
      </c>
    </row>
    <row r="37" spans="1:34">
      <c r="A37" s="2">
        <v>11</v>
      </c>
      <c r="B37" s="3" t="s">
        <v>41</v>
      </c>
      <c r="C37" s="2" t="s">
        <v>6</v>
      </c>
      <c r="D37" s="2">
        <v>11</v>
      </c>
      <c r="E37" s="2" t="s">
        <v>42</v>
      </c>
      <c r="F37" t="s">
        <v>43</v>
      </c>
      <c r="G37" s="4">
        <v>44834</v>
      </c>
      <c r="H37" s="5">
        <v>0.359375</v>
      </c>
      <c r="I37" t="s">
        <v>9</v>
      </c>
      <c r="J37">
        <v>0</v>
      </c>
      <c r="K37">
        <v>0</v>
      </c>
      <c r="L37">
        <v>0</v>
      </c>
      <c r="M37" t="s">
        <v>10</v>
      </c>
      <c r="N37" t="s">
        <v>11</v>
      </c>
      <c r="O37">
        <v>1.923</v>
      </c>
      <c r="P37">
        <v>42.255000000000003</v>
      </c>
      <c r="Q37">
        <v>0</v>
      </c>
      <c r="R37" t="s">
        <v>10</v>
      </c>
      <c r="S37" t="s">
        <v>44</v>
      </c>
      <c r="T37" s="4">
        <v>44834</v>
      </c>
      <c r="U37" s="5">
        <v>0.359375</v>
      </c>
      <c r="V37" t="s">
        <v>13</v>
      </c>
      <c r="W37">
        <v>1.1659999999999999</v>
      </c>
      <c r="X37">
        <v>1197.8327999999999</v>
      </c>
      <c r="Y37">
        <v>10817.7724</v>
      </c>
      <c r="Z37" t="s">
        <v>1689</v>
      </c>
      <c r="AA37">
        <v>2.2200000000000002</v>
      </c>
      <c r="AB37">
        <v>18.776</v>
      </c>
      <c r="AC37">
        <v>0</v>
      </c>
      <c r="AD37" t="s">
        <v>10</v>
      </c>
      <c r="AE37">
        <v>0</v>
      </c>
      <c r="AF37">
        <v>0</v>
      </c>
      <c r="AG37">
        <v>0</v>
      </c>
      <c r="AH37">
        <v>0</v>
      </c>
    </row>
    <row r="38" spans="1:34">
      <c r="A38" s="2">
        <v>27</v>
      </c>
      <c r="B38" s="3" t="s">
        <v>96</v>
      </c>
      <c r="C38" s="2" t="s">
        <v>6</v>
      </c>
      <c r="D38" s="2">
        <v>27</v>
      </c>
      <c r="E38" s="2" t="s">
        <v>97</v>
      </c>
      <c r="F38" t="s">
        <v>98</v>
      </c>
      <c r="G38" s="4">
        <v>44834</v>
      </c>
      <c r="H38" s="5">
        <v>0.41944444444444445</v>
      </c>
      <c r="I38" t="s">
        <v>9</v>
      </c>
      <c r="J38">
        <v>0</v>
      </c>
      <c r="K38">
        <v>0</v>
      </c>
      <c r="L38">
        <v>0</v>
      </c>
      <c r="M38" t="s">
        <v>10</v>
      </c>
      <c r="N38" t="s">
        <v>11</v>
      </c>
      <c r="O38">
        <v>1.93</v>
      </c>
      <c r="P38">
        <v>12.7037</v>
      </c>
      <c r="Q38">
        <v>0</v>
      </c>
      <c r="R38" t="s">
        <v>10</v>
      </c>
      <c r="S38" t="s">
        <v>99</v>
      </c>
      <c r="T38" s="4">
        <v>44834</v>
      </c>
      <c r="U38" s="5">
        <v>0.41944444444444445</v>
      </c>
      <c r="V38" t="s">
        <v>13</v>
      </c>
      <c r="W38">
        <v>1.1559999999999999</v>
      </c>
      <c r="X38">
        <v>940.11339999999996</v>
      </c>
      <c r="Y38">
        <v>0</v>
      </c>
      <c r="Z38" t="s">
        <v>1689</v>
      </c>
      <c r="AA38">
        <v>2.2400000000000002</v>
      </c>
      <c r="AB38">
        <v>6.5975999999999999</v>
      </c>
      <c r="AC38">
        <v>0</v>
      </c>
      <c r="AD38" t="s">
        <v>10</v>
      </c>
      <c r="AE38">
        <v>0</v>
      </c>
      <c r="AF38">
        <v>0</v>
      </c>
      <c r="AG38">
        <v>0</v>
      </c>
      <c r="AH38">
        <v>0</v>
      </c>
    </row>
    <row r="39" spans="1:34">
      <c r="A39" s="2">
        <v>29</v>
      </c>
      <c r="B39" s="3" t="s">
        <v>103</v>
      </c>
      <c r="C39" s="2" t="s">
        <v>6</v>
      </c>
      <c r="D39" s="2">
        <v>29</v>
      </c>
      <c r="E39" s="2" t="s">
        <v>104</v>
      </c>
      <c r="F39" t="s">
        <v>105</v>
      </c>
      <c r="G39" s="4">
        <v>44834</v>
      </c>
      <c r="H39" s="5">
        <v>0.4269444444444444</v>
      </c>
      <c r="I39" t="s">
        <v>9</v>
      </c>
      <c r="J39">
        <v>1.413</v>
      </c>
      <c r="K39">
        <v>0.14879999999999999</v>
      </c>
      <c r="L39">
        <v>0.96150000000000002</v>
      </c>
      <c r="M39" t="s">
        <v>10</v>
      </c>
      <c r="N39" t="s">
        <v>11</v>
      </c>
      <c r="O39">
        <v>1.9430000000000001</v>
      </c>
      <c r="P39">
        <v>39.930999999999997</v>
      </c>
      <c r="Q39">
        <v>0</v>
      </c>
      <c r="R39" t="s">
        <v>10</v>
      </c>
      <c r="S39" t="s">
        <v>106</v>
      </c>
      <c r="T39" s="4">
        <v>44834</v>
      </c>
      <c r="U39" s="5">
        <v>0.4269444444444444</v>
      </c>
      <c r="V39" t="s">
        <v>13</v>
      </c>
      <c r="W39">
        <v>1.1659999999999999</v>
      </c>
      <c r="X39">
        <v>1768.8222000000001</v>
      </c>
      <c r="Y39">
        <v>37612.1999</v>
      </c>
      <c r="Z39" t="s">
        <v>1689</v>
      </c>
      <c r="AA39">
        <v>2.246</v>
      </c>
      <c r="AB39">
        <v>21.120200000000001</v>
      </c>
      <c r="AC39">
        <v>0</v>
      </c>
      <c r="AD39" t="s">
        <v>10</v>
      </c>
      <c r="AE39">
        <v>69.166666669999998</v>
      </c>
      <c r="AF39">
        <v>0.3</v>
      </c>
      <c r="AG39" s="10">
        <v>5.4166699999999998E-2</v>
      </c>
      <c r="AH39">
        <v>34916.666669999999</v>
      </c>
    </row>
    <row r="40" spans="1:34">
      <c r="A40" s="2">
        <v>31</v>
      </c>
      <c r="B40" s="3" t="s">
        <v>110</v>
      </c>
      <c r="C40" s="2" t="s">
        <v>6</v>
      </c>
      <c r="D40" s="2">
        <v>31</v>
      </c>
      <c r="E40" s="2" t="s">
        <v>111</v>
      </c>
      <c r="F40" t="s">
        <v>112</v>
      </c>
      <c r="G40" s="4">
        <v>44834</v>
      </c>
      <c r="H40" s="5">
        <v>0.43444444444444441</v>
      </c>
      <c r="I40" t="s">
        <v>9</v>
      </c>
      <c r="J40">
        <v>1.4059999999999999</v>
      </c>
      <c r="K40">
        <v>0.1988</v>
      </c>
      <c r="L40">
        <v>1.1778</v>
      </c>
      <c r="M40" t="s">
        <v>10</v>
      </c>
      <c r="N40" t="s">
        <v>11</v>
      </c>
      <c r="O40">
        <v>1.94</v>
      </c>
      <c r="P40">
        <v>54.900399999999998</v>
      </c>
      <c r="Q40">
        <v>0</v>
      </c>
      <c r="R40" t="s">
        <v>10</v>
      </c>
      <c r="S40" t="s">
        <v>113</v>
      </c>
      <c r="T40" s="4">
        <v>44834</v>
      </c>
      <c r="U40" s="5">
        <v>0.43444444444444441</v>
      </c>
      <c r="V40" t="s">
        <v>13</v>
      </c>
      <c r="W40">
        <v>1.1599999999999999</v>
      </c>
      <c r="X40">
        <v>2264.0079999999998</v>
      </c>
      <c r="Y40">
        <v>64358.637999999999</v>
      </c>
      <c r="Z40" t="s">
        <v>1689</v>
      </c>
      <c r="AA40">
        <v>2.246</v>
      </c>
      <c r="AB40">
        <v>33.474200000000003</v>
      </c>
      <c r="AC40">
        <v>0</v>
      </c>
      <c r="AD40" t="s">
        <v>10</v>
      </c>
      <c r="AE40">
        <v>138.33333329999999</v>
      </c>
      <c r="AF40">
        <v>0.6</v>
      </c>
      <c r="AG40" s="10">
        <v>0.108333</v>
      </c>
      <c r="AH40">
        <v>69833.333329999994</v>
      </c>
    </row>
    <row r="41" spans="1:34">
      <c r="A41" s="2">
        <v>33</v>
      </c>
      <c r="B41" s="3" t="s">
        <v>117</v>
      </c>
      <c r="C41" s="2" t="s">
        <v>6</v>
      </c>
      <c r="D41" s="2">
        <v>33</v>
      </c>
      <c r="E41" s="2" t="s">
        <v>118</v>
      </c>
      <c r="F41" t="s">
        <v>119</v>
      </c>
      <c r="G41" s="4">
        <v>44834</v>
      </c>
      <c r="H41" s="5">
        <v>0.44193287037037038</v>
      </c>
      <c r="I41" t="s">
        <v>9</v>
      </c>
      <c r="J41">
        <v>1.4059999999999999</v>
      </c>
      <c r="K41">
        <v>0.29349999999999998</v>
      </c>
      <c r="L41">
        <v>1.5873999999999999</v>
      </c>
      <c r="M41" t="s">
        <v>10</v>
      </c>
      <c r="N41" t="s">
        <v>11</v>
      </c>
      <c r="O41">
        <v>1.9359999999999999</v>
      </c>
      <c r="P41">
        <v>93.245999999999995</v>
      </c>
      <c r="Q41">
        <v>135.053</v>
      </c>
      <c r="R41" t="s">
        <v>10</v>
      </c>
      <c r="S41" t="s">
        <v>120</v>
      </c>
      <c r="T41" s="4">
        <v>44834</v>
      </c>
      <c r="U41" s="5">
        <v>0.44193287037037038</v>
      </c>
      <c r="V41" t="s">
        <v>13</v>
      </c>
      <c r="W41">
        <v>1.1559999999999999</v>
      </c>
      <c r="X41">
        <v>2677.8557999999998</v>
      </c>
      <c r="Y41">
        <v>90646.030499999993</v>
      </c>
      <c r="Z41" t="s">
        <v>1689</v>
      </c>
      <c r="AA41">
        <v>2.246</v>
      </c>
      <c r="AB41">
        <v>48.035200000000003</v>
      </c>
      <c r="AC41">
        <v>0</v>
      </c>
      <c r="AD41" t="s">
        <v>10</v>
      </c>
      <c r="AE41">
        <v>207.5</v>
      </c>
      <c r="AF41">
        <v>0.9</v>
      </c>
      <c r="AG41">
        <v>0.16250000000000001</v>
      </c>
      <c r="AH41">
        <v>104750</v>
      </c>
    </row>
    <row r="42" spans="1:34">
      <c r="A42" s="2">
        <v>35</v>
      </c>
      <c r="B42" s="3" t="s">
        <v>124</v>
      </c>
      <c r="C42" s="2" t="s">
        <v>6</v>
      </c>
      <c r="D42" s="2">
        <v>35</v>
      </c>
      <c r="E42" s="2" t="s">
        <v>125</v>
      </c>
      <c r="F42" t="s">
        <v>126</v>
      </c>
      <c r="G42" s="4">
        <v>44834</v>
      </c>
      <c r="H42" s="5">
        <v>0.44942129629629629</v>
      </c>
      <c r="I42" t="s">
        <v>9</v>
      </c>
      <c r="J42">
        <v>1.4</v>
      </c>
      <c r="K42">
        <v>0.40350000000000003</v>
      </c>
      <c r="L42">
        <v>2.0630999999999999</v>
      </c>
      <c r="M42" t="s">
        <v>10</v>
      </c>
      <c r="N42" t="s">
        <v>11</v>
      </c>
      <c r="O42">
        <v>1.93</v>
      </c>
      <c r="P42">
        <v>101.3862</v>
      </c>
      <c r="Q42">
        <v>165.13720000000001</v>
      </c>
      <c r="R42" t="s">
        <v>10</v>
      </c>
      <c r="S42" t="s">
        <v>127</v>
      </c>
      <c r="T42" s="4">
        <v>44834</v>
      </c>
      <c r="U42" s="5">
        <v>0.44942129629629629</v>
      </c>
      <c r="V42" t="s">
        <v>13</v>
      </c>
      <c r="W42">
        <v>1.1559999999999999</v>
      </c>
      <c r="X42">
        <v>2961.9964</v>
      </c>
      <c r="Y42">
        <v>112070.413</v>
      </c>
      <c r="Z42" t="s">
        <v>1689</v>
      </c>
      <c r="AA42">
        <v>2.2330000000000001</v>
      </c>
      <c r="AB42">
        <v>62.127600000000001</v>
      </c>
      <c r="AC42">
        <v>5.5899999999999998E-2</v>
      </c>
      <c r="AD42" t="s">
        <v>10</v>
      </c>
      <c r="AE42">
        <v>276.66666670000001</v>
      </c>
      <c r="AF42">
        <v>1.2</v>
      </c>
      <c r="AG42" s="10">
        <v>0.216667</v>
      </c>
      <c r="AH42">
        <v>139666.6667</v>
      </c>
    </row>
    <row r="43" spans="1:34">
      <c r="A43" s="2">
        <v>37</v>
      </c>
      <c r="B43" s="3" t="s">
        <v>131</v>
      </c>
      <c r="C43" s="2" t="s">
        <v>6</v>
      </c>
      <c r="D43" s="2">
        <v>37</v>
      </c>
      <c r="E43" s="2" t="s">
        <v>132</v>
      </c>
      <c r="F43" t="s">
        <v>133</v>
      </c>
      <c r="G43" s="4">
        <v>44834</v>
      </c>
      <c r="H43" s="5">
        <v>0.4569212962962963</v>
      </c>
      <c r="I43" t="s">
        <v>9</v>
      </c>
      <c r="J43">
        <v>1.403</v>
      </c>
      <c r="K43">
        <v>0.45540000000000003</v>
      </c>
      <c r="L43">
        <v>2.2875999999999999</v>
      </c>
      <c r="M43" t="s">
        <v>10</v>
      </c>
      <c r="N43" t="s">
        <v>11</v>
      </c>
      <c r="O43">
        <v>1.9359999999999999</v>
      </c>
      <c r="P43">
        <v>113.7486</v>
      </c>
      <c r="Q43">
        <v>210.82550000000001</v>
      </c>
      <c r="R43" t="s">
        <v>10</v>
      </c>
      <c r="S43" t="s">
        <v>134</v>
      </c>
      <c r="T43" s="4">
        <v>44834</v>
      </c>
      <c r="U43" s="5">
        <v>0.4569212962962963</v>
      </c>
      <c r="V43" t="s">
        <v>13</v>
      </c>
      <c r="W43">
        <v>1.1559999999999999</v>
      </c>
      <c r="X43">
        <v>3321.0814</v>
      </c>
      <c r="Y43">
        <v>146841.16099999999</v>
      </c>
      <c r="Z43" t="s">
        <v>1689</v>
      </c>
      <c r="AA43">
        <v>2.246</v>
      </c>
      <c r="AB43">
        <v>72.868399999999994</v>
      </c>
      <c r="AC43">
        <v>9.9900000000000003E-2</v>
      </c>
      <c r="AD43" t="s">
        <v>10</v>
      </c>
      <c r="AE43">
        <v>345.83333329999999</v>
      </c>
      <c r="AF43">
        <v>1.5</v>
      </c>
      <c r="AG43" s="10">
        <v>0.27083299999999999</v>
      </c>
      <c r="AH43">
        <v>174583.3333</v>
      </c>
    </row>
    <row r="44" spans="1:34">
      <c r="A44" s="2">
        <v>39</v>
      </c>
      <c r="B44" s="3" t="s">
        <v>138</v>
      </c>
      <c r="C44" s="2" t="s">
        <v>6</v>
      </c>
      <c r="D44" s="2">
        <v>39</v>
      </c>
      <c r="E44" s="2" t="s">
        <v>139</v>
      </c>
      <c r="F44" t="s">
        <v>140</v>
      </c>
      <c r="G44" s="4">
        <v>44834</v>
      </c>
      <c r="H44" s="5">
        <v>0.46440972222222227</v>
      </c>
      <c r="I44" t="s">
        <v>9</v>
      </c>
      <c r="J44">
        <v>1.403</v>
      </c>
      <c r="K44">
        <v>0.53779999999999994</v>
      </c>
      <c r="L44">
        <v>2.6440000000000001</v>
      </c>
      <c r="M44" t="s">
        <v>10</v>
      </c>
      <c r="N44" t="s">
        <v>11</v>
      </c>
      <c r="O44">
        <v>1.9359999999999999</v>
      </c>
      <c r="P44">
        <v>138.17060000000001</v>
      </c>
      <c r="Q44">
        <v>301.08300000000003</v>
      </c>
      <c r="R44" t="s">
        <v>10</v>
      </c>
      <c r="S44" t="s">
        <v>141</v>
      </c>
      <c r="T44" s="4">
        <v>44834</v>
      </c>
      <c r="U44" s="5">
        <v>0.46440972222222227</v>
      </c>
      <c r="V44" t="s">
        <v>13</v>
      </c>
      <c r="W44">
        <v>1.1599999999999999</v>
      </c>
      <c r="X44">
        <v>3632.2024999999999</v>
      </c>
      <c r="Y44">
        <v>190707.1336</v>
      </c>
      <c r="Z44" t="s">
        <v>1689</v>
      </c>
      <c r="AA44">
        <v>2.246</v>
      </c>
      <c r="AB44">
        <v>90.689400000000006</v>
      </c>
      <c r="AC44">
        <v>0.17299999999999999</v>
      </c>
      <c r="AD44" t="s">
        <v>10</v>
      </c>
      <c r="AE44">
        <v>415</v>
      </c>
      <c r="AF44">
        <v>1.8</v>
      </c>
      <c r="AG44">
        <v>0.32500000000000001</v>
      </c>
      <c r="AH44">
        <v>209500</v>
      </c>
    </row>
    <row r="45" spans="1:34">
      <c r="A45" s="2">
        <v>43</v>
      </c>
      <c r="B45" s="3" t="s">
        <v>151</v>
      </c>
      <c r="C45" s="2" t="s">
        <v>6</v>
      </c>
      <c r="D45" s="2">
        <v>43</v>
      </c>
      <c r="E45" s="2" t="s">
        <v>152</v>
      </c>
      <c r="F45" t="s">
        <v>153</v>
      </c>
      <c r="G45" s="4">
        <v>44834</v>
      </c>
      <c r="H45" s="5">
        <v>0.47942129629629626</v>
      </c>
      <c r="I45" t="s">
        <v>9</v>
      </c>
      <c r="J45">
        <v>0</v>
      </c>
      <c r="K45">
        <v>0</v>
      </c>
      <c r="L45">
        <v>0</v>
      </c>
      <c r="M45" t="s">
        <v>10</v>
      </c>
      <c r="N45" t="s">
        <v>11</v>
      </c>
      <c r="O45">
        <v>1.9359999999999999</v>
      </c>
      <c r="P45">
        <v>8.9723000000000006</v>
      </c>
      <c r="Q45">
        <v>0</v>
      </c>
      <c r="R45" t="s">
        <v>10</v>
      </c>
      <c r="S45" t="s">
        <v>154</v>
      </c>
      <c r="T45" s="4">
        <v>44834</v>
      </c>
      <c r="U45" s="5">
        <v>0.47942129629629626</v>
      </c>
      <c r="V45" t="s">
        <v>13</v>
      </c>
      <c r="W45">
        <v>1.153</v>
      </c>
      <c r="X45">
        <v>781.4982</v>
      </c>
      <c r="Y45">
        <v>0</v>
      </c>
      <c r="Z45" t="s">
        <v>1689</v>
      </c>
      <c r="AA45">
        <v>0</v>
      </c>
      <c r="AB45">
        <v>0</v>
      </c>
      <c r="AC45">
        <v>0</v>
      </c>
      <c r="AD45" t="s">
        <v>10</v>
      </c>
      <c r="AE45">
        <v>0</v>
      </c>
      <c r="AF45">
        <v>0</v>
      </c>
      <c r="AG45">
        <v>0</v>
      </c>
      <c r="AH45">
        <v>0</v>
      </c>
    </row>
    <row r="46" spans="1:34">
      <c r="A46" s="2">
        <v>45</v>
      </c>
      <c r="B46" s="3" t="s">
        <v>158</v>
      </c>
      <c r="C46" s="2" t="s">
        <v>6</v>
      </c>
      <c r="D46" s="2">
        <v>45</v>
      </c>
      <c r="E46" s="2" t="s">
        <v>159</v>
      </c>
      <c r="F46" t="s">
        <v>160</v>
      </c>
      <c r="G46" s="4">
        <v>44834</v>
      </c>
      <c r="H46" s="5">
        <v>0.48692129629629632</v>
      </c>
      <c r="I46" t="s">
        <v>9</v>
      </c>
      <c r="J46">
        <v>0</v>
      </c>
      <c r="K46">
        <v>0</v>
      </c>
      <c r="L46">
        <v>0</v>
      </c>
      <c r="M46" t="s">
        <v>10</v>
      </c>
      <c r="N46" t="s">
        <v>11</v>
      </c>
      <c r="O46">
        <v>1.9359999999999999</v>
      </c>
      <c r="P46">
        <v>16.661999999999999</v>
      </c>
      <c r="Q46">
        <v>0</v>
      </c>
      <c r="R46" t="s">
        <v>10</v>
      </c>
      <c r="S46" t="s">
        <v>161</v>
      </c>
      <c r="T46" s="4">
        <v>44834</v>
      </c>
      <c r="U46" s="5">
        <v>0.48692129629629632</v>
      </c>
      <c r="V46" t="s">
        <v>13</v>
      </c>
      <c r="W46">
        <v>1.1559999999999999</v>
      </c>
      <c r="X46">
        <v>1655.3430000000001</v>
      </c>
      <c r="Y46">
        <v>31987.663100000002</v>
      </c>
      <c r="Z46" t="s">
        <v>1689</v>
      </c>
      <c r="AA46">
        <v>2.2429999999999999</v>
      </c>
      <c r="AB46">
        <v>6.0114000000000001</v>
      </c>
      <c r="AC46">
        <v>0</v>
      </c>
      <c r="AD46" t="s">
        <v>10</v>
      </c>
      <c r="AE46">
        <v>0</v>
      </c>
      <c r="AF46">
        <v>0</v>
      </c>
      <c r="AG46">
        <v>0</v>
      </c>
      <c r="AH46">
        <v>27777.77778</v>
      </c>
    </row>
    <row r="47" spans="1:34">
      <c r="A47" s="2">
        <v>47</v>
      </c>
      <c r="B47" s="3" t="s">
        <v>165</v>
      </c>
      <c r="C47" s="2" t="s">
        <v>6</v>
      </c>
      <c r="D47" s="2">
        <v>47</v>
      </c>
      <c r="E47" s="2" t="s">
        <v>166</v>
      </c>
      <c r="F47" t="s">
        <v>167</v>
      </c>
      <c r="G47" s="4">
        <v>44834</v>
      </c>
      <c r="H47" s="5">
        <v>0.49442129629629633</v>
      </c>
      <c r="I47" t="s">
        <v>9</v>
      </c>
      <c r="J47">
        <v>0</v>
      </c>
      <c r="K47">
        <v>0</v>
      </c>
      <c r="L47">
        <v>0</v>
      </c>
      <c r="M47" t="s">
        <v>10</v>
      </c>
      <c r="N47" t="s">
        <v>11</v>
      </c>
      <c r="O47">
        <v>1.9359999999999999</v>
      </c>
      <c r="P47">
        <v>13.303699999999999</v>
      </c>
      <c r="Q47">
        <v>0</v>
      </c>
      <c r="R47" t="s">
        <v>10</v>
      </c>
      <c r="S47" t="s">
        <v>168</v>
      </c>
      <c r="T47" s="4">
        <v>44834</v>
      </c>
      <c r="U47" s="5">
        <v>0.49442129629629633</v>
      </c>
      <c r="V47" t="s">
        <v>13</v>
      </c>
      <c r="W47">
        <v>1.1559999999999999</v>
      </c>
      <c r="X47">
        <v>2049.4194000000002</v>
      </c>
      <c r="Y47">
        <v>52256.621599999999</v>
      </c>
      <c r="Z47" t="s">
        <v>1689</v>
      </c>
      <c r="AA47">
        <v>2.246</v>
      </c>
      <c r="AB47">
        <v>7.3667999999999996</v>
      </c>
      <c r="AC47">
        <v>0</v>
      </c>
      <c r="AD47" t="s">
        <v>10</v>
      </c>
      <c r="AE47">
        <v>0</v>
      </c>
      <c r="AF47">
        <v>0</v>
      </c>
      <c r="AG47">
        <v>0</v>
      </c>
      <c r="AH47">
        <v>55555.555560000001</v>
      </c>
    </row>
    <row r="48" spans="1:34">
      <c r="A48" s="2">
        <v>49</v>
      </c>
      <c r="B48" s="3" t="s">
        <v>172</v>
      </c>
      <c r="C48" s="2" t="s">
        <v>6</v>
      </c>
      <c r="D48" s="2">
        <v>49</v>
      </c>
      <c r="E48" s="2" t="s">
        <v>173</v>
      </c>
      <c r="F48" t="s">
        <v>174</v>
      </c>
      <c r="G48" s="4">
        <v>44834</v>
      </c>
      <c r="H48" s="5">
        <v>0.50190972222222219</v>
      </c>
      <c r="I48" t="s">
        <v>9</v>
      </c>
      <c r="J48">
        <v>0</v>
      </c>
      <c r="K48">
        <v>0</v>
      </c>
      <c r="L48">
        <v>0</v>
      </c>
      <c r="M48" t="s">
        <v>10</v>
      </c>
      <c r="N48" t="s">
        <v>11</v>
      </c>
      <c r="O48">
        <v>1.9430000000000001</v>
      </c>
      <c r="P48">
        <v>11.8392</v>
      </c>
      <c r="Q48">
        <v>0</v>
      </c>
      <c r="R48" t="s">
        <v>10</v>
      </c>
      <c r="S48" t="s">
        <v>175</v>
      </c>
      <c r="T48" s="4">
        <v>44834</v>
      </c>
      <c r="U48" s="5">
        <v>0.50190972222222219</v>
      </c>
      <c r="V48" t="s">
        <v>13</v>
      </c>
      <c r="W48">
        <v>1.1599999999999999</v>
      </c>
      <c r="X48">
        <v>2794.3532</v>
      </c>
      <c r="Y48">
        <v>98986.728400000007</v>
      </c>
      <c r="Z48" t="s">
        <v>1689</v>
      </c>
      <c r="AA48">
        <v>2.2400000000000002</v>
      </c>
      <c r="AB48">
        <v>6.8631000000000002</v>
      </c>
      <c r="AC48">
        <v>0</v>
      </c>
      <c r="AD48" t="s">
        <v>10</v>
      </c>
      <c r="AE48">
        <v>0</v>
      </c>
      <c r="AF48">
        <v>0</v>
      </c>
      <c r="AG48">
        <v>0</v>
      </c>
      <c r="AH48">
        <v>111111.11109999999</v>
      </c>
    </row>
    <row r="49" spans="1:34">
      <c r="A49" s="2">
        <v>51</v>
      </c>
      <c r="B49" s="3" t="s">
        <v>179</v>
      </c>
      <c r="C49" s="2" t="s">
        <v>6</v>
      </c>
      <c r="D49" s="2">
        <v>51</v>
      </c>
      <c r="E49" s="2" t="s">
        <v>180</v>
      </c>
      <c r="F49" t="s">
        <v>181</v>
      </c>
      <c r="G49" s="4">
        <v>44834</v>
      </c>
      <c r="H49" s="5">
        <v>0.5093981481481481</v>
      </c>
      <c r="I49" t="s">
        <v>9</v>
      </c>
      <c r="J49">
        <v>0</v>
      </c>
      <c r="K49">
        <v>0</v>
      </c>
      <c r="L49">
        <v>0</v>
      </c>
      <c r="M49" t="s">
        <v>10</v>
      </c>
      <c r="N49" t="s">
        <v>11</v>
      </c>
      <c r="O49">
        <v>1.9430000000000001</v>
      </c>
      <c r="P49">
        <v>11.961</v>
      </c>
      <c r="Q49">
        <v>0</v>
      </c>
      <c r="R49" t="s">
        <v>10</v>
      </c>
      <c r="S49" t="s">
        <v>182</v>
      </c>
      <c r="T49" s="4">
        <v>44834</v>
      </c>
      <c r="U49" s="5">
        <v>0.5093981481481481</v>
      </c>
      <c r="V49" t="s">
        <v>13</v>
      </c>
      <c r="W49">
        <v>1.1599999999999999</v>
      </c>
      <c r="X49">
        <v>3357.1442000000002</v>
      </c>
      <c r="Y49">
        <v>151253.53049999999</v>
      </c>
      <c r="Z49" t="s">
        <v>1689</v>
      </c>
      <c r="AA49">
        <v>2.2530000000000001</v>
      </c>
      <c r="AB49">
        <v>6.7808000000000002</v>
      </c>
      <c r="AC49">
        <v>0</v>
      </c>
      <c r="AD49" t="s">
        <v>10</v>
      </c>
      <c r="AE49">
        <v>0</v>
      </c>
      <c r="AF49">
        <v>0</v>
      </c>
      <c r="AG49">
        <v>0</v>
      </c>
      <c r="AH49">
        <v>166666.6667</v>
      </c>
    </row>
    <row r="50" spans="1:34">
      <c r="A50" s="2">
        <v>13</v>
      </c>
      <c r="B50" s="3" t="s">
        <v>48</v>
      </c>
      <c r="C50" s="2" t="s">
        <v>6</v>
      </c>
      <c r="D50" s="2">
        <v>13</v>
      </c>
      <c r="E50" s="2" t="s">
        <v>49</v>
      </c>
      <c r="F50" t="s">
        <v>50</v>
      </c>
      <c r="G50" s="4">
        <v>44834</v>
      </c>
      <c r="H50" s="5">
        <v>0.36689814814814814</v>
      </c>
      <c r="I50" t="s">
        <v>9</v>
      </c>
      <c r="J50">
        <v>1.403</v>
      </c>
      <c r="K50">
        <v>0.21890000000000001</v>
      </c>
      <c r="L50">
        <v>1.2646999999999999</v>
      </c>
      <c r="M50" t="s">
        <v>10</v>
      </c>
      <c r="N50" t="s">
        <v>11</v>
      </c>
      <c r="O50">
        <v>1.9159999999999999</v>
      </c>
      <c r="P50">
        <v>80.824200000000005</v>
      </c>
      <c r="Q50">
        <v>89.145200000000003</v>
      </c>
      <c r="R50" t="s">
        <v>10</v>
      </c>
      <c r="S50" t="s">
        <v>51</v>
      </c>
      <c r="T50" s="4">
        <v>44834</v>
      </c>
      <c r="U50" s="5">
        <v>0.36689814814814814</v>
      </c>
      <c r="V50" t="s">
        <v>13</v>
      </c>
      <c r="W50">
        <v>1.163</v>
      </c>
      <c r="X50">
        <v>3522.0446000000002</v>
      </c>
      <c r="Y50">
        <v>174461.1839</v>
      </c>
      <c r="Z50" t="s">
        <v>1689</v>
      </c>
      <c r="AA50">
        <v>2.2130000000000001</v>
      </c>
      <c r="AB50">
        <v>62.205599999999997</v>
      </c>
      <c r="AC50">
        <v>5.62E-2</v>
      </c>
      <c r="AD50" t="s">
        <v>10</v>
      </c>
      <c r="AE50">
        <v>152.4</v>
      </c>
      <c r="AF50">
        <v>0.97629999999999995</v>
      </c>
      <c r="AG50">
        <v>0.22800000000000001</v>
      </c>
      <c r="AH50">
        <v>180100</v>
      </c>
    </row>
    <row r="51" spans="1:34">
      <c r="A51" s="2">
        <v>15</v>
      </c>
      <c r="B51" s="3" t="s">
        <v>55</v>
      </c>
      <c r="C51" s="2" t="s">
        <v>6</v>
      </c>
      <c r="D51" s="2">
        <v>15</v>
      </c>
      <c r="E51" s="2" t="s">
        <v>56</v>
      </c>
      <c r="F51" t="s">
        <v>57</v>
      </c>
      <c r="G51" s="4">
        <v>44834</v>
      </c>
      <c r="H51" s="5">
        <v>0.37439814814814815</v>
      </c>
      <c r="I51" t="s">
        <v>9</v>
      </c>
      <c r="J51">
        <v>1.413</v>
      </c>
      <c r="K51">
        <v>0.6532</v>
      </c>
      <c r="L51">
        <v>3.1432000000000002</v>
      </c>
      <c r="M51" t="s">
        <v>10</v>
      </c>
      <c r="N51" t="s">
        <v>11</v>
      </c>
      <c r="O51">
        <v>1.9259999999999999</v>
      </c>
      <c r="P51">
        <v>166.32239999999999</v>
      </c>
      <c r="Q51">
        <v>405.12490000000003</v>
      </c>
      <c r="R51" t="s">
        <v>10</v>
      </c>
      <c r="S51" t="s">
        <v>58</v>
      </c>
      <c r="T51" s="4">
        <v>44834</v>
      </c>
      <c r="U51" s="5">
        <v>0.37439814814814815</v>
      </c>
      <c r="V51" t="s">
        <v>13</v>
      </c>
      <c r="W51">
        <v>1.17</v>
      </c>
      <c r="X51">
        <v>4086.0365000000002</v>
      </c>
      <c r="Y51">
        <v>257638.00589999999</v>
      </c>
      <c r="Z51" t="s">
        <v>1689</v>
      </c>
      <c r="AA51">
        <v>2.226</v>
      </c>
      <c r="AB51">
        <v>97.435699999999997</v>
      </c>
      <c r="AC51">
        <v>0.2006</v>
      </c>
      <c r="AD51" t="s">
        <v>10</v>
      </c>
      <c r="AE51">
        <v>426.2</v>
      </c>
      <c r="AF51">
        <v>3.008</v>
      </c>
      <c r="AG51">
        <v>0.379</v>
      </c>
      <c r="AH51">
        <v>240100</v>
      </c>
    </row>
    <row r="52" spans="1:34">
      <c r="A52" s="2">
        <v>17</v>
      </c>
      <c r="B52" s="3" t="s">
        <v>62</v>
      </c>
      <c r="C52" s="2" t="s">
        <v>6</v>
      </c>
      <c r="D52" s="2">
        <v>17</v>
      </c>
      <c r="E52" s="2" t="s">
        <v>63</v>
      </c>
      <c r="F52" t="s">
        <v>64</v>
      </c>
      <c r="G52" s="4">
        <v>44834</v>
      </c>
      <c r="H52" s="5">
        <v>0.38190972222222225</v>
      </c>
      <c r="I52" t="s">
        <v>9</v>
      </c>
      <c r="J52">
        <v>1.403</v>
      </c>
      <c r="K52">
        <v>4.7571000000000003</v>
      </c>
      <c r="L52">
        <v>20.8934</v>
      </c>
      <c r="M52" t="s">
        <v>10</v>
      </c>
      <c r="N52" t="s">
        <v>11</v>
      </c>
      <c r="O52">
        <v>1.92</v>
      </c>
      <c r="P52">
        <v>609.30939999999998</v>
      </c>
      <c r="Q52">
        <v>2042.2925</v>
      </c>
      <c r="R52" t="s">
        <v>10</v>
      </c>
      <c r="S52" t="s">
        <v>65</v>
      </c>
      <c r="T52" s="4">
        <v>44834</v>
      </c>
      <c r="U52" s="5">
        <v>0.38190972222222225</v>
      </c>
      <c r="V52" t="s">
        <v>13</v>
      </c>
      <c r="W52">
        <v>1.163</v>
      </c>
      <c r="X52">
        <v>3669.28</v>
      </c>
      <c r="Y52">
        <v>196175.277</v>
      </c>
      <c r="Z52" t="s">
        <v>1689</v>
      </c>
      <c r="AA52">
        <v>2.2130000000000001</v>
      </c>
      <c r="AB52">
        <v>150.9828</v>
      </c>
      <c r="AC52">
        <v>0.42009999999999997</v>
      </c>
      <c r="AD52" t="s">
        <v>10</v>
      </c>
      <c r="AE52">
        <v>2013</v>
      </c>
      <c r="AF52">
        <v>20.64</v>
      </c>
      <c r="AG52">
        <v>0.495</v>
      </c>
      <c r="AH52">
        <v>200500</v>
      </c>
    </row>
    <row r="53" spans="1:34">
      <c r="A53" s="2">
        <v>19</v>
      </c>
      <c r="B53" s="3" t="s">
        <v>69</v>
      </c>
      <c r="C53" s="2" t="s">
        <v>6</v>
      </c>
      <c r="D53" s="2">
        <v>19</v>
      </c>
      <c r="E53" s="2" t="s">
        <v>70</v>
      </c>
      <c r="F53" t="s">
        <v>71</v>
      </c>
      <c r="G53" s="4">
        <v>44834</v>
      </c>
      <c r="H53" s="5">
        <v>0.38942129629629635</v>
      </c>
      <c r="I53" t="s">
        <v>9</v>
      </c>
      <c r="J53">
        <v>1.403</v>
      </c>
      <c r="K53">
        <v>47.275399999999998</v>
      </c>
      <c r="L53">
        <v>204.7945</v>
      </c>
      <c r="M53" t="s">
        <v>10</v>
      </c>
      <c r="N53" t="s">
        <v>11</v>
      </c>
      <c r="O53">
        <v>1.923</v>
      </c>
      <c r="P53">
        <v>1447.9233999999999</v>
      </c>
      <c r="Q53">
        <v>5141.5972000000002</v>
      </c>
      <c r="R53" t="s">
        <v>10</v>
      </c>
      <c r="S53" t="s">
        <v>72</v>
      </c>
      <c r="T53" s="4">
        <v>44834</v>
      </c>
      <c r="U53" s="5">
        <v>0.38942129629629635</v>
      </c>
      <c r="V53" t="s">
        <v>13</v>
      </c>
      <c r="W53">
        <v>1.163</v>
      </c>
      <c r="X53">
        <v>3678.2919999999999</v>
      </c>
      <c r="Y53">
        <v>197504.35560000001</v>
      </c>
      <c r="Z53" t="s">
        <v>1689</v>
      </c>
      <c r="AA53">
        <v>2.2130000000000001</v>
      </c>
      <c r="AB53">
        <v>674.78579999999999</v>
      </c>
      <c r="AC53">
        <v>2.5670999999999999</v>
      </c>
      <c r="AD53" t="s">
        <v>10</v>
      </c>
      <c r="AE53">
        <v>4967</v>
      </c>
      <c r="AF53">
        <v>201.4</v>
      </c>
      <c r="AG53">
        <v>2.4900000000000002</v>
      </c>
      <c r="AH53">
        <v>200700</v>
      </c>
    </row>
    <row r="54" spans="1:34">
      <c r="A54" s="2">
        <v>21</v>
      </c>
      <c r="B54" s="3" t="s">
        <v>76</v>
      </c>
      <c r="C54" s="2" t="s">
        <v>6</v>
      </c>
      <c r="D54" s="2">
        <v>21</v>
      </c>
      <c r="E54" s="2" t="s">
        <v>77</v>
      </c>
      <c r="F54" t="s">
        <v>78</v>
      </c>
      <c r="G54" s="4">
        <v>44834</v>
      </c>
      <c r="H54" s="5">
        <v>0.39693287037037034</v>
      </c>
      <c r="I54" t="s">
        <v>9</v>
      </c>
      <c r="J54">
        <v>1.4</v>
      </c>
      <c r="K54">
        <v>1169.1266000000001</v>
      </c>
      <c r="L54">
        <v>5057.0484999999999</v>
      </c>
      <c r="M54" t="s">
        <v>10</v>
      </c>
      <c r="N54" t="s">
        <v>11</v>
      </c>
      <c r="O54">
        <v>1.9259999999999999</v>
      </c>
      <c r="P54">
        <v>2576.5482000000002</v>
      </c>
      <c r="Q54">
        <v>9312.7083000000002</v>
      </c>
      <c r="R54" t="s">
        <v>10</v>
      </c>
      <c r="S54" t="s">
        <v>79</v>
      </c>
      <c r="T54" s="4">
        <v>44834</v>
      </c>
      <c r="U54" s="5">
        <v>0.39693287037037034</v>
      </c>
      <c r="V54" t="s">
        <v>13</v>
      </c>
      <c r="W54">
        <v>1.1599999999999999</v>
      </c>
      <c r="X54">
        <v>3680.6601999999998</v>
      </c>
      <c r="Y54">
        <v>197853.61470000001</v>
      </c>
      <c r="Z54" t="s">
        <v>1689</v>
      </c>
      <c r="AA54">
        <v>2.2130000000000001</v>
      </c>
      <c r="AB54">
        <v>1216.5209</v>
      </c>
      <c r="AC54">
        <v>4.7876000000000003</v>
      </c>
      <c r="AD54" t="s">
        <v>10</v>
      </c>
      <c r="AE54">
        <v>10080</v>
      </c>
      <c r="AF54">
        <v>5029</v>
      </c>
      <c r="AG54">
        <v>5</v>
      </c>
      <c r="AH54">
        <v>202000</v>
      </c>
    </row>
    <row r="55" spans="1:34">
      <c r="A55" s="2">
        <v>23</v>
      </c>
      <c r="B55" s="3" t="s">
        <v>83</v>
      </c>
      <c r="C55" s="2" t="s">
        <v>6</v>
      </c>
      <c r="D55" s="2">
        <v>23</v>
      </c>
      <c r="E55" s="2" t="s">
        <v>84</v>
      </c>
      <c r="F55" t="s">
        <v>85</v>
      </c>
      <c r="G55" s="4">
        <v>44834</v>
      </c>
      <c r="H55" s="5">
        <v>0.40443287037037035</v>
      </c>
      <c r="I55" t="s">
        <v>9</v>
      </c>
      <c r="J55">
        <v>1.383</v>
      </c>
      <c r="K55">
        <v>9889.3145000000004</v>
      </c>
      <c r="L55">
        <v>42773.785799999998</v>
      </c>
      <c r="M55" t="s">
        <v>10</v>
      </c>
      <c r="N55" t="s">
        <v>11</v>
      </c>
      <c r="O55">
        <v>1.92</v>
      </c>
      <c r="P55">
        <v>11978.617200000001</v>
      </c>
      <c r="Q55">
        <v>44060.371500000001</v>
      </c>
      <c r="R55" t="s">
        <v>10</v>
      </c>
      <c r="S55" t="s">
        <v>86</v>
      </c>
      <c r="T55" s="4">
        <v>44834</v>
      </c>
      <c r="U55" s="5">
        <v>0.40443287037037035</v>
      </c>
      <c r="V55" t="s">
        <v>13</v>
      </c>
      <c r="W55">
        <v>1.1559999999999999</v>
      </c>
      <c r="X55">
        <v>1211.9921999999999</v>
      </c>
      <c r="Y55">
        <v>11438.959000000001</v>
      </c>
      <c r="Z55" t="s">
        <v>1689</v>
      </c>
      <c r="AA55">
        <v>2.2200000000000002</v>
      </c>
      <c r="AB55">
        <v>4841.1833999999999</v>
      </c>
      <c r="AC55">
        <v>19.6447</v>
      </c>
      <c r="AD55" t="s">
        <v>10</v>
      </c>
      <c r="AE55">
        <v>49990</v>
      </c>
      <c r="AF55">
        <v>60340</v>
      </c>
      <c r="AG55">
        <v>20</v>
      </c>
      <c r="AH55">
        <v>0</v>
      </c>
    </row>
  </sheetData>
  <sortState ref="A2:AE101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95A-DF6F-AB46-8B02-F60EAB605321}">
  <dimension ref="A1:AH45"/>
  <sheetViews>
    <sheetView workbookViewId="0">
      <selection activeCell="AG45" sqref="AG45"/>
    </sheetView>
  </sheetViews>
  <sheetFormatPr baseColWidth="10" defaultRowHeight="16"/>
  <cols>
    <col min="6" max="10" width="0" hidden="1" customWidth="1"/>
    <col min="12" max="15" width="0" hidden="1" customWidth="1"/>
    <col min="17" max="23" width="0" hidden="1" customWidth="1"/>
    <col min="25" max="27" width="0" hidden="1" customWidth="1"/>
    <col min="29" max="30" width="0" hidden="1" customWidth="1"/>
  </cols>
  <sheetData>
    <row r="1" spans="1:34" s="13" customFormat="1" ht="4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1670</v>
      </c>
      <c r="G1" s="12" t="s">
        <v>1671</v>
      </c>
      <c r="H1" s="12" t="s">
        <v>1672</v>
      </c>
      <c r="I1" s="12" t="s">
        <v>1673</v>
      </c>
      <c r="J1" s="12" t="s">
        <v>1678</v>
      </c>
      <c r="K1" s="12" t="s">
        <v>1674</v>
      </c>
      <c r="L1" s="12" t="s">
        <v>1675</v>
      </c>
      <c r="M1" s="12" t="s">
        <v>1676</v>
      </c>
      <c r="N1" s="12" t="s">
        <v>1677</v>
      </c>
      <c r="O1" s="12" t="s">
        <v>1678</v>
      </c>
      <c r="P1" s="12" t="s">
        <v>1679</v>
      </c>
      <c r="Q1" s="12" t="s">
        <v>1680</v>
      </c>
      <c r="R1" s="12" t="s">
        <v>1681</v>
      </c>
      <c r="S1" s="12" t="s">
        <v>1682</v>
      </c>
      <c r="T1" s="12" t="s">
        <v>1683</v>
      </c>
      <c r="U1" s="12" t="s">
        <v>1684</v>
      </c>
      <c r="V1" s="12" t="s">
        <v>1685</v>
      </c>
      <c r="W1" s="12" t="s">
        <v>1686</v>
      </c>
      <c r="X1" s="12" t="s">
        <v>1687</v>
      </c>
      <c r="Y1" s="12" t="s">
        <v>1688</v>
      </c>
      <c r="Z1" s="12" t="s">
        <v>1690</v>
      </c>
      <c r="AA1" s="12" t="s">
        <v>1691</v>
      </c>
      <c r="AB1" s="12" t="s">
        <v>1692</v>
      </c>
      <c r="AC1" s="12" t="s">
        <v>1693</v>
      </c>
      <c r="AD1" s="12" t="s">
        <v>1694</v>
      </c>
      <c r="AE1" t="s">
        <v>1702</v>
      </c>
      <c r="AF1" t="s">
        <v>1703</v>
      </c>
      <c r="AG1" t="s">
        <v>1704</v>
      </c>
      <c r="AH1" t="s">
        <v>1705</v>
      </c>
    </row>
    <row r="2" spans="1:34" hidden="1">
      <c r="A2" s="2">
        <v>248</v>
      </c>
      <c r="B2" s="3" t="s">
        <v>5</v>
      </c>
      <c r="C2" s="2" t="s">
        <v>6</v>
      </c>
      <c r="D2" s="2">
        <v>248</v>
      </c>
      <c r="E2" s="2" t="s">
        <v>684</v>
      </c>
      <c r="F2" t="s">
        <v>685</v>
      </c>
      <c r="G2" s="4">
        <v>44835</v>
      </c>
      <c r="H2" s="5">
        <v>0.24912037037037038</v>
      </c>
      <c r="I2" t="s">
        <v>9</v>
      </c>
      <c r="J2">
        <v>1.41</v>
      </c>
      <c r="K2">
        <v>0.28160000000000002</v>
      </c>
      <c r="L2">
        <v>1.5359</v>
      </c>
      <c r="M2" t="s">
        <v>10</v>
      </c>
      <c r="N2" t="s">
        <v>11</v>
      </c>
      <c r="O2">
        <v>1.9359999999999999</v>
      </c>
      <c r="P2">
        <v>86.5304</v>
      </c>
      <c r="Q2">
        <v>110.23390000000001</v>
      </c>
      <c r="R2" t="s">
        <v>10</v>
      </c>
      <c r="S2" t="s">
        <v>686</v>
      </c>
      <c r="T2" s="4">
        <v>44835</v>
      </c>
      <c r="U2" s="5">
        <v>0.24912037037037038</v>
      </c>
      <c r="V2" t="s">
        <v>13</v>
      </c>
      <c r="W2">
        <v>1.1659999999999999</v>
      </c>
      <c r="X2">
        <v>3036.54</v>
      </c>
      <c r="Y2">
        <v>118391.19190000001</v>
      </c>
      <c r="Z2" t="s">
        <v>1689</v>
      </c>
      <c r="AA2">
        <v>2.2400000000000002</v>
      </c>
      <c r="AB2">
        <v>54.932600000000001</v>
      </c>
      <c r="AC2">
        <v>2.64E-2</v>
      </c>
      <c r="AD2" t="s">
        <v>10</v>
      </c>
    </row>
    <row r="3" spans="1:34" hidden="1">
      <c r="A3" s="2">
        <v>250</v>
      </c>
      <c r="B3" s="3" t="s">
        <v>5</v>
      </c>
      <c r="C3" s="2" t="s">
        <v>6</v>
      </c>
      <c r="D3" s="2">
        <v>250</v>
      </c>
      <c r="E3" s="2" t="s">
        <v>690</v>
      </c>
      <c r="F3" t="s">
        <v>691</v>
      </c>
      <c r="G3" s="4">
        <v>44835</v>
      </c>
      <c r="H3" s="5">
        <v>0.25663194444444443</v>
      </c>
      <c r="I3" t="s">
        <v>9</v>
      </c>
      <c r="J3">
        <v>1.4</v>
      </c>
      <c r="K3">
        <v>0.3841</v>
      </c>
      <c r="L3">
        <v>1.9792000000000001</v>
      </c>
      <c r="M3" t="s">
        <v>10</v>
      </c>
      <c r="N3" t="s">
        <v>11</v>
      </c>
      <c r="O3">
        <v>1.923</v>
      </c>
      <c r="P3">
        <v>102.1437</v>
      </c>
      <c r="Q3">
        <v>167.9367</v>
      </c>
      <c r="R3" t="s">
        <v>10</v>
      </c>
      <c r="S3" t="s">
        <v>692</v>
      </c>
      <c r="T3" s="4">
        <v>44835</v>
      </c>
      <c r="U3" s="5">
        <v>0.25663194444444443</v>
      </c>
      <c r="V3" t="s">
        <v>13</v>
      </c>
      <c r="W3">
        <v>1.1599999999999999</v>
      </c>
      <c r="X3">
        <v>3182.0819000000001</v>
      </c>
      <c r="Y3">
        <v>131903.4075</v>
      </c>
      <c r="Z3" t="s">
        <v>1689</v>
      </c>
      <c r="AA3">
        <v>2.226</v>
      </c>
      <c r="AB3">
        <v>65.806200000000004</v>
      </c>
      <c r="AC3">
        <v>7.0999999999999994E-2</v>
      </c>
      <c r="AD3" t="s">
        <v>10</v>
      </c>
    </row>
    <row r="4" spans="1:34" hidden="1">
      <c r="A4" s="2">
        <v>252</v>
      </c>
      <c r="B4" s="3" t="s">
        <v>5</v>
      </c>
      <c r="C4" s="2" t="s">
        <v>6</v>
      </c>
      <c r="D4" s="2">
        <v>252</v>
      </c>
      <c r="E4" s="2" t="s">
        <v>696</v>
      </c>
      <c r="F4" t="s">
        <v>697</v>
      </c>
      <c r="G4" s="4">
        <v>44835</v>
      </c>
      <c r="H4" s="5">
        <v>0.26413194444444443</v>
      </c>
      <c r="I4" t="s">
        <v>9</v>
      </c>
      <c r="J4">
        <v>1.403</v>
      </c>
      <c r="K4">
        <v>0.29520000000000002</v>
      </c>
      <c r="L4">
        <v>1.5947</v>
      </c>
      <c r="M4" t="s">
        <v>10</v>
      </c>
      <c r="N4" t="s">
        <v>11</v>
      </c>
      <c r="O4">
        <v>1.923</v>
      </c>
      <c r="P4">
        <v>92.212800000000001</v>
      </c>
      <c r="Q4">
        <v>131.2346</v>
      </c>
      <c r="R4" t="s">
        <v>10</v>
      </c>
      <c r="S4" t="s">
        <v>698</v>
      </c>
      <c r="T4" s="4">
        <v>44835</v>
      </c>
      <c r="U4" s="5">
        <v>0.26413194444444443</v>
      </c>
      <c r="V4" t="s">
        <v>13</v>
      </c>
      <c r="W4">
        <v>1.1599999999999999</v>
      </c>
      <c r="X4">
        <v>3020.3643999999999</v>
      </c>
      <c r="Y4">
        <v>117003.2414</v>
      </c>
      <c r="Z4" t="s">
        <v>1689</v>
      </c>
      <c r="AA4">
        <v>2.226</v>
      </c>
      <c r="AB4">
        <v>58.524799999999999</v>
      </c>
      <c r="AC4">
        <v>4.1099999999999998E-2</v>
      </c>
      <c r="AD4" t="s">
        <v>10</v>
      </c>
    </row>
    <row r="5" spans="1:34" hidden="1">
      <c r="A5" s="2">
        <v>254</v>
      </c>
      <c r="B5" s="3" t="s">
        <v>5</v>
      </c>
      <c r="C5" s="2" t="s">
        <v>6</v>
      </c>
      <c r="D5" s="2">
        <v>254</v>
      </c>
      <c r="E5" s="2" t="s">
        <v>702</v>
      </c>
      <c r="F5" t="s">
        <v>703</v>
      </c>
      <c r="G5" s="4">
        <v>44835</v>
      </c>
      <c r="H5" s="5">
        <v>0.27164351851851853</v>
      </c>
      <c r="I5" t="s">
        <v>9</v>
      </c>
      <c r="J5">
        <v>1.413</v>
      </c>
      <c r="K5">
        <v>0.33300000000000002</v>
      </c>
      <c r="L5">
        <v>1.7582</v>
      </c>
      <c r="M5" t="s">
        <v>10</v>
      </c>
      <c r="N5" t="s">
        <v>11</v>
      </c>
      <c r="O5">
        <v>1.9359999999999999</v>
      </c>
      <c r="P5">
        <v>94.879300000000001</v>
      </c>
      <c r="Q5">
        <v>141.08930000000001</v>
      </c>
      <c r="R5" t="s">
        <v>10</v>
      </c>
      <c r="S5" t="s">
        <v>704</v>
      </c>
      <c r="T5" s="4">
        <v>44835</v>
      </c>
      <c r="U5" s="5">
        <v>0.27164351851851853</v>
      </c>
      <c r="V5" t="s">
        <v>13</v>
      </c>
      <c r="W5">
        <v>1.17</v>
      </c>
      <c r="X5">
        <v>3170.4207999999999</v>
      </c>
      <c r="Y5">
        <v>130767.0506</v>
      </c>
      <c r="Z5" t="s">
        <v>1689</v>
      </c>
      <c r="AA5">
        <v>2.2400000000000002</v>
      </c>
      <c r="AB5">
        <v>59.436799999999998</v>
      </c>
      <c r="AC5">
        <v>4.4900000000000002E-2</v>
      </c>
      <c r="AD5" t="s">
        <v>10</v>
      </c>
    </row>
    <row r="6" spans="1:34" hidden="1">
      <c r="A6" s="2">
        <v>256</v>
      </c>
      <c r="B6" s="3" t="s">
        <v>5</v>
      </c>
      <c r="C6" s="2" t="s">
        <v>6</v>
      </c>
      <c r="D6" s="2">
        <v>256</v>
      </c>
      <c r="E6" s="2" t="s">
        <v>708</v>
      </c>
      <c r="F6" t="s">
        <v>709</v>
      </c>
      <c r="G6" s="4">
        <v>44835</v>
      </c>
      <c r="H6" s="5">
        <v>0.27915509259259258</v>
      </c>
      <c r="I6" t="s">
        <v>9</v>
      </c>
      <c r="J6">
        <v>1.3959999999999999</v>
      </c>
      <c r="K6">
        <v>0.26640000000000003</v>
      </c>
      <c r="L6">
        <v>1.4702</v>
      </c>
      <c r="M6" t="s">
        <v>10</v>
      </c>
      <c r="N6" t="s">
        <v>11</v>
      </c>
      <c r="O6">
        <v>1.923</v>
      </c>
      <c r="P6">
        <v>84.900599999999997</v>
      </c>
      <c r="Q6">
        <v>104.2106</v>
      </c>
      <c r="R6" t="s">
        <v>10</v>
      </c>
      <c r="S6" t="s">
        <v>710</v>
      </c>
      <c r="T6" s="4">
        <v>44835</v>
      </c>
      <c r="U6" s="5">
        <v>0.27915509259259258</v>
      </c>
      <c r="V6" t="s">
        <v>13</v>
      </c>
      <c r="W6">
        <v>1.1559999999999999</v>
      </c>
      <c r="X6">
        <v>2902.1556</v>
      </c>
      <c r="Y6">
        <v>107225.2176</v>
      </c>
      <c r="Z6" t="s">
        <v>1689</v>
      </c>
      <c r="AA6">
        <v>2.226</v>
      </c>
      <c r="AB6">
        <v>55.638599999999997</v>
      </c>
      <c r="AC6">
        <v>2.93E-2</v>
      </c>
      <c r="AD6" t="s">
        <v>10</v>
      </c>
    </row>
    <row r="7" spans="1:34" hidden="1">
      <c r="A7" s="2">
        <v>258</v>
      </c>
      <c r="B7" s="3" t="s">
        <v>5</v>
      </c>
      <c r="C7" s="2" t="s">
        <v>6</v>
      </c>
      <c r="D7" s="2">
        <v>258</v>
      </c>
      <c r="E7" s="2" t="s">
        <v>714</v>
      </c>
      <c r="F7" t="s">
        <v>715</v>
      </c>
      <c r="G7" s="4">
        <v>44835</v>
      </c>
      <c r="H7" s="5">
        <v>0.28665509259259259</v>
      </c>
      <c r="I7" t="s">
        <v>9</v>
      </c>
      <c r="J7">
        <v>1.4</v>
      </c>
      <c r="K7">
        <v>0.43809999999999999</v>
      </c>
      <c r="L7">
        <v>2.2128000000000001</v>
      </c>
      <c r="M7" t="s">
        <v>10</v>
      </c>
      <c r="N7" t="s">
        <v>11</v>
      </c>
      <c r="O7">
        <v>1.923</v>
      </c>
      <c r="P7">
        <v>89.296400000000006</v>
      </c>
      <c r="Q7">
        <v>120.4563</v>
      </c>
      <c r="R7" t="s">
        <v>10</v>
      </c>
      <c r="S7" t="s">
        <v>716</v>
      </c>
      <c r="T7" s="4">
        <v>44835</v>
      </c>
      <c r="U7" s="5">
        <v>0.28665509259259259</v>
      </c>
      <c r="V7" t="s">
        <v>13</v>
      </c>
      <c r="W7">
        <v>1.1599999999999999</v>
      </c>
      <c r="X7">
        <v>2937.9926</v>
      </c>
      <c r="Y7">
        <v>110126.8711</v>
      </c>
      <c r="Z7" t="s">
        <v>1689</v>
      </c>
      <c r="AA7">
        <v>2.23</v>
      </c>
      <c r="AB7">
        <v>56.549700000000001</v>
      </c>
      <c r="AC7">
        <v>3.3000000000000002E-2</v>
      </c>
      <c r="AD7" t="s">
        <v>10</v>
      </c>
    </row>
    <row r="8" spans="1:34" hidden="1">
      <c r="A8" s="2">
        <v>260</v>
      </c>
      <c r="B8" s="3" t="s">
        <v>5</v>
      </c>
      <c r="C8" s="2" t="s">
        <v>6</v>
      </c>
      <c r="D8" s="2">
        <v>260</v>
      </c>
      <c r="E8" s="2" t="s">
        <v>720</v>
      </c>
      <c r="F8" t="s">
        <v>721</v>
      </c>
      <c r="G8" s="4">
        <v>44835</v>
      </c>
      <c r="H8" s="5">
        <v>0.29416666666666663</v>
      </c>
      <c r="I8" t="s">
        <v>9</v>
      </c>
      <c r="J8">
        <v>1.4</v>
      </c>
      <c r="K8">
        <v>0.67600000000000005</v>
      </c>
      <c r="L8">
        <v>3.2418</v>
      </c>
      <c r="M8" t="s">
        <v>10</v>
      </c>
      <c r="N8" t="s">
        <v>11</v>
      </c>
      <c r="O8">
        <v>1.923</v>
      </c>
      <c r="P8">
        <v>87.363200000000006</v>
      </c>
      <c r="Q8">
        <v>113.3117</v>
      </c>
      <c r="R8" t="s">
        <v>10</v>
      </c>
      <c r="S8" t="s">
        <v>722</v>
      </c>
      <c r="T8" s="4">
        <v>44835</v>
      </c>
      <c r="U8" s="5">
        <v>0.29416666666666663</v>
      </c>
      <c r="V8" t="s">
        <v>13</v>
      </c>
      <c r="W8">
        <v>1.1599999999999999</v>
      </c>
      <c r="X8">
        <v>2930.2114000000001</v>
      </c>
      <c r="Y8">
        <v>109496.8422</v>
      </c>
      <c r="Z8" t="s">
        <v>1689</v>
      </c>
      <c r="AA8">
        <v>2.226</v>
      </c>
      <c r="AB8">
        <v>56.5456</v>
      </c>
      <c r="AC8">
        <v>3.3000000000000002E-2</v>
      </c>
      <c r="AD8" t="s">
        <v>10</v>
      </c>
    </row>
    <row r="9" spans="1:34" hidden="1">
      <c r="A9" s="2">
        <v>261</v>
      </c>
      <c r="B9" s="3" t="s">
        <v>5</v>
      </c>
      <c r="C9" s="2" t="s">
        <v>6</v>
      </c>
      <c r="D9" s="2">
        <v>261</v>
      </c>
      <c r="E9" s="2" t="s">
        <v>723</v>
      </c>
      <c r="F9" t="s">
        <v>724</v>
      </c>
      <c r="G9" s="4">
        <v>44835</v>
      </c>
      <c r="H9" s="5">
        <v>0.29791666666666666</v>
      </c>
      <c r="I9" t="s">
        <v>9</v>
      </c>
      <c r="J9">
        <v>1.4</v>
      </c>
      <c r="K9">
        <v>0.3614</v>
      </c>
      <c r="L9">
        <v>1.8811</v>
      </c>
      <c r="M9" t="s">
        <v>10</v>
      </c>
      <c r="N9" t="s">
        <v>11</v>
      </c>
      <c r="O9">
        <v>1.9259999999999999</v>
      </c>
      <c r="P9">
        <v>95.271600000000007</v>
      </c>
      <c r="Q9">
        <v>142.53909999999999</v>
      </c>
      <c r="R9" t="s">
        <v>10</v>
      </c>
      <c r="S9" t="s">
        <v>725</v>
      </c>
      <c r="T9" s="4">
        <v>44835</v>
      </c>
      <c r="U9" s="5">
        <v>0.29791666666666666</v>
      </c>
      <c r="V9" t="s">
        <v>13</v>
      </c>
      <c r="W9">
        <v>1.1599999999999999</v>
      </c>
      <c r="X9">
        <v>3071.5727999999999</v>
      </c>
      <c r="Y9">
        <v>121485.9592</v>
      </c>
      <c r="Z9" t="s">
        <v>1689</v>
      </c>
      <c r="AA9">
        <v>2.226</v>
      </c>
      <c r="AB9">
        <v>62.494799999999998</v>
      </c>
      <c r="AC9">
        <v>5.74E-2</v>
      </c>
      <c r="AD9" t="s">
        <v>10</v>
      </c>
    </row>
    <row r="10" spans="1:34" hidden="1">
      <c r="A10" s="2">
        <v>262</v>
      </c>
      <c r="B10" s="3" t="s">
        <v>5</v>
      </c>
      <c r="C10" s="2" t="s">
        <v>6</v>
      </c>
      <c r="D10" s="2">
        <v>262</v>
      </c>
      <c r="E10" s="2" t="s">
        <v>726</v>
      </c>
      <c r="F10" t="s">
        <v>727</v>
      </c>
      <c r="G10" s="4">
        <v>44835</v>
      </c>
      <c r="H10" s="5">
        <v>0.30166666666666669</v>
      </c>
      <c r="I10" t="s">
        <v>9</v>
      </c>
      <c r="J10">
        <v>1.4059999999999999</v>
      </c>
      <c r="K10">
        <v>0.33610000000000001</v>
      </c>
      <c r="L10">
        <v>1.7716000000000001</v>
      </c>
      <c r="M10" t="s">
        <v>10</v>
      </c>
      <c r="N10" t="s">
        <v>11</v>
      </c>
      <c r="O10">
        <v>1.923</v>
      </c>
      <c r="P10">
        <v>87.468500000000006</v>
      </c>
      <c r="Q10">
        <v>113.7009</v>
      </c>
      <c r="R10" t="s">
        <v>10</v>
      </c>
      <c r="S10" t="s">
        <v>728</v>
      </c>
      <c r="T10" s="4">
        <v>44835</v>
      </c>
      <c r="U10" s="5">
        <v>0.30166666666666669</v>
      </c>
      <c r="V10" t="s">
        <v>13</v>
      </c>
      <c r="W10">
        <v>1.1599999999999999</v>
      </c>
      <c r="X10">
        <v>2994.0944</v>
      </c>
      <c r="Y10">
        <v>114749.13890000001</v>
      </c>
      <c r="Z10" t="s">
        <v>1689</v>
      </c>
      <c r="AA10">
        <v>2.23</v>
      </c>
      <c r="AB10">
        <v>55.835299999999997</v>
      </c>
      <c r="AC10">
        <v>3.0099999999999998E-2</v>
      </c>
      <c r="AD10" t="s">
        <v>10</v>
      </c>
    </row>
    <row r="11" spans="1:34" hidden="1">
      <c r="A11" s="2">
        <v>264</v>
      </c>
      <c r="B11" s="3" t="s">
        <v>5</v>
      </c>
      <c r="C11" s="2" t="s">
        <v>6</v>
      </c>
      <c r="D11" s="2">
        <v>264</v>
      </c>
      <c r="E11" s="2" t="s">
        <v>732</v>
      </c>
      <c r="F11" t="s">
        <v>733</v>
      </c>
      <c r="G11" s="4">
        <v>44835</v>
      </c>
      <c r="H11" s="5">
        <v>0.30916666666666665</v>
      </c>
      <c r="I11" t="s">
        <v>9</v>
      </c>
      <c r="J11">
        <v>1.41</v>
      </c>
      <c r="K11">
        <v>0.3352</v>
      </c>
      <c r="L11">
        <v>1.7677</v>
      </c>
      <c r="M11" t="s">
        <v>10</v>
      </c>
      <c r="N11" t="s">
        <v>11</v>
      </c>
      <c r="O11">
        <v>1.9359999999999999</v>
      </c>
      <c r="P11">
        <v>82.365200000000002</v>
      </c>
      <c r="Q11">
        <v>94.840400000000002</v>
      </c>
      <c r="R11" t="s">
        <v>10</v>
      </c>
      <c r="S11" t="s">
        <v>734</v>
      </c>
      <c r="T11" s="4">
        <v>44835</v>
      </c>
      <c r="U11" s="5">
        <v>0.30916666666666665</v>
      </c>
      <c r="V11" t="s">
        <v>13</v>
      </c>
      <c r="W11">
        <v>1.1659999999999999</v>
      </c>
      <c r="X11">
        <v>2964.8969000000002</v>
      </c>
      <c r="Y11">
        <v>112305.261</v>
      </c>
      <c r="Z11" t="s">
        <v>1689</v>
      </c>
      <c r="AA11">
        <v>2.2400000000000002</v>
      </c>
      <c r="AB11">
        <v>50.276200000000003</v>
      </c>
      <c r="AC11">
        <v>7.3000000000000001E-3</v>
      </c>
      <c r="AD11" t="s">
        <v>10</v>
      </c>
    </row>
    <row r="12" spans="1:34" hidden="1">
      <c r="A12" s="2">
        <v>266</v>
      </c>
      <c r="B12" s="3" t="s">
        <v>5</v>
      </c>
      <c r="C12" s="2" t="s">
        <v>6</v>
      </c>
      <c r="D12" s="2">
        <v>266</v>
      </c>
      <c r="E12" s="2" t="s">
        <v>738</v>
      </c>
      <c r="F12" t="s">
        <v>739</v>
      </c>
      <c r="G12" s="4">
        <v>44835</v>
      </c>
      <c r="H12" s="5">
        <v>0.31667824074074075</v>
      </c>
      <c r="I12" t="s">
        <v>9</v>
      </c>
      <c r="J12">
        <v>1.4</v>
      </c>
      <c r="K12">
        <v>0.35560000000000003</v>
      </c>
      <c r="L12">
        <v>1.8560000000000001</v>
      </c>
      <c r="M12" t="s">
        <v>10</v>
      </c>
      <c r="N12" t="s">
        <v>11</v>
      </c>
      <c r="O12">
        <v>1.9259999999999999</v>
      </c>
      <c r="P12">
        <v>99.606399999999994</v>
      </c>
      <c r="Q12">
        <v>158.55950000000001</v>
      </c>
      <c r="R12" t="s">
        <v>10</v>
      </c>
      <c r="S12" t="s">
        <v>740</v>
      </c>
      <c r="T12" s="4">
        <v>44835</v>
      </c>
      <c r="U12" s="5">
        <v>0.31667824074074075</v>
      </c>
      <c r="V12" t="s">
        <v>13</v>
      </c>
      <c r="W12">
        <v>1.163</v>
      </c>
      <c r="X12">
        <v>3128.1214</v>
      </c>
      <c r="Y12">
        <v>126646.4129</v>
      </c>
      <c r="Z12" t="s">
        <v>1689</v>
      </c>
      <c r="AA12">
        <v>2.23</v>
      </c>
      <c r="AB12">
        <v>63.4863</v>
      </c>
      <c r="AC12">
        <v>6.1499999999999999E-2</v>
      </c>
      <c r="AD12" t="s">
        <v>10</v>
      </c>
    </row>
    <row r="13" spans="1:34" hidden="1">
      <c r="A13" s="2">
        <v>268</v>
      </c>
      <c r="B13" s="3" t="s">
        <v>5</v>
      </c>
      <c r="C13" s="2" t="s">
        <v>6</v>
      </c>
      <c r="D13" s="2">
        <v>268</v>
      </c>
      <c r="E13" s="2" t="s">
        <v>744</v>
      </c>
      <c r="F13" t="s">
        <v>745</v>
      </c>
      <c r="G13" s="4">
        <v>44835</v>
      </c>
      <c r="H13" s="5">
        <v>0.32417824074074075</v>
      </c>
      <c r="I13" t="s">
        <v>9</v>
      </c>
      <c r="J13">
        <v>1.413</v>
      </c>
      <c r="K13">
        <v>0.35170000000000001</v>
      </c>
      <c r="L13">
        <v>1.8391</v>
      </c>
      <c r="M13" t="s">
        <v>10</v>
      </c>
      <c r="N13" t="s">
        <v>11</v>
      </c>
      <c r="O13">
        <v>1.9359999999999999</v>
      </c>
      <c r="P13">
        <v>101.24760000000001</v>
      </c>
      <c r="Q13">
        <v>164.6249</v>
      </c>
      <c r="R13" t="s">
        <v>10</v>
      </c>
      <c r="S13" t="s">
        <v>746</v>
      </c>
      <c r="T13" s="4">
        <v>44835</v>
      </c>
      <c r="U13" s="5">
        <v>0.32417824074074075</v>
      </c>
      <c r="V13" t="s">
        <v>13</v>
      </c>
      <c r="W13">
        <v>1.1659999999999999</v>
      </c>
      <c r="X13">
        <v>3255.1024000000002</v>
      </c>
      <c r="Y13">
        <v>139432.99059999999</v>
      </c>
      <c r="Z13" t="s">
        <v>1689</v>
      </c>
      <c r="AA13">
        <v>2.2400000000000002</v>
      </c>
      <c r="AB13">
        <v>64.050200000000004</v>
      </c>
      <c r="AC13">
        <v>6.3799999999999996E-2</v>
      </c>
      <c r="AD13" t="s">
        <v>10</v>
      </c>
    </row>
    <row r="14" spans="1:34" hidden="1">
      <c r="A14" s="2">
        <v>270</v>
      </c>
      <c r="B14" s="3" t="s">
        <v>5</v>
      </c>
      <c r="C14" s="2" t="s">
        <v>6</v>
      </c>
      <c r="D14" s="2">
        <v>270</v>
      </c>
      <c r="E14" s="2" t="s">
        <v>750</v>
      </c>
      <c r="F14" t="s">
        <v>751</v>
      </c>
      <c r="G14" s="4">
        <v>44835</v>
      </c>
      <c r="H14" s="5">
        <v>0.33170138888888889</v>
      </c>
      <c r="I14" t="s">
        <v>9</v>
      </c>
      <c r="J14">
        <v>1.413</v>
      </c>
      <c r="K14">
        <v>0.30420000000000003</v>
      </c>
      <c r="L14">
        <v>1.6336999999999999</v>
      </c>
      <c r="M14" t="s">
        <v>10</v>
      </c>
      <c r="N14" t="s">
        <v>11</v>
      </c>
      <c r="O14">
        <v>1.9359999999999999</v>
      </c>
      <c r="P14">
        <v>84.588300000000004</v>
      </c>
      <c r="Q14">
        <v>103.0564</v>
      </c>
      <c r="R14" t="s">
        <v>10</v>
      </c>
      <c r="S14" t="s">
        <v>752</v>
      </c>
      <c r="T14" s="4">
        <v>44835</v>
      </c>
      <c r="U14" s="5">
        <v>0.33170138888888889</v>
      </c>
      <c r="V14" t="s">
        <v>13</v>
      </c>
      <c r="W14">
        <v>1.17</v>
      </c>
      <c r="X14">
        <v>3012.3308999999999</v>
      </c>
      <c r="Y14">
        <v>116313.92539999999</v>
      </c>
      <c r="Z14" t="s">
        <v>1689</v>
      </c>
      <c r="AA14">
        <v>2.2429999999999999</v>
      </c>
      <c r="AB14">
        <v>53.169800000000002</v>
      </c>
      <c r="AC14">
        <v>1.9199999999999998E-2</v>
      </c>
      <c r="AD14" t="s">
        <v>10</v>
      </c>
    </row>
    <row r="15" spans="1:34" hidden="1">
      <c r="A15" s="2">
        <v>272</v>
      </c>
      <c r="B15" s="3" t="s">
        <v>5</v>
      </c>
      <c r="C15" s="2" t="s">
        <v>6</v>
      </c>
      <c r="D15" s="2">
        <v>272</v>
      </c>
      <c r="E15" s="2" t="s">
        <v>756</v>
      </c>
      <c r="F15" t="s">
        <v>757</v>
      </c>
      <c r="G15" s="4">
        <v>44835</v>
      </c>
      <c r="H15" s="5">
        <v>0.33921296296296299</v>
      </c>
      <c r="I15" t="s">
        <v>9</v>
      </c>
      <c r="J15">
        <v>1.4059999999999999</v>
      </c>
      <c r="K15">
        <v>0.39960000000000001</v>
      </c>
      <c r="L15">
        <v>2.0463</v>
      </c>
      <c r="M15" t="s">
        <v>10</v>
      </c>
      <c r="N15" t="s">
        <v>11</v>
      </c>
      <c r="O15">
        <v>1.9259999999999999</v>
      </c>
      <c r="P15">
        <v>105.9186</v>
      </c>
      <c r="Q15">
        <v>181.8878</v>
      </c>
      <c r="R15" t="s">
        <v>10</v>
      </c>
      <c r="S15" t="s">
        <v>758</v>
      </c>
      <c r="T15" s="4">
        <v>44835</v>
      </c>
      <c r="U15" s="5">
        <v>0.33921296296296299</v>
      </c>
      <c r="V15" t="s">
        <v>13</v>
      </c>
      <c r="W15">
        <v>1.163</v>
      </c>
      <c r="X15">
        <v>3231.3038000000001</v>
      </c>
      <c r="Y15">
        <v>136945.05230000001</v>
      </c>
      <c r="Z15" t="s">
        <v>1689</v>
      </c>
      <c r="AA15">
        <v>2.23</v>
      </c>
      <c r="AB15">
        <v>66.080299999999994</v>
      </c>
      <c r="AC15">
        <v>7.2099999999999997E-2</v>
      </c>
      <c r="AD15" t="s">
        <v>10</v>
      </c>
    </row>
    <row r="16" spans="1:34" hidden="1">
      <c r="A16" s="2">
        <v>274</v>
      </c>
      <c r="B16" s="3" t="s">
        <v>5</v>
      </c>
      <c r="C16" s="2" t="s">
        <v>6</v>
      </c>
      <c r="D16" s="2">
        <v>274</v>
      </c>
      <c r="E16" s="2" t="s">
        <v>762</v>
      </c>
      <c r="F16" t="s">
        <v>763</v>
      </c>
      <c r="G16" s="4">
        <v>44835</v>
      </c>
      <c r="H16" s="5">
        <v>0.34672453703703704</v>
      </c>
      <c r="I16" t="s">
        <v>9</v>
      </c>
      <c r="J16">
        <v>1.393</v>
      </c>
      <c r="K16">
        <v>0.33119999999999999</v>
      </c>
      <c r="L16">
        <v>1.7504</v>
      </c>
      <c r="M16" t="s">
        <v>10</v>
      </c>
      <c r="N16" t="s">
        <v>11</v>
      </c>
      <c r="O16">
        <v>1.9159999999999999</v>
      </c>
      <c r="P16">
        <v>97.705699999999993</v>
      </c>
      <c r="Q16">
        <v>151.535</v>
      </c>
      <c r="R16" t="s">
        <v>10</v>
      </c>
      <c r="S16" t="s">
        <v>764</v>
      </c>
      <c r="T16" s="4">
        <v>44835</v>
      </c>
      <c r="U16" s="5">
        <v>0.34672453703703704</v>
      </c>
      <c r="V16" t="s">
        <v>13</v>
      </c>
      <c r="W16">
        <v>1.1559999999999999</v>
      </c>
      <c r="X16">
        <v>2960.1529999999998</v>
      </c>
      <c r="Y16">
        <v>111921.15640000001</v>
      </c>
      <c r="Z16" t="s">
        <v>1689</v>
      </c>
      <c r="AA16">
        <v>2.2160000000000002</v>
      </c>
      <c r="AB16">
        <v>63.328299999999999</v>
      </c>
      <c r="AC16">
        <v>6.08E-2</v>
      </c>
      <c r="AD16" t="s">
        <v>10</v>
      </c>
    </row>
    <row r="17" spans="1:34" hidden="1">
      <c r="A17" s="2">
        <v>276</v>
      </c>
      <c r="B17" s="3" t="s">
        <v>5</v>
      </c>
      <c r="C17" s="2" t="s">
        <v>6</v>
      </c>
      <c r="D17" s="2">
        <v>276</v>
      </c>
      <c r="E17" s="2" t="s">
        <v>768</v>
      </c>
      <c r="F17" t="s">
        <v>769</v>
      </c>
      <c r="G17" s="4">
        <v>44835</v>
      </c>
      <c r="H17" s="5">
        <v>0.35423611111111114</v>
      </c>
      <c r="I17" t="s">
        <v>9</v>
      </c>
      <c r="J17">
        <v>1.403</v>
      </c>
      <c r="K17">
        <v>0.33069999999999999</v>
      </c>
      <c r="L17">
        <v>1.7483</v>
      </c>
      <c r="M17" t="s">
        <v>10</v>
      </c>
      <c r="N17" t="s">
        <v>11</v>
      </c>
      <c r="O17">
        <v>1.923</v>
      </c>
      <c r="P17">
        <v>88.958399999999997</v>
      </c>
      <c r="Q17">
        <v>119.2072</v>
      </c>
      <c r="R17" t="s">
        <v>10</v>
      </c>
      <c r="S17" t="s">
        <v>770</v>
      </c>
      <c r="T17" s="4">
        <v>44835</v>
      </c>
      <c r="U17" s="5">
        <v>0.35423611111111114</v>
      </c>
      <c r="V17" t="s">
        <v>13</v>
      </c>
      <c r="W17">
        <v>1.1599999999999999</v>
      </c>
      <c r="X17">
        <v>2980.2979999999998</v>
      </c>
      <c r="Y17">
        <v>113565.3361</v>
      </c>
      <c r="Z17" t="s">
        <v>1689</v>
      </c>
      <c r="AA17">
        <v>2.226</v>
      </c>
      <c r="AB17">
        <v>60.299100000000003</v>
      </c>
      <c r="AC17">
        <v>4.8399999999999999E-2</v>
      </c>
      <c r="AD17" t="s">
        <v>10</v>
      </c>
    </row>
    <row r="18" spans="1:34" hidden="1">
      <c r="A18" s="2">
        <v>277</v>
      </c>
      <c r="B18" s="3" t="s">
        <v>5</v>
      </c>
      <c r="C18" s="2" t="s">
        <v>6</v>
      </c>
      <c r="D18" s="2">
        <v>277</v>
      </c>
      <c r="E18" s="2" t="s">
        <v>771</v>
      </c>
      <c r="F18" t="s">
        <v>772</v>
      </c>
      <c r="G18" s="4">
        <v>44835</v>
      </c>
      <c r="H18" s="5">
        <v>0.35798611111111112</v>
      </c>
      <c r="I18" t="s">
        <v>9</v>
      </c>
      <c r="J18">
        <v>1.4159999999999999</v>
      </c>
      <c r="K18">
        <v>0.35699999999999998</v>
      </c>
      <c r="L18">
        <v>1.8620000000000001</v>
      </c>
      <c r="M18" t="s">
        <v>10</v>
      </c>
      <c r="N18" t="s">
        <v>11</v>
      </c>
      <c r="O18">
        <v>1.94</v>
      </c>
      <c r="P18">
        <v>94.448999999999998</v>
      </c>
      <c r="Q18">
        <v>139.499</v>
      </c>
      <c r="R18" t="s">
        <v>10</v>
      </c>
      <c r="S18" t="s">
        <v>773</v>
      </c>
      <c r="T18" s="4">
        <v>44835</v>
      </c>
      <c r="U18" s="5">
        <v>0.35798611111111112</v>
      </c>
      <c r="V18" t="s">
        <v>13</v>
      </c>
      <c r="W18">
        <v>1.17</v>
      </c>
      <c r="X18">
        <v>3164.739</v>
      </c>
      <c r="Y18">
        <v>130213.3677</v>
      </c>
      <c r="Z18" t="s">
        <v>1689</v>
      </c>
      <c r="AA18">
        <v>2.2400000000000002</v>
      </c>
      <c r="AB18">
        <v>59.729300000000002</v>
      </c>
      <c r="AC18">
        <v>4.6100000000000002E-2</v>
      </c>
      <c r="AD18" t="s">
        <v>10</v>
      </c>
    </row>
    <row r="19" spans="1:34" hidden="1">
      <c r="A19" s="2">
        <v>278</v>
      </c>
      <c r="B19" s="3" t="s">
        <v>5</v>
      </c>
      <c r="C19" s="2" t="s">
        <v>6</v>
      </c>
      <c r="D19" s="2">
        <v>278</v>
      </c>
      <c r="E19" s="2" t="s">
        <v>774</v>
      </c>
      <c r="F19" t="s">
        <v>775</v>
      </c>
      <c r="G19" s="4">
        <v>44835</v>
      </c>
      <c r="H19" s="5">
        <v>0.36173611111111109</v>
      </c>
      <c r="I19" t="s">
        <v>9</v>
      </c>
      <c r="J19">
        <v>1.413</v>
      </c>
      <c r="K19">
        <v>0.3054</v>
      </c>
      <c r="L19">
        <v>1.6388</v>
      </c>
      <c r="M19" t="s">
        <v>10</v>
      </c>
      <c r="N19" t="s">
        <v>11</v>
      </c>
      <c r="O19">
        <v>1.94</v>
      </c>
      <c r="P19">
        <v>87.213999999999999</v>
      </c>
      <c r="Q19">
        <v>112.7603</v>
      </c>
      <c r="R19" t="s">
        <v>10</v>
      </c>
      <c r="S19" t="s">
        <v>776</v>
      </c>
      <c r="T19" s="4">
        <v>44835</v>
      </c>
      <c r="U19" s="5">
        <v>0.36173611111111109</v>
      </c>
      <c r="V19" t="s">
        <v>13</v>
      </c>
      <c r="W19">
        <v>1.17</v>
      </c>
      <c r="X19">
        <v>3081.5513999999998</v>
      </c>
      <c r="Y19">
        <v>122396.576</v>
      </c>
      <c r="Z19" t="s">
        <v>1689</v>
      </c>
      <c r="AA19">
        <v>2.2400000000000002</v>
      </c>
      <c r="AB19">
        <v>56.320300000000003</v>
      </c>
      <c r="AC19">
        <v>3.2099999999999997E-2</v>
      </c>
      <c r="AD19" t="s">
        <v>10</v>
      </c>
    </row>
    <row r="20" spans="1:34" hidden="1">
      <c r="A20" s="2">
        <v>280</v>
      </c>
      <c r="B20" s="3" t="s">
        <v>5</v>
      </c>
      <c r="C20" s="2" t="s">
        <v>6</v>
      </c>
      <c r="D20" s="2">
        <v>280</v>
      </c>
      <c r="E20" s="2" t="s">
        <v>780</v>
      </c>
      <c r="F20" t="s">
        <v>781</v>
      </c>
      <c r="G20" s="4">
        <v>44835</v>
      </c>
      <c r="H20" s="5">
        <v>0.36924768518518519</v>
      </c>
      <c r="I20" t="s">
        <v>9</v>
      </c>
      <c r="J20">
        <v>1.413</v>
      </c>
      <c r="K20">
        <v>0.35580000000000001</v>
      </c>
      <c r="L20">
        <v>1.8568</v>
      </c>
      <c r="M20" t="s">
        <v>10</v>
      </c>
      <c r="N20" t="s">
        <v>11</v>
      </c>
      <c r="O20">
        <v>1.9359999999999999</v>
      </c>
      <c r="P20">
        <v>106.1198</v>
      </c>
      <c r="Q20">
        <v>182.63130000000001</v>
      </c>
      <c r="R20" t="s">
        <v>10</v>
      </c>
      <c r="S20" t="s">
        <v>782</v>
      </c>
      <c r="T20" s="4">
        <v>44835</v>
      </c>
      <c r="U20" s="5">
        <v>0.36924768518518519</v>
      </c>
      <c r="V20" t="s">
        <v>13</v>
      </c>
      <c r="W20">
        <v>1.17</v>
      </c>
      <c r="X20">
        <v>3317.1448</v>
      </c>
      <c r="Y20">
        <v>146383.6226</v>
      </c>
      <c r="Z20" t="s">
        <v>1689</v>
      </c>
      <c r="AA20">
        <v>2.2400000000000002</v>
      </c>
      <c r="AB20">
        <v>66.504199999999997</v>
      </c>
      <c r="AC20">
        <v>7.3800000000000004E-2</v>
      </c>
      <c r="AD20" t="s">
        <v>10</v>
      </c>
    </row>
    <row r="21" spans="1:34" hidden="1">
      <c r="A21" s="2">
        <v>282</v>
      </c>
      <c r="B21" s="3" t="s">
        <v>5</v>
      </c>
      <c r="C21" s="2" t="s">
        <v>6</v>
      </c>
      <c r="D21" s="2">
        <v>282</v>
      </c>
      <c r="E21" s="2" t="s">
        <v>786</v>
      </c>
      <c r="F21" t="s">
        <v>787</v>
      </c>
      <c r="G21" s="4">
        <v>44835</v>
      </c>
      <c r="H21" s="5">
        <v>0.37677083333333333</v>
      </c>
      <c r="I21" t="s">
        <v>9</v>
      </c>
      <c r="J21">
        <v>1.4059999999999999</v>
      </c>
      <c r="K21">
        <v>0.36180000000000001</v>
      </c>
      <c r="L21">
        <v>1.8828</v>
      </c>
      <c r="M21" t="s">
        <v>10</v>
      </c>
      <c r="N21" t="s">
        <v>11</v>
      </c>
      <c r="O21">
        <v>1.9259999999999999</v>
      </c>
      <c r="P21">
        <v>98.303700000000006</v>
      </c>
      <c r="Q21">
        <v>153.745</v>
      </c>
      <c r="R21" t="s">
        <v>10</v>
      </c>
      <c r="S21" t="s">
        <v>788</v>
      </c>
      <c r="T21" s="4">
        <v>44835</v>
      </c>
      <c r="U21" s="5">
        <v>0.37677083333333333</v>
      </c>
      <c r="V21" t="s">
        <v>13</v>
      </c>
      <c r="W21">
        <v>1.163</v>
      </c>
      <c r="X21">
        <v>3134.6559999999999</v>
      </c>
      <c r="Y21">
        <v>127281.8241</v>
      </c>
      <c r="Z21" t="s">
        <v>1689</v>
      </c>
      <c r="AA21">
        <v>2.226</v>
      </c>
      <c r="AB21">
        <v>62.6066</v>
      </c>
      <c r="AC21">
        <v>5.7799999999999997E-2</v>
      </c>
      <c r="AD21" t="s">
        <v>10</v>
      </c>
    </row>
    <row r="22" spans="1:34" hidden="1">
      <c r="A22" s="2">
        <v>284</v>
      </c>
      <c r="B22" s="3" t="s">
        <v>5</v>
      </c>
      <c r="C22" s="2" t="s">
        <v>6</v>
      </c>
      <c r="D22" s="2">
        <v>284</v>
      </c>
      <c r="E22" s="2" t="s">
        <v>792</v>
      </c>
      <c r="F22" t="s">
        <v>793</v>
      </c>
      <c r="G22" s="4">
        <v>44835</v>
      </c>
      <c r="H22" s="5">
        <v>0.38427083333333334</v>
      </c>
      <c r="I22" t="s">
        <v>9</v>
      </c>
      <c r="J22">
        <v>1.393</v>
      </c>
      <c r="K22">
        <v>0.37219999999999998</v>
      </c>
      <c r="L22">
        <v>1.9278</v>
      </c>
      <c r="M22" t="s">
        <v>10</v>
      </c>
      <c r="N22" t="s">
        <v>11</v>
      </c>
      <c r="O22">
        <v>1.9159999999999999</v>
      </c>
      <c r="P22">
        <v>99.922899999999998</v>
      </c>
      <c r="Q22">
        <v>159.72919999999999</v>
      </c>
      <c r="R22" t="s">
        <v>10</v>
      </c>
      <c r="S22" t="s">
        <v>794</v>
      </c>
      <c r="T22" s="4">
        <v>44835</v>
      </c>
      <c r="U22" s="5">
        <v>0.38427083333333334</v>
      </c>
      <c r="V22" t="s">
        <v>13</v>
      </c>
      <c r="W22">
        <v>1.1599999999999999</v>
      </c>
      <c r="X22">
        <v>2980.4605999999999</v>
      </c>
      <c r="Y22">
        <v>113579.288</v>
      </c>
      <c r="Z22" t="s">
        <v>1689</v>
      </c>
      <c r="AA22">
        <v>2.2200000000000002</v>
      </c>
      <c r="AB22">
        <v>65.514099999999999</v>
      </c>
      <c r="AC22">
        <v>6.9800000000000001E-2</v>
      </c>
      <c r="AD22" t="s">
        <v>10</v>
      </c>
    </row>
    <row r="23" spans="1:34" hidden="1">
      <c r="A23" s="2">
        <v>286</v>
      </c>
      <c r="B23" s="3" t="s">
        <v>5</v>
      </c>
      <c r="C23" s="2" t="s">
        <v>6</v>
      </c>
      <c r="D23" s="2">
        <v>286</v>
      </c>
      <c r="E23" s="2" t="s">
        <v>798</v>
      </c>
      <c r="F23" t="s">
        <v>799</v>
      </c>
      <c r="G23" s="4">
        <v>44835</v>
      </c>
      <c r="H23" s="5">
        <v>0.39178240740740744</v>
      </c>
      <c r="I23" t="s">
        <v>9</v>
      </c>
      <c r="J23">
        <v>1.41</v>
      </c>
      <c r="K23">
        <v>0.311</v>
      </c>
      <c r="L23">
        <v>1.6631</v>
      </c>
      <c r="M23" t="s">
        <v>10</v>
      </c>
      <c r="N23" t="s">
        <v>11</v>
      </c>
      <c r="O23">
        <v>1.93</v>
      </c>
      <c r="P23">
        <v>78.779399999999995</v>
      </c>
      <c r="Q23">
        <v>81.588200000000001</v>
      </c>
      <c r="R23" t="s">
        <v>10</v>
      </c>
      <c r="S23" t="s">
        <v>800</v>
      </c>
      <c r="T23" s="4">
        <v>44835</v>
      </c>
      <c r="U23" s="5">
        <v>0.39178240740740744</v>
      </c>
      <c r="V23" t="s">
        <v>13</v>
      </c>
      <c r="W23">
        <v>1.1659999999999999</v>
      </c>
      <c r="X23">
        <v>2864.2564000000002</v>
      </c>
      <c r="Y23">
        <v>104290.54240000001</v>
      </c>
      <c r="Z23" t="s">
        <v>1689</v>
      </c>
      <c r="AA23">
        <v>2.2330000000000001</v>
      </c>
      <c r="AB23">
        <v>53.826999999999998</v>
      </c>
      <c r="AC23">
        <v>2.1899999999999999E-2</v>
      </c>
      <c r="AD23" t="s">
        <v>10</v>
      </c>
    </row>
    <row r="24" spans="1:34" hidden="1">
      <c r="A24" s="2">
        <v>288</v>
      </c>
      <c r="B24" s="3" t="s">
        <v>5</v>
      </c>
      <c r="C24" s="2" t="s">
        <v>6</v>
      </c>
      <c r="D24" s="2">
        <v>288</v>
      </c>
      <c r="E24" s="2" t="s">
        <v>804</v>
      </c>
      <c r="F24" t="s">
        <v>805</v>
      </c>
      <c r="G24" s="4">
        <v>44835</v>
      </c>
      <c r="H24" s="5">
        <v>0.39929398148148149</v>
      </c>
      <c r="I24" t="s">
        <v>9</v>
      </c>
      <c r="J24">
        <v>1.4059999999999999</v>
      </c>
      <c r="K24">
        <v>0.39960000000000001</v>
      </c>
      <c r="L24">
        <v>2.0463</v>
      </c>
      <c r="M24" t="s">
        <v>10</v>
      </c>
      <c r="N24" t="s">
        <v>11</v>
      </c>
      <c r="O24">
        <v>1.923</v>
      </c>
      <c r="P24">
        <v>109.82810000000001</v>
      </c>
      <c r="Q24">
        <v>196.33629999999999</v>
      </c>
      <c r="R24" t="s">
        <v>10</v>
      </c>
      <c r="S24" t="s">
        <v>806</v>
      </c>
      <c r="T24" s="4">
        <v>44835</v>
      </c>
      <c r="U24" s="5">
        <v>0.39929398148148149</v>
      </c>
      <c r="V24" t="s">
        <v>13</v>
      </c>
      <c r="W24">
        <v>1.1599999999999999</v>
      </c>
      <c r="X24">
        <v>3299.4834000000001</v>
      </c>
      <c r="Y24">
        <v>144392.33869999999</v>
      </c>
      <c r="Z24" t="s">
        <v>1689</v>
      </c>
      <c r="AA24">
        <v>2.226</v>
      </c>
      <c r="AB24">
        <v>69.6614</v>
      </c>
      <c r="AC24">
        <v>8.6800000000000002E-2</v>
      </c>
      <c r="AD24" t="s">
        <v>10</v>
      </c>
    </row>
    <row r="25" spans="1:34" hidden="1">
      <c r="A25" s="2">
        <v>289</v>
      </c>
      <c r="B25" s="3" t="s">
        <v>5</v>
      </c>
      <c r="C25" s="2" t="s">
        <v>6</v>
      </c>
      <c r="D25" s="2">
        <v>289</v>
      </c>
      <c r="E25" s="2" t="s">
        <v>807</v>
      </c>
      <c r="F25" t="s">
        <v>808</v>
      </c>
      <c r="G25" s="4">
        <v>44835</v>
      </c>
      <c r="H25" s="5">
        <v>0.40304398148148146</v>
      </c>
      <c r="I25" t="s">
        <v>9</v>
      </c>
      <c r="J25">
        <v>1.4</v>
      </c>
      <c r="K25">
        <v>0.3337</v>
      </c>
      <c r="L25">
        <v>1.7612000000000001</v>
      </c>
      <c r="M25" t="s">
        <v>10</v>
      </c>
      <c r="N25" t="s">
        <v>11</v>
      </c>
      <c r="O25">
        <v>1.9159999999999999</v>
      </c>
      <c r="P25">
        <v>86.935599999999994</v>
      </c>
      <c r="Q25">
        <v>111.73139999999999</v>
      </c>
      <c r="R25" t="s">
        <v>10</v>
      </c>
      <c r="S25" t="s">
        <v>809</v>
      </c>
      <c r="T25" s="4">
        <v>44835</v>
      </c>
      <c r="U25" s="5">
        <v>0.40304398148148146</v>
      </c>
      <c r="V25" t="s">
        <v>13</v>
      </c>
      <c r="W25">
        <v>1.1599999999999999</v>
      </c>
      <c r="X25">
        <v>2851.2806</v>
      </c>
      <c r="Y25">
        <v>103295.98299999999</v>
      </c>
      <c r="Z25" t="s">
        <v>1689</v>
      </c>
      <c r="AA25">
        <v>2.2160000000000002</v>
      </c>
      <c r="AB25">
        <v>54.069899999999997</v>
      </c>
      <c r="AC25">
        <v>2.29E-2</v>
      </c>
      <c r="AD25" t="s">
        <v>10</v>
      </c>
    </row>
    <row r="26" spans="1:34" hidden="1">
      <c r="A26" s="2">
        <v>290</v>
      </c>
      <c r="B26" s="3" t="s">
        <v>5</v>
      </c>
      <c r="C26" s="2" t="s">
        <v>6</v>
      </c>
      <c r="D26" s="2">
        <v>290</v>
      </c>
      <c r="E26" s="2" t="s">
        <v>810</v>
      </c>
      <c r="F26" t="s">
        <v>811</v>
      </c>
      <c r="G26" s="4">
        <v>44835</v>
      </c>
      <c r="H26" s="5">
        <v>0.40680555555555559</v>
      </c>
      <c r="I26" t="s">
        <v>9</v>
      </c>
      <c r="J26">
        <v>1.413</v>
      </c>
      <c r="K26">
        <v>0.35539999999999999</v>
      </c>
      <c r="L26">
        <v>1.8551</v>
      </c>
      <c r="M26" t="s">
        <v>10</v>
      </c>
      <c r="N26" t="s">
        <v>11</v>
      </c>
      <c r="O26">
        <v>1.9359999999999999</v>
      </c>
      <c r="P26">
        <v>99.642200000000003</v>
      </c>
      <c r="Q26">
        <v>158.6918</v>
      </c>
      <c r="R26" t="s">
        <v>10</v>
      </c>
      <c r="S26" t="s">
        <v>812</v>
      </c>
      <c r="T26" s="4">
        <v>44835</v>
      </c>
      <c r="U26" s="5">
        <v>0.40680555555555559</v>
      </c>
      <c r="V26" t="s">
        <v>13</v>
      </c>
      <c r="W26">
        <v>1.17</v>
      </c>
      <c r="X26">
        <v>3258.3261000000002</v>
      </c>
      <c r="Y26">
        <v>139770.0006</v>
      </c>
      <c r="Z26" t="s">
        <v>1689</v>
      </c>
      <c r="AA26">
        <v>2.2400000000000002</v>
      </c>
      <c r="AB26">
        <v>62.866399999999999</v>
      </c>
      <c r="AC26">
        <v>5.8900000000000001E-2</v>
      </c>
      <c r="AD26" t="s">
        <v>10</v>
      </c>
    </row>
    <row r="27" spans="1:34">
      <c r="A27" s="2">
        <v>247</v>
      </c>
      <c r="B27" s="3" t="s">
        <v>41</v>
      </c>
      <c r="C27" s="2" t="s">
        <v>6</v>
      </c>
      <c r="D27" s="2">
        <v>247</v>
      </c>
      <c r="E27" s="2" t="s">
        <v>681</v>
      </c>
      <c r="F27" t="s">
        <v>682</v>
      </c>
      <c r="G27" s="4">
        <v>44835</v>
      </c>
      <c r="H27" s="5">
        <v>0.24535879629629631</v>
      </c>
      <c r="I27" t="s">
        <v>9</v>
      </c>
      <c r="J27">
        <v>0</v>
      </c>
      <c r="K27">
        <v>0</v>
      </c>
      <c r="L27">
        <v>0</v>
      </c>
      <c r="M27" t="s">
        <v>10</v>
      </c>
      <c r="N27" t="s">
        <v>11</v>
      </c>
      <c r="O27">
        <v>1.9259999999999999</v>
      </c>
      <c r="P27">
        <v>50.495100000000001</v>
      </c>
      <c r="Q27">
        <v>0</v>
      </c>
      <c r="R27" t="s">
        <v>10</v>
      </c>
      <c r="S27" t="s">
        <v>683</v>
      </c>
      <c r="T27" s="4">
        <v>44835</v>
      </c>
      <c r="U27" s="5">
        <v>0.24535879629629631</v>
      </c>
      <c r="V27" t="s">
        <v>13</v>
      </c>
      <c r="W27">
        <v>1.1559999999999999</v>
      </c>
      <c r="X27">
        <v>1221.3876</v>
      </c>
      <c r="Y27">
        <v>11851.144200000001</v>
      </c>
      <c r="Z27" t="s">
        <v>1689</v>
      </c>
      <c r="AA27">
        <v>2.2330000000000001</v>
      </c>
      <c r="AB27">
        <v>20.720199999999998</v>
      </c>
      <c r="AC27">
        <v>0</v>
      </c>
      <c r="AD27" t="s">
        <v>10</v>
      </c>
      <c r="AE27">
        <v>0</v>
      </c>
      <c r="AF27">
        <v>0</v>
      </c>
      <c r="AG27">
        <v>0</v>
      </c>
      <c r="AH27">
        <v>0</v>
      </c>
    </row>
    <row r="28" spans="1:34">
      <c r="A28" s="2">
        <v>263</v>
      </c>
      <c r="B28" s="3" t="s">
        <v>96</v>
      </c>
      <c r="C28" s="2" t="s">
        <v>6</v>
      </c>
      <c r="D28" s="2">
        <v>263</v>
      </c>
      <c r="E28" s="2" t="s">
        <v>729</v>
      </c>
      <c r="F28" t="s">
        <v>730</v>
      </c>
      <c r="G28" s="4">
        <v>44835</v>
      </c>
      <c r="H28" s="5">
        <v>0.30541666666666667</v>
      </c>
      <c r="I28" t="s">
        <v>9</v>
      </c>
      <c r="J28">
        <v>0</v>
      </c>
      <c r="K28">
        <v>0</v>
      </c>
      <c r="L28">
        <v>0</v>
      </c>
      <c r="M28" t="s">
        <v>10</v>
      </c>
      <c r="N28" t="s">
        <v>11</v>
      </c>
      <c r="O28">
        <v>1.923</v>
      </c>
      <c r="P28">
        <v>11.1068</v>
      </c>
      <c r="Q28">
        <v>0</v>
      </c>
      <c r="R28" t="s">
        <v>10</v>
      </c>
      <c r="S28" t="s">
        <v>731</v>
      </c>
      <c r="T28" s="4">
        <v>44835</v>
      </c>
      <c r="U28" s="5">
        <v>0.30541666666666667</v>
      </c>
      <c r="V28" t="s">
        <v>13</v>
      </c>
      <c r="W28">
        <v>1.153</v>
      </c>
      <c r="X28">
        <v>840.51319999999998</v>
      </c>
      <c r="Y28">
        <v>0</v>
      </c>
      <c r="Z28" t="s">
        <v>1689</v>
      </c>
      <c r="AA28">
        <v>2.2229999999999999</v>
      </c>
      <c r="AB28">
        <v>5.0726000000000004</v>
      </c>
      <c r="AC28">
        <v>0</v>
      </c>
      <c r="AD28" t="s">
        <v>10</v>
      </c>
      <c r="AE28">
        <v>0</v>
      </c>
      <c r="AF28">
        <v>0</v>
      </c>
      <c r="AG28">
        <v>0</v>
      </c>
      <c r="AH28">
        <v>0</v>
      </c>
    </row>
    <row r="29" spans="1:34">
      <c r="A29" s="2">
        <v>265</v>
      </c>
      <c r="B29" s="3" t="s">
        <v>103</v>
      </c>
      <c r="C29" s="2" t="s">
        <v>6</v>
      </c>
      <c r="D29" s="2">
        <v>265</v>
      </c>
      <c r="E29" s="2" t="s">
        <v>735</v>
      </c>
      <c r="F29" t="s">
        <v>736</v>
      </c>
      <c r="G29" s="4">
        <v>44835</v>
      </c>
      <c r="H29" s="5">
        <v>0.31292824074074072</v>
      </c>
      <c r="I29" t="s">
        <v>9</v>
      </c>
      <c r="J29">
        <v>1.4</v>
      </c>
      <c r="K29">
        <v>0.14119999999999999</v>
      </c>
      <c r="L29">
        <v>0.92859999999999998</v>
      </c>
      <c r="M29" t="s">
        <v>10</v>
      </c>
      <c r="N29" t="s">
        <v>11</v>
      </c>
      <c r="O29">
        <v>1.9259999999999999</v>
      </c>
      <c r="P29">
        <v>32.392699999999998</v>
      </c>
      <c r="Q29">
        <v>0</v>
      </c>
      <c r="R29" t="s">
        <v>10</v>
      </c>
      <c r="S29" t="s">
        <v>737</v>
      </c>
      <c r="T29" s="4">
        <v>44835</v>
      </c>
      <c r="U29" s="5">
        <v>0.31292824074074072</v>
      </c>
      <c r="V29" t="s">
        <v>13</v>
      </c>
      <c r="W29">
        <v>1.1599999999999999</v>
      </c>
      <c r="X29">
        <v>1716.9177999999999</v>
      </c>
      <c r="Y29">
        <v>35018.168700000002</v>
      </c>
      <c r="Z29" t="s">
        <v>1689</v>
      </c>
      <c r="AA29">
        <v>2.2330000000000001</v>
      </c>
      <c r="AB29">
        <v>19.450900000000001</v>
      </c>
      <c r="AC29">
        <v>0</v>
      </c>
      <c r="AD29" t="s">
        <v>10</v>
      </c>
      <c r="AE29">
        <v>69.166666669999998</v>
      </c>
      <c r="AF29">
        <v>0.3</v>
      </c>
      <c r="AG29" s="10">
        <v>5.4166699999999998E-2</v>
      </c>
      <c r="AH29">
        <v>34916.666669999999</v>
      </c>
    </row>
    <row r="30" spans="1:34">
      <c r="A30" s="2">
        <v>267</v>
      </c>
      <c r="B30" s="3" t="s">
        <v>110</v>
      </c>
      <c r="C30" s="2" t="s">
        <v>6</v>
      </c>
      <c r="D30" s="2">
        <v>267</v>
      </c>
      <c r="E30" s="2" t="s">
        <v>741</v>
      </c>
      <c r="F30" t="s">
        <v>742</v>
      </c>
      <c r="G30" s="4">
        <v>44835</v>
      </c>
      <c r="H30" s="5">
        <v>0.32042824074074078</v>
      </c>
      <c r="I30" t="s">
        <v>9</v>
      </c>
      <c r="J30">
        <v>1.3959999999999999</v>
      </c>
      <c r="K30">
        <v>0.22639999999999999</v>
      </c>
      <c r="L30">
        <v>1.2970999999999999</v>
      </c>
      <c r="M30" t="s">
        <v>10</v>
      </c>
      <c r="N30" t="s">
        <v>11</v>
      </c>
      <c r="O30">
        <v>1.92</v>
      </c>
      <c r="P30">
        <v>53.274299999999997</v>
      </c>
      <c r="Q30">
        <v>0</v>
      </c>
      <c r="R30" t="s">
        <v>10</v>
      </c>
      <c r="S30" t="s">
        <v>743</v>
      </c>
      <c r="T30" s="4">
        <v>44835</v>
      </c>
      <c r="U30" s="5">
        <v>0.32042824074074078</v>
      </c>
      <c r="V30" t="s">
        <v>13</v>
      </c>
      <c r="W30">
        <v>1.1559999999999999</v>
      </c>
      <c r="X30">
        <v>2189.3793999999998</v>
      </c>
      <c r="Y30">
        <v>60025.865100000003</v>
      </c>
      <c r="Z30" t="s">
        <v>1689</v>
      </c>
      <c r="AA30">
        <v>2.2229999999999999</v>
      </c>
      <c r="AB30">
        <v>32.925199999999997</v>
      </c>
      <c r="AC30">
        <v>0</v>
      </c>
      <c r="AD30" t="s">
        <v>10</v>
      </c>
      <c r="AE30">
        <v>138.33333329999999</v>
      </c>
      <c r="AF30">
        <v>0.6</v>
      </c>
      <c r="AG30" s="10">
        <v>0.108333</v>
      </c>
      <c r="AH30">
        <v>69833.333329999994</v>
      </c>
    </row>
    <row r="31" spans="1:34">
      <c r="A31" s="2">
        <v>269</v>
      </c>
      <c r="B31" s="3" t="s">
        <v>117</v>
      </c>
      <c r="C31" s="2" t="s">
        <v>6</v>
      </c>
      <c r="D31" s="2">
        <v>269</v>
      </c>
      <c r="E31" s="2" t="s">
        <v>747</v>
      </c>
      <c r="F31" t="s">
        <v>748</v>
      </c>
      <c r="G31" s="4">
        <v>44835</v>
      </c>
      <c r="H31" s="5">
        <v>0.32792824074074073</v>
      </c>
      <c r="I31" t="s">
        <v>9</v>
      </c>
      <c r="J31">
        <v>1.41</v>
      </c>
      <c r="K31">
        <v>0.26960000000000001</v>
      </c>
      <c r="L31">
        <v>1.484</v>
      </c>
      <c r="M31" t="s">
        <v>10</v>
      </c>
      <c r="N31" t="s">
        <v>11</v>
      </c>
      <c r="O31">
        <v>1.9330000000000001</v>
      </c>
      <c r="P31">
        <v>74.690799999999996</v>
      </c>
      <c r="Q31">
        <v>66.477699999999999</v>
      </c>
      <c r="R31" t="s">
        <v>10</v>
      </c>
      <c r="S31" t="s">
        <v>749</v>
      </c>
      <c r="T31" s="4">
        <v>44835</v>
      </c>
      <c r="U31" s="5">
        <v>0.32792824074074073</v>
      </c>
      <c r="V31" t="s">
        <v>13</v>
      </c>
      <c r="W31">
        <v>1.1659999999999999</v>
      </c>
      <c r="X31">
        <v>2719.0419000000002</v>
      </c>
      <c r="Y31">
        <v>93506.761400000003</v>
      </c>
      <c r="Z31" t="s">
        <v>1689</v>
      </c>
      <c r="AA31">
        <v>2.2400000000000002</v>
      </c>
      <c r="AB31">
        <v>46.763199999999998</v>
      </c>
      <c r="AC31">
        <v>0</v>
      </c>
      <c r="AD31" t="s">
        <v>10</v>
      </c>
      <c r="AE31">
        <v>207.5</v>
      </c>
      <c r="AF31">
        <v>0.9</v>
      </c>
      <c r="AG31">
        <v>0.16250000000000001</v>
      </c>
      <c r="AH31">
        <v>104750</v>
      </c>
    </row>
    <row r="32" spans="1:34">
      <c r="A32" s="2">
        <v>271</v>
      </c>
      <c r="B32" s="3" t="s">
        <v>124</v>
      </c>
      <c r="C32" s="2" t="s">
        <v>6</v>
      </c>
      <c r="D32" s="2">
        <v>271</v>
      </c>
      <c r="E32" s="2" t="s">
        <v>753</v>
      </c>
      <c r="F32" t="s">
        <v>754</v>
      </c>
      <c r="G32" s="4">
        <v>44835</v>
      </c>
      <c r="H32" s="5">
        <v>0.33546296296296302</v>
      </c>
      <c r="I32" t="s">
        <v>9</v>
      </c>
      <c r="J32">
        <v>1.41</v>
      </c>
      <c r="K32">
        <v>0.41139999999999999</v>
      </c>
      <c r="L32">
        <v>2.0973000000000002</v>
      </c>
      <c r="M32" t="s">
        <v>10</v>
      </c>
      <c r="N32" t="s">
        <v>11</v>
      </c>
      <c r="O32">
        <v>1.93</v>
      </c>
      <c r="P32">
        <v>101.0642</v>
      </c>
      <c r="Q32">
        <v>163.94710000000001</v>
      </c>
      <c r="R32" t="s">
        <v>10</v>
      </c>
      <c r="S32" t="s">
        <v>755</v>
      </c>
      <c r="T32" s="4">
        <v>44835</v>
      </c>
      <c r="U32" s="5">
        <v>0.33546296296296302</v>
      </c>
      <c r="V32" t="s">
        <v>13</v>
      </c>
      <c r="W32">
        <v>1.17</v>
      </c>
      <c r="X32">
        <v>3117.893</v>
      </c>
      <c r="Y32">
        <v>125713.00019999999</v>
      </c>
      <c r="Z32" t="s">
        <v>1689</v>
      </c>
      <c r="AA32">
        <v>2.23</v>
      </c>
      <c r="AB32">
        <v>66.3155</v>
      </c>
      <c r="AC32">
        <v>7.2999999999999995E-2</v>
      </c>
      <c r="AD32" t="s">
        <v>10</v>
      </c>
      <c r="AE32">
        <v>276.66666670000001</v>
      </c>
      <c r="AF32">
        <v>1.2</v>
      </c>
      <c r="AG32" s="10">
        <v>0.216667</v>
      </c>
      <c r="AH32">
        <v>139666.6667</v>
      </c>
    </row>
    <row r="33" spans="1:34">
      <c r="A33" s="2">
        <v>273</v>
      </c>
      <c r="B33" s="3" t="s">
        <v>131</v>
      </c>
      <c r="C33" s="2" t="s">
        <v>6</v>
      </c>
      <c r="D33" s="2">
        <v>273</v>
      </c>
      <c r="E33" s="2" t="s">
        <v>759</v>
      </c>
      <c r="F33" t="s">
        <v>760</v>
      </c>
      <c r="G33" s="4">
        <v>44835</v>
      </c>
      <c r="H33" s="5">
        <v>0.34296296296296297</v>
      </c>
      <c r="I33" t="s">
        <v>9</v>
      </c>
      <c r="J33">
        <v>1.413</v>
      </c>
      <c r="K33">
        <v>0.39800000000000002</v>
      </c>
      <c r="L33">
        <v>2.0394000000000001</v>
      </c>
      <c r="M33" t="s">
        <v>10</v>
      </c>
      <c r="N33" t="s">
        <v>11</v>
      </c>
      <c r="O33">
        <v>1.9359999999999999</v>
      </c>
      <c r="P33">
        <v>113.26860000000001</v>
      </c>
      <c r="Q33">
        <v>209.0515</v>
      </c>
      <c r="R33" t="s">
        <v>10</v>
      </c>
      <c r="S33" t="s">
        <v>761</v>
      </c>
      <c r="T33" s="4">
        <v>44835</v>
      </c>
      <c r="U33" s="5">
        <v>0.34296296296296297</v>
      </c>
      <c r="V33" t="s">
        <v>13</v>
      </c>
      <c r="W33">
        <v>1.17</v>
      </c>
      <c r="X33">
        <v>3400.2833999999998</v>
      </c>
      <c r="Y33">
        <v>156829.5411</v>
      </c>
      <c r="Z33" t="s">
        <v>1689</v>
      </c>
      <c r="AA33">
        <v>2.2400000000000002</v>
      </c>
      <c r="AB33">
        <v>78.841200000000001</v>
      </c>
      <c r="AC33">
        <v>0.1244</v>
      </c>
      <c r="AD33" t="s">
        <v>10</v>
      </c>
      <c r="AE33">
        <v>345.83333329999999</v>
      </c>
      <c r="AF33">
        <v>1.5</v>
      </c>
      <c r="AG33" s="10">
        <v>0.27083299999999999</v>
      </c>
      <c r="AH33">
        <v>174583.3333</v>
      </c>
    </row>
    <row r="34" spans="1:34">
      <c r="A34" s="2">
        <v>275</v>
      </c>
      <c r="B34" s="3" t="s">
        <v>138</v>
      </c>
      <c r="C34" s="2" t="s">
        <v>6</v>
      </c>
      <c r="D34" s="2">
        <v>275</v>
      </c>
      <c r="E34" s="2" t="s">
        <v>765</v>
      </c>
      <c r="F34" t="s">
        <v>766</v>
      </c>
      <c r="G34" s="4">
        <v>44835</v>
      </c>
      <c r="H34" s="5">
        <v>0.35047453703703701</v>
      </c>
      <c r="I34" t="s">
        <v>9</v>
      </c>
      <c r="J34">
        <v>1.403</v>
      </c>
      <c r="K34">
        <v>0.50319999999999998</v>
      </c>
      <c r="L34">
        <v>2.4944000000000002</v>
      </c>
      <c r="M34" t="s">
        <v>10</v>
      </c>
      <c r="N34" t="s">
        <v>11</v>
      </c>
      <c r="O34">
        <v>1.9259999999999999</v>
      </c>
      <c r="P34">
        <v>140.21950000000001</v>
      </c>
      <c r="Q34">
        <v>308.65519999999998</v>
      </c>
      <c r="R34" t="s">
        <v>10</v>
      </c>
      <c r="S34" t="s">
        <v>767</v>
      </c>
      <c r="T34" s="4">
        <v>44835</v>
      </c>
      <c r="U34" s="5">
        <v>0.35047453703703701</v>
      </c>
      <c r="V34" t="s">
        <v>13</v>
      </c>
      <c r="W34">
        <v>1.163</v>
      </c>
      <c r="X34">
        <v>3609.48</v>
      </c>
      <c r="Y34">
        <v>187356.04759999999</v>
      </c>
      <c r="Z34" t="s">
        <v>1689</v>
      </c>
      <c r="AA34">
        <v>2.23</v>
      </c>
      <c r="AB34">
        <v>90.102199999999996</v>
      </c>
      <c r="AC34">
        <v>0.17050000000000001</v>
      </c>
      <c r="AD34" t="s">
        <v>10</v>
      </c>
      <c r="AE34">
        <v>415</v>
      </c>
      <c r="AF34">
        <v>1.8</v>
      </c>
      <c r="AG34">
        <v>0.32500000000000001</v>
      </c>
      <c r="AH34">
        <v>209500</v>
      </c>
    </row>
    <row r="35" spans="1:34">
      <c r="A35" s="2">
        <v>279</v>
      </c>
      <c r="B35" s="3" t="s">
        <v>151</v>
      </c>
      <c r="C35" s="2" t="s">
        <v>6</v>
      </c>
      <c r="D35" s="2">
        <v>279</v>
      </c>
      <c r="E35" s="2" t="s">
        <v>777</v>
      </c>
      <c r="F35" t="s">
        <v>778</v>
      </c>
      <c r="G35" s="4">
        <v>44835</v>
      </c>
      <c r="H35" s="5">
        <v>0.36549768518518522</v>
      </c>
      <c r="I35" t="s">
        <v>9</v>
      </c>
      <c r="J35">
        <v>0</v>
      </c>
      <c r="K35">
        <v>0</v>
      </c>
      <c r="L35">
        <v>0</v>
      </c>
      <c r="M35" t="s">
        <v>10</v>
      </c>
      <c r="N35" t="s">
        <v>11</v>
      </c>
      <c r="O35">
        <v>1.923</v>
      </c>
      <c r="P35">
        <v>17.921199999999999</v>
      </c>
      <c r="Q35">
        <v>0</v>
      </c>
      <c r="R35" t="s">
        <v>10</v>
      </c>
      <c r="S35" t="s">
        <v>779</v>
      </c>
      <c r="T35" s="4">
        <v>44835</v>
      </c>
      <c r="U35" s="5">
        <v>0.36549768518518522</v>
      </c>
      <c r="V35" t="s">
        <v>13</v>
      </c>
      <c r="W35">
        <v>1.153</v>
      </c>
      <c r="X35">
        <v>836.04700000000003</v>
      </c>
      <c r="Y35">
        <v>0</v>
      </c>
      <c r="Z35" t="s">
        <v>1689</v>
      </c>
      <c r="AA35">
        <v>2.2360000000000002</v>
      </c>
      <c r="AB35">
        <v>6.3548999999999998</v>
      </c>
      <c r="AC35">
        <v>0</v>
      </c>
      <c r="AD35" t="s">
        <v>10</v>
      </c>
      <c r="AE35">
        <v>0</v>
      </c>
      <c r="AF35">
        <v>0</v>
      </c>
      <c r="AG35">
        <v>0</v>
      </c>
      <c r="AH35">
        <v>0</v>
      </c>
    </row>
    <row r="36" spans="1:34">
      <c r="A36" s="2">
        <v>281</v>
      </c>
      <c r="B36" s="3" t="s">
        <v>158</v>
      </c>
      <c r="C36" s="2" t="s">
        <v>6</v>
      </c>
      <c r="D36" s="2">
        <v>281</v>
      </c>
      <c r="E36" s="2" t="s">
        <v>783</v>
      </c>
      <c r="F36" t="s">
        <v>784</v>
      </c>
      <c r="G36" s="4">
        <v>44835</v>
      </c>
      <c r="H36" s="5">
        <v>0.37300925925925926</v>
      </c>
      <c r="I36" t="s">
        <v>9</v>
      </c>
      <c r="J36">
        <v>0</v>
      </c>
      <c r="K36">
        <v>0</v>
      </c>
      <c r="L36">
        <v>0</v>
      </c>
      <c r="M36" t="s">
        <v>10</v>
      </c>
      <c r="N36" t="s">
        <v>11</v>
      </c>
      <c r="O36">
        <v>1.923</v>
      </c>
      <c r="P36">
        <v>20.567</v>
      </c>
      <c r="Q36">
        <v>0</v>
      </c>
      <c r="R36" t="s">
        <v>10</v>
      </c>
      <c r="S36" t="s">
        <v>785</v>
      </c>
      <c r="T36" s="4">
        <v>44835</v>
      </c>
      <c r="U36" s="5">
        <v>0.37300925925925926</v>
      </c>
      <c r="V36" t="s">
        <v>13</v>
      </c>
      <c r="W36">
        <v>1.1559999999999999</v>
      </c>
      <c r="X36">
        <v>1639.7929999999999</v>
      </c>
      <c r="Y36">
        <v>31236.651399999999</v>
      </c>
      <c r="Z36" t="s">
        <v>1689</v>
      </c>
      <c r="AA36">
        <v>2.23</v>
      </c>
      <c r="AB36">
        <v>6.9696999999999996</v>
      </c>
      <c r="AC36">
        <v>0</v>
      </c>
      <c r="AD36" t="s">
        <v>10</v>
      </c>
      <c r="AE36">
        <v>0</v>
      </c>
      <c r="AF36">
        <v>0</v>
      </c>
      <c r="AG36">
        <v>0</v>
      </c>
      <c r="AH36">
        <v>27777.77778</v>
      </c>
    </row>
    <row r="37" spans="1:34">
      <c r="A37" s="2">
        <v>283</v>
      </c>
      <c r="B37" s="3" t="s">
        <v>165</v>
      </c>
      <c r="C37" s="2" t="s">
        <v>6</v>
      </c>
      <c r="D37" s="2">
        <v>283</v>
      </c>
      <c r="E37" s="2" t="s">
        <v>789</v>
      </c>
      <c r="F37" t="s">
        <v>790</v>
      </c>
      <c r="G37" s="4">
        <v>44835</v>
      </c>
      <c r="H37" s="5">
        <v>0.38052083333333336</v>
      </c>
      <c r="I37" t="s">
        <v>9</v>
      </c>
      <c r="J37">
        <v>0</v>
      </c>
      <c r="K37">
        <v>0</v>
      </c>
      <c r="L37">
        <v>0</v>
      </c>
      <c r="M37" t="s">
        <v>10</v>
      </c>
      <c r="N37" t="s">
        <v>11</v>
      </c>
      <c r="O37">
        <v>1.923</v>
      </c>
      <c r="P37">
        <v>10.5108</v>
      </c>
      <c r="Q37">
        <v>0</v>
      </c>
      <c r="R37" t="s">
        <v>10</v>
      </c>
      <c r="S37" t="s">
        <v>791</v>
      </c>
      <c r="T37" s="4">
        <v>44835</v>
      </c>
      <c r="U37" s="5">
        <v>0.38052083333333336</v>
      </c>
      <c r="V37" t="s">
        <v>13</v>
      </c>
      <c r="W37">
        <v>1.1559999999999999</v>
      </c>
      <c r="X37">
        <v>2026.193</v>
      </c>
      <c r="Y37">
        <v>51009.0098</v>
      </c>
      <c r="Z37" t="s">
        <v>1689</v>
      </c>
      <c r="AA37">
        <v>2.23</v>
      </c>
      <c r="AB37">
        <v>6.2000999999999999</v>
      </c>
      <c r="AC37">
        <v>0</v>
      </c>
      <c r="AD37" t="s">
        <v>10</v>
      </c>
      <c r="AE37">
        <v>0</v>
      </c>
      <c r="AF37">
        <v>0</v>
      </c>
      <c r="AG37">
        <v>0</v>
      </c>
      <c r="AH37">
        <v>55555.555560000001</v>
      </c>
    </row>
    <row r="38" spans="1:34">
      <c r="A38" s="2">
        <v>285</v>
      </c>
      <c r="B38" s="3" t="s">
        <v>172</v>
      </c>
      <c r="C38" s="2" t="s">
        <v>6</v>
      </c>
      <c r="D38" s="2">
        <v>285</v>
      </c>
      <c r="E38" s="2" t="s">
        <v>795</v>
      </c>
      <c r="F38" t="s">
        <v>796</v>
      </c>
      <c r="G38" s="4">
        <v>44835</v>
      </c>
      <c r="H38" s="5">
        <v>0.38803240740740735</v>
      </c>
      <c r="I38" t="s">
        <v>9</v>
      </c>
      <c r="J38">
        <v>0</v>
      </c>
      <c r="K38">
        <v>0</v>
      </c>
      <c r="L38">
        <v>0</v>
      </c>
      <c r="M38" t="s">
        <v>10</v>
      </c>
      <c r="N38" t="s">
        <v>11</v>
      </c>
      <c r="O38">
        <v>1.9259999999999999</v>
      </c>
      <c r="P38">
        <v>11.102600000000001</v>
      </c>
      <c r="Q38">
        <v>0</v>
      </c>
      <c r="R38" t="s">
        <v>10</v>
      </c>
      <c r="S38" t="s">
        <v>797</v>
      </c>
      <c r="T38" s="4">
        <v>44835</v>
      </c>
      <c r="U38" s="5">
        <v>0.38803240740740735</v>
      </c>
      <c r="V38" t="s">
        <v>13</v>
      </c>
      <c r="W38">
        <v>1.1599999999999999</v>
      </c>
      <c r="X38">
        <v>2753.8782000000001</v>
      </c>
      <c r="Y38">
        <v>96041.597099999999</v>
      </c>
      <c r="Z38" t="s">
        <v>1689</v>
      </c>
      <c r="AA38">
        <v>2.23</v>
      </c>
      <c r="AB38">
        <v>6.3875999999999999</v>
      </c>
      <c r="AC38">
        <v>0</v>
      </c>
      <c r="AD38" t="s">
        <v>10</v>
      </c>
      <c r="AE38">
        <v>0</v>
      </c>
      <c r="AF38">
        <v>0</v>
      </c>
      <c r="AG38">
        <v>0</v>
      </c>
      <c r="AH38">
        <v>111111.11109999999</v>
      </c>
    </row>
    <row r="39" spans="1:34">
      <c r="A39" s="2">
        <v>287</v>
      </c>
      <c r="B39" s="3" t="s">
        <v>179</v>
      </c>
      <c r="C39" s="2" t="s">
        <v>6</v>
      </c>
      <c r="D39" s="2">
        <v>287</v>
      </c>
      <c r="E39" s="2" t="s">
        <v>801</v>
      </c>
      <c r="F39" t="s">
        <v>802</v>
      </c>
      <c r="G39" s="4">
        <v>44835</v>
      </c>
      <c r="H39" s="5">
        <v>0.39553240740740742</v>
      </c>
      <c r="I39" t="s">
        <v>9</v>
      </c>
      <c r="J39">
        <v>0</v>
      </c>
      <c r="K39">
        <v>0</v>
      </c>
      <c r="L39">
        <v>0</v>
      </c>
      <c r="M39" t="s">
        <v>10</v>
      </c>
      <c r="N39" t="s">
        <v>11</v>
      </c>
      <c r="O39">
        <v>1.923</v>
      </c>
      <c r="P39">
        <v>13.2797</v>
      </c>
      <c r="Q39">
        <v>0</v>
      </c>
      <c r="R39" t="s">
        <v>10</v>
      </c>
      <c r="S39" t="s">
        <v>803</v>
      </c>
      <c r="T39" s="4">
        <v>44835</v>
      </c>
      <c r="U39" s="5">
        <v>0.39553240740740742</v>
      </c>
      <c r="V39" t="s">
        <v>13</v>
      </c>
      <c r="W39">
        <v>1.1599999999999999</v>
      </c>
      <c r="X39">
        <v>3394.9783000000002</v>
      </c>
      <c r="Y39">
        <v>156120.0068</v>
      </c>
      <c r="Z39" t="s">
        <v>1689</v>
      </c>
      <c r="AA39">
        <v>2.2160000000000002</v>
      </c>
      <c r="AB39">
        <v>6.2514000000000003</v>
      </c>
      <c r="AC39">
        <v>0</v>
      </c>
      <c r="AD39" t="s">
        <v>10</v>
      </c>
      <c r="AE39">
        <v>0</v>
      </c>
      <c r="AF39">
        <v>0</v>
      </c>
      <c r="AG39">
        <v>0</v>
      </c>
      <c r="AH39">
        <v>166666.6667</v>
      </c>
    </row>
    <row r="40" spans="1:34">
      <c r="A40" s="2">
        <v>249</v>
      </c>
      <c r="B40" s="3" t="s">
        <v>48</v>
      </c>
      <c r="C40" s="2" t="s">
        <v>6</v>
      </c>
      <c r="D40" s="2">
        <v>249</v>
      </c>
      <c r="E40" s="2" t="s">
        <v>687</v>
      </c>
      <c r="F40" t="s">
        <v>688</v>
      </c>
      <c r="G40" s="4">
        <v>44835</v>
      </c>
      <c r="H40" s="5">
        <v>0.25288194444444445</v>
      </c>
      <c r="I40" t="s">
        <v>9</v>
      </c>
      <c r="J40">
        <v>1.403</v>
      </c>
      <c r="K40">
        <v>0.24460000000000001</v>
      </c>
      <c r="L40">
        <v>1.3758999999999999</v>
      </c>
      <c r="M40" t="s">
        <v>10</v>
      </c>
      <c r="N40" t="s">
        <v>11</v>
      </c>
      <c r="O40">
        <v>1.9259999999999999</v>
      </c>
      <c r="P40">
        <v>90.235799999999998</v>
      </c>
      <c r="Q40">
        <v>123.9281</v>
      </c>
      <c r="R40" t="s">
        <v>10</v>
      </c>
      <c r="S40" t="s">
        <v>689</v>
      </c>
      <c r="T40" s="4">
        <v>44835</v>
      </c>
      <c r="U40" s="5">
        <v>0.25288194444444445</v>
      </c>
      <c r="V40" t="s">
        <v>13</v>
      </c>
      <c r="W40">
        <v>1.1599999999999999</v>
      </c>
      <c r="X40">
        <v>3402.5841999999998</v>
      </c>
      <c r="Y40">
        <v>157137.26319999999</v>
      </c>
      <c r="Z40" t="s">
        <v>1689</v>
      </c>
      <c r="AA40">
        <v>2.226</v>
      </c>
      <c r="AB40">
        <v>64.072800000000001</v>
      </c>
      <c r="AC40">
        <v>6.3899999999999998E-2</v>
      </c>
      <c r="AD40" t="s">
        <v>10</v>
      </c>
      <c r="AE40">
        <v>152.4</v>
      </c>
      <c r="AF40">
        <v>0.97629999999999995</v>
      </c>
      <c r="AG40">
        <v>0.22800000000000001</v>
      </c>
      <c r="AH40">
        <v>180100</v>
      </c>
    </row>
    <row r="41" spans="1:34">
      <c r="A41" s="2">
        <v>251</v>
      </c>
      <c r="B41" s="3" t="s">
        <v>55</v>
      </c>
      <c r="C41" s="2" t="s">
        <v>6</v>
      </c>
      <c r="D41" s="2">
        <v>251</v>
      </c>
      <c r="E41" s="2" t="s">
        <v>693</v>
      </c>
      <c r="F41" t="s">
        <v>694</v>
      </c>
      <c r="G41" s="4">
        <v>44835</v>
      </c>
      <c r="H41" s="5">
        <v>0.26038194444444446</v>
      </c>
      <c r="I41" t="s">
        <v>9</v>
      </c>
      <c r="J41">
        <v>1.403</v>
      </c>
      <c r="K41">
        <v>0.6472</v>
      </c>
      <c r="L41">
        <v>3.1172</v>
      </c>
      <c r="M41" t="s">
        <v>10</v>
      </c>
      <c r="N41" t="s">
        <v>11</v>
      </c>
      <c r="O41">
        <v>1.9259999999999999</v>
      </c>
      <c r="P41">
        <v>164.1139</v>
      </c>
      <c r="Q41">
        <v>396.96280000000002</v>
      </c>
      <c r="R41" t="s">
        <v>10</v>
      </c>
      <c r="S41" t="s">
        <v>695</v>
      </c>
      <c r="T41" s="4">
        <v>44835</v>
      </c>
      <c r="U41" s="5">
        <v>0.26038194444444446</v>
      </c>
      <c r="V41" t="s">
        <v>13</v>
      </c>
      <c r="W41">
        <v>1.163</v>
      </c>
      <c r="X41">
        <v>3833.5668999999998</v>
      </c>
      <c r="Y41">
        <v>220404.1042</v>
      </c>
      <c r="Z41" t="s">
        <v>1689</v>
      </c>
      <c r="AA41">
        <v>2.226</v>
      </c>
      <c r="AB41">
        <v>105.3364</v>
      </c>
      <c r="AC41">
        <v>0.23300000000000001</v>
      </c>
      <c r="AD41" t="s">
        <v>10</v>
      </c>
      <c r="AE41">
        <v>426.2</v>
      </c>
      <c r="AF41">
        <v>3.008</v>
      </c>
      <c r="AG41">
        <v>0.379</v>
      </c>
      <c r="AH41">
        <v>240100</v>
      </c>
    </row>
    <row r="42" spans="1:34">
      <c r="A42" s="2">
        <v>253</v>
      </c>
      <c r="B42" s="3" t="s">
        <v>62</v>
      </c>
      <c r="C42" s="2" t="s">
        <v>6</v>
      </c>
      <c r="D42" s="2">
        <v>253</v>
      </c>
      <c r="E42" s="2" t="s">
        <v>699</v>
      </c>
      <c r="F42" t="s">
        <v>700</v>
      </c>
      <c r="G42" s="4">
        <v>44835</v>
      </c>
      <c r="H42" s="5">
        <v>0.26788194444444441</v>
      </c>
      <c r="I42" t="s">
        <v>9</v>
      </c>
      <c r="J42">
        <v>1.4059999999999999</v>
      </c>
      <c r="K42">
        <v>4.7290999999999999</v>
      </c>
      <c r="L42">
        <v>20.772300000000001</v>
      </c>
      <c r="M42" t="s">
        <v>10</v>
      </c>
      <c r="N42" t="s">
        <v>11</v>
      </c>
      <c r="O42">
        <v>1.93</v>
      </c>
      <c r="P42">
        <v>603.43399999999997</v>
      </c>
      <c r="Q42">
        <v>2020.5785000000001</v>
      </c>
      <c r="R42" t="s">
        <v>10</v>
      </c>
      <c r="S42" t="s">
        <v>701</v>
      </c>
      <c r="T42" s="4">
        <v>44835</v>
      </c>
      <c r="U42" s="5">
        <v>0.26788194444444441</v>
      </c>
      <c r="V42" t="s">
        <v>13</v>
      </c>
      <c r="W42">
        <v>1.1599999999999999</v>
      </c>
      <c r="X42">
        <v>3536.6862000000001</v>
      </c>
      <c r="Y42">
        <v>176620.50880000001</v>
      </c>
      <c r="Z42" t="s">
        <v>1689</v>
      </c>
      <c r="AA42">
        <v>2.23</v>
      </c>
      <c r="AB42">
        <v>154.37979999999999</v>
      </c>
      <c r="AC42">
        <v>0.434</v>
      </c>
      <c r="AD42" t="s">
        <v>10</v>
      </c>
      <c r="AE42">
        <v>2013</v>
      </c>
      <c r="AF42">
        <v>20.64</v>
      </c>
      <c r="AG42">
        <v>0.495</v>
      </c>
      <c r="AH42">
        <v>200500</v>
      </c>
    </row>
    <row r="43" spans="1:34">
      <c r="A43" s="2">
        <v>255</v>
      </c>
      <c r="B43" s="3" t="s">
        <v>69</v>
      </c>
      <c r="C43" s="2" t="s">
        <v>6</v>
      </c>
      <c r="D43" s="2">
        <v>255</v>
      </c>
      <c r="E43" s="2" t="s">
        <v>705</v>
      </c>
      <c r="F43" t="s">
        <v>706</v>
      </c>
      <c r="G43" s="4">
        <v>44835</v>
      </c>
      <c r="H43" s="5">
        <v>0.2754050925925926</v>
      </c>
      <c r="I43" t="s">
        <v>9</v>
      </c>
      <c r="J43">
        <v>1.4159999999999999</v>
      </c>
      <c r="K43">
        <v>45.567399999999999</v>
      </c>
      <c r="L43">
        <v>197.40700000000001</v>
      </c>
      <c r="M43" t="s">
        <v>10</v>
      </c>
      <c r="N43" t="s">
        <v>11</v>
      </c>
      <c r="O43">
        <v>1.946</v>
      </c>
      <c r="P43">
        <v>1410.9899</v>
      </c>
      <c r="Q43">
        <v>5005.1004000000003</v>
      </c>
      <c r="R43" t="s">
        <v>10</v>
      </c>
      <c r="S43" t="s">
        <v>707</v>
      </c>
      <c r="T43" s="4">
        <v>44835</v>
      </c>
      <c r="U43" s="5">
        <v>0.2754050925925926</v>
      </c>
      <c r="V43" t="s">
        <v>13</v>
      </c>
      <c r="W43">
        <v>1.17</v>
      </c>
      <c r="X43">
        <v>3656.2936</v>
      </c>
      <c r="Y43">
        <v>194260.05900000001</v>
      </c>
      <c r="Z43" t="s">
        <v>1689</v>
      </c>
      <c r="AA43">
        <v>2.2429999999999999</v>
      </c>
      <c r="AB43">
        <v>677.49480000000005</v>
      </c>
      <c r="AC43">
        <v>2.5781999999999998</v>
      </c>
      <c r="AD43" t="s">
        <v>10</v>
      </c>
      <c r="AE43">
        <v>4967</v>
      </c>
      <c r="AF43">
        <v>201.4</v>
      </c>
      <c r="AG43">
        <v>2.4900000000000002</v>
      </c>
      <c r="AH43">
        <v>200700</v>
      </c>
    </row>
    <row r="44" spans="1:34">
      <c r="A44" s="2">
        <v>257</v>
      </c>
      <c r="B44" s="3" t="s">
        <v>76</v>
      </c>
      <c r="C44" s="2" t="s">
        <v>6</v>
      </c>
      <c r="D44" s="2">
        <v>257</v>
      </c>
      <c r="E44" s="2" t="s">
        <v>711</v>
      </c>
      <c r="F44" t="s">
        <v>712</v>
      </c>
      <c r="G44" s="4">
        <v>44835</v>
      </c>
      <c r="H44" s="5">
        <v>0.28290509259259261</v>
      </c>
      <c r="I44" t="s">
        <v>9</v>
      </c>
      <c r="J44">
        <v>1.4159999999999999</v>
      </c>
      <c r="K44">
        <v>1163.9217000000001</v>
      </c>
      <c r="L44">
        <v>5034.5361999999996</v>
      </c>
      <c r="M44" t="s">
        <v>10</v>
      </c>
      <c r="N44" t="s">
        <v>11</v>
      </c>
      <c r="O44">
        <v>1.95</v>
      </c>
      <c r="P44">
        <v>2625.9418999999998</v>
      </c>
      <c r="Q44">
        <v>9495.2548999999999</v>
      </c>
      <c r="R44" t="s">
        <v>10</v>
      </c>
      <c r="S44" t="s">
        <v>713</v>
      </c>
      <c r="T44" s="4">
        <v>44835</v>
      </c>
      <c r="U44" s="5">
        <v>0.28290509259259261</v>
      </c>
      <c r="V44" t="s">
        <v>13</v>
      </c>
      <c r="W44">
        <v>1.17</v>
      </c>
      <c r="X44">
        <v>3693.2806</v>
      </c>
      <c r="Y44">
        <v>199714.85560000001</v>
      </c>
      <c r="Z44" t="s">
        <v>1689</v>
      </c>
      <c r="AA44">
        <v>2.2429999999999999</v>
      </c>
      <c r="AB44">
        <v>1283.2793999999999</v>
      </c>
      <c r="AC44">
        <v>5.0612000000000004</v>
      </c>
      <c r="AD44" t="s">
        <v>10</v>
      </c>
      <c r="AE44">
        <v>10080</v>
      </c>
      <c r="AF44">
        <v>5029</v>
      </c>
      <c r="AG44">
        <v>5</v>
      </c>
      <c r="AH44">
        <v>202000</v>
      </c>
    </row>
    <row r="45" spans="1:34">
      <c r="A45" s="2">
        <v>259</v>
      </c>
      <c r="B45" s="3" t="s">
        <v>83</v>
      </c>
      <c r="C45" s="2" t="s">
        <v>6</v>
      </c>
      <c r="D45" s="2">
        <v>259</v>
      </c>
      <c r="E45" s="2" t="s">
        <v>717</v>
      </c>
      <c r="F45" t="s">
        <v>718</v>
      </c>
      <c r="G45" s="4">
        <v>44835</v>
      </c>
      <c r="H45" s="5">
        <v>0.29041666666666666</v>
      </c>
      <c r="I45" t="s">
        <v>9</v>
      </c>
      <c r="J45">
        <v>1.3859999999999999</v>
      </c>
      <c r="K45">
        <v>9883.4383999999991</v>
      </c>
      <c r="L45">
        <v>42748.370300000002</v>
      </c>
      <c r="M45" t="s">
        <v>10</v>
      </c>
      <c r="N45" t="s">
        <v>11</v>
      </c>
      <c r="O45">
        <v>1.93</v>
      </c>
      <c r="P45">
        <v>11760.714400000001</v>
      </c>
      <c r="Q45">
        <v>43255.057999999997</v>
      </c>
      <c r="R45" t="s">
        <v>10</v>
      </c>
      <c r="S45" t="s">
        <v>719</v>
      </c>
      <c r="T45" s="4">
        <v>44835</v>
      </c>
      <c r="U45" s="5">
        <v>0.29041666666666666</v>
      </c>
      <c r="V45" t="s">
        <v>13</v>
      </c>
      <c r="W45">
        <v>1.1559999999999999</v>
      </c>
      <c r="X45">
        <v>1177.0642</v>
      </c>
      <c r="Y45">
        <v>9906.6339000000007</v>
      </c>
      <c r="Z45" t="s">
        <v>1689</v>
      </c>
      <c r="AA45">
        <v>2.2330000000000001</v>
      </c>
      <c r="AB45">
        <v>4851.2574999999997</v>
      </c>
      <c r="AC45">
        <v>19.686</v>
      </c>
      <c r="AD45" t="s">
        <v>10</v>
      </c>
      <c r="AE45">
        <v>49990</v>
      </c>
      <c r="AF45">
        <v>60340</v>
      </c>
      <c r="AG45">
        <v>20</v>
      </c>
      <c r="AH45">
        <v>0</v>
      </c>
    </row>
  </sheetData>
  <sortState ref="A2:AE47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DB6D-1244-714D-849B-6B36B1BF3EF4}">
  <dimension ref="A1:F9"/>
  <sheetViews>
    <sheetView workbookViewId="0">
      <selection activeCell="D1" sqref="D1:E1"/>
    </sheetView>
  </sheetViews>
  <sheetFormatPr baseColWidth="10" defaultRowHeight="16"/>
  <sheetData>
    <row r="1" spans="1:6">
      <c r="A1" t="s">
        <v>1707</v>
      </c>
      <c r="B1" t="s">
        <v>1706</v>
      </c>
      <c r="C1" t="s">
        <v>1711</v>
      </c>
      <c r="D1" t="s">
        <v>1708</v>
      </c>
      <c r="E1" t="s">
        <v>1710</v>
      </c>
      <c r="F1" t="s">
        <v>1709</v>
      </c>
    </row>
    <row r="2" spans="1:6">
      <c r="A2">
        <v>1</v>
      </c>
      <c r="B2">
        <v>1</v>
      </c>
      <c r="C2" t="s">
        <v>9</v>
      </c>
      <c r="D2">
        <f>SLOPE('Run 1 Curves 1'!AF37:AF55,'Run 1 Curves 1'!K37:K55)</f>
        <v>6.0888724260336362</v>
      </c>
      <c r="E2">
        <f>INTERCEPT('Run 1 Curves 1'!AF37:AF55,'Run 1 Curves 1'!K37:K55)</f>
        <v>-108.77105542564095</v>
      </c>
      <c r="F2">
        <f>RSQ('Run 1 Curves 1'!AF37:AF55,'Run 1 Curves 1'!K37:K55)</f>
        <v>0.99878911641322932</v>
      </c>
    </row>
    <row r="3" spans="1:6">
      <c r="A3">
        <v>1</v>
      </c>
      <c r="B3">
        <v>1</v>
      </c>
      <c r="C3" t="s">
        <v>11</v>
      </c>
      <c r="D3">
        <f>SLOPE('Run 1 Curves 1'!AE37:AE55,'Run 1 Curves 1'!P37:P55)</f>
        <v>4.1729239613671121</v>
      </c>
      <c r="E3">
        <f>INTERCEPT('Run 1 Curves 1'!AE37:AE55,'Run 1 Curves 1'!P37:P55)</f>
        <v>-211.72568138278712</v>
      </c>
      <c r="F3">
        <f>RSQ('Run 1 Curves 1'!AE37:AE55,'Run 1 Curves 1'!P37:P55)</f>
        <v>0.99945152280877869</v>
      </c>
    </row>
    <row r="4" spans="1:6">
      <c r="A4">
        <v>1</v>
      </c>
      <c r="B4">
        <v>1</v>
      </c>
      <c r="C4" t="s">
        <v>13</v>
      </c>
      <c r="D4">
        <f>SLOPE('Run 1 Curves 1'!AH37:AH55,'Run 1 Curves 1'!X37:X55)</f>
        <v>78.198437070709915</v>
      </c>
      <c r="E4">
        <f>INTERCEPT('Run 1 Curves 1'!AH37:AH55,'Run 1 Curves 1'!X37:X55)</f>
        <v>-91237.370412103919</v>
      </c>
      <c r="F4">
        <f>RSQ('Run 1 Curves 1'!AH37:AH55,'Run 1 Curves 1'!X37:X55)</f>
        <v>0.9774264189532933</v>
      </c>
    </row>
    <row r="5" spans="1:6">
      <c r="A5">
        <v>1</v>
      </c>
      <c r="B5">
        <v>1</v>
      </c>
      <c r="C5" t="s">
        <v>1689</v>
      </c>
      <c r="D5">
        <f>SLOPE('Run 1 Curves 1'!AG37:AG55,'Run 1 Curves 1'!AB37:AB55)</f>
        <v>4.1355073411129661E-3</v>
      </c>
      <c r="E5">
        <f>INTERCEPT('Run 1 Curves 1'!AG37:AG55,'Run 1 Curves 1'!AB37:AB55)</f>
        <v>-5.1146456478275315E-2</v>
      </c>
      <c r="F5">
        <f>RSQ('Run 1 Curves 1'!AG37:AG55,'Run 1 Curves 1'!AB37:AB55)</f>
        <v>0.99979634525699301</v>
      </c>
    </row>
    <row r="6" spans="1:6">
      <c r="A6">
        <v>1</v>
      </c>
      <c r="B6">
        <v>2</v>
      </c>
      <c r="C6" t="s">
        <v>9</v>
      </c>
      <c r="D6">
        <f>SLOPE('Run 1 Curves 2'!AF37:AF55,'Run 1 Curves 2'!K37:K55)</f>
        <v>6.1080559760714817</v>
      </c>
      <c r="E6">
        <f>INTERCEPT('Run 1 Curves 2'!AF37:AF55,'Run 1 Curves 2'!K37:K55)</f>
        <v>-243.94784225984222</v>
      </c>
      <c r="F6">
        <f>RSQ('Run 1 Curves 2'!AF37:AF55,'Run 1 Curves 2'!K37:K55)</f>
        <v>0.99880845291122988</v>
      </c>
    </row>
    <row r="7" spans="1:6">
      <c r="A7">
        <v>1</v>
      </c>
      <c r="B7">
        <v>2</v>
      </c>
      <c r="C7" t="s">
        <v>11</v>
      </c>
      <c r="D7">
        <f>SLOPE('Run 1 Curves 2'!AE37:AE55,'Run 1 Curves 2'!P37:P55)</f>
        <v>4.2630469238591555</v>
      </c>
      <c r="E7">
        <f>INTERCEPT('Run 1 Curves 2'!AE37:AE55,'Run 1 Curves 2'!P37:P55)</f>
        <v>-391.44779148507951</v>
      </c>
      <c r="F7">
        <f>RSQ('Run 1 Curves 2'!AE37:AE55,'Run 1 Curves 2'!P37:P55)</f>
        <v>0.99932484953914424</v>
      </c>
    </row>
    <row r="8" spans="1:6">
      <c r="A8">
        <v>1</v>
      </c>
      <c r="B8">
        <v>2</v>
      </c>
      <c r="C8" t="s">
        <v>13</v>
      </c>
      <c r="D8">
        <f>SLOPE('Run 1 Curves 2'!AH37:AH55,'Run 1 Curves 2'!X37:X55)</f>
        <v>86.64480359394247</v>
      </c>
      <c r="E8">
        <f>INTERCEPT('Run 1 Curves 2'!AH37:AH55,'Run 1 Curves 2'!X37:X55)</f>
        <v>-113754.61182564704</v>
      </c>
      <c r="F8">
        <f>RSQ('Run 1 Curves 2'!AH37:AH55,'Run 1 Curves 2'!X37:X55)</f>
        <v>0.97779529497903883</v>
      </c>
    </row>
    <row r="9" spans="1:6">
      <c r="A9">
        <v>1</v>
      </c>
      <c r="B9">
        <v>2</v>
      </c>
      <c r="C9" t="s">
        <v>1689</v>
      </c>
      <c r="D9">
        <f>SLOPE('Run 1 Curves 2'!AG37:AG55,'Run 1 Curves 2'!AB37:AB55)</f>
        <v>4.1281517830180844E-3</v>
      </c>
      <c r="E9">
        <f>INTERCEPT('Run 1 Curves 2'!AG37:AG55,'Run 1 Curves 2'!AB37:AB55)</f>
        <v>-0.10483573447309036</v>
      </c>
      <c r="F9">
        <f>INTERCEPT('Run 1 Curves 2'!AG37:AG55,'Run 1 Curves 2'!AB37:AB55)</f>
        <v>-0.10483573447309036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6E5A-C2D2-C345-832C-B7774834D71E}">
  <dimension ref="A1:AL291"/>
  <sheetViews>
    <sheetView topLeftCell="A240" workbookViewId="0">
      <selection activeCell="B24" sqref="B24:L24"/>
    </sheetView>
  </sheetViews>
  <sheetFormatPr baseColWidth="10" defaultRowHeight="16"/>
  <cols>
    <col min="31" max="31" width="18" bestFit="1" customWidth="1"/>
    <col min="32" max="32" width="17.83203125" bestFit="1" customWidth="1"/>
    <col min="33" max="33" width="18.33203125" bestFit="1" customWidth="1"/>
    <col min="34" max="34" width="17" bestFit="1" customWidth="1"/>
    <col min="35" max="35" width="18" bestFit="1" customWidth="1"/>
    <col min="36" max="36" width="17.83203125" bestFit="1" customWidth="1"/>
    <col min="37" max="37" width="18.33203125" bestFit="1" customWidth="1"/>
    <col min="38" max="38" width="17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1670</v>
      </c>
      <c r="G1" s="1" t="s">
        <v>1671</v>
      </c>
      <c r="H1" s="1" t="s">
        <v>1672</v>
      </c>
      <c r="I1" s="1" t="s">
        <v>1673</v>
      </c>
      <c r="J1" s="1" t="s">
        <v>1678</v>
      </c>
      <c r="K1" s="1" t="s">
        <v>1674</v>
      </c>
      <c r="L1" s="1" t="s">
        <v>1675</v>
      </c>
      <c r="M1" s="1" t="s">
        <v>1676</v>
      </c>
      <c r="N1" s="1" t="s">
        <v>1677</v>
      </c>
      <c r="O1" s="1" t="s">
        <v>1678</v>
      </c>
      <c r="P1" s="1" t="s">
        <v>1679</v>
      </c>
      <c r="Q1" s="1" t="s">
        <v>1680</v>
      </c>
      <c r="R1" s="1" t="s">
        <v>1681</v>
      </c>
      <c r="S1" s="1" t="s">
        <v>1682</v>
      </c>
      <c r="T1" s="1" t="s">
        <v>1683</v>
      </c>
      <c r="U1" s="1" t="s">
        <v>1684</v>
      </c>
      <c r="V1" s="1" t="s">
        <v>1685</v>
      </c>
      <c r="W1" s="1" t="s">
        <v>1686</v>
      </c>
      <c r="X1" s="1" t="s">
        <v>1687</v>
      </c>
      <c r="Y1" s="1" t="s">
        <v>1688</v>
      </c>
      <c r="Z1" s="1" t="s">
        <v>1690</v>
      </c>
      <c r="AA1" s="1" t="s">
        <v>1691</v>
      </c>
      <c r="AB1" s="1" t="s">
        <v>1692</v>
      </c>
      <c r="AC1" s="1" t="s">
        <v>1693</v>
      </c>
      <c r="AD1" s="1" t="s">
        <v>1694</v>
      </c>
      <c r="AE1" t="s">
        <v>1712</v>
      </c>
      <c r="AF1" t="s">
        <v>1713</v>
      </c>
      <c r="AG1" t="s">
        <v>1714</v>
      </c>
      <c r="AH1" t="s">
        <v>1715</v>
      </c>
      <c r="AI1" t="s">
        <v>1716</v>
      </c>
      <c r="AJ1" t="s">
        <v>1717</v>
      </c>
      <c r="AK1" t="s">
        <v>1718</v>
      </c>
      <c r="AL1" t="s">
        <v>1719</v>
      </c>
    </row>
    <row r="2" spans="1:38">
      <c r="A2" s="2">
        <v>1</v>
      </c>
      <c r="B2" s="3" t="s">
        <v>5</v>
      </c>
      <c r="C2" s="2" t="s">
        <v>6</v>
      </c>
      <c r="D2" s="2">
        <v>1</v>
      </c>
      <c r="E2" s="2" t="s">
        <v>7</v>
      </c>
      <c r="F2" t="s">
        <v>8</v>
      </c>
      <c r="G2" s="4">
        <v>44834</v>
      </c>
      <c r="H2" s="5">
        <v>0.32184027777777779</v>
      </c>
      <c r="I2" t="s">
        <v>9</v>
      </c>
      <c r="J2">
        <v>1.4</v>
      </c>
      <c r="K2">
        <v>0.27839999999999998</v>
      </c>
      <c r="L2">
        <v>1.5221</v>
      </c>
      <c r="M2" t="s">
        <v>10</v>
      </c>
      <c r="N2" t="s">
        <v>11</v>
      </c>
      <c r="O2">
        <v>1.913</v>
      </c>
      <c r="P2">
        <v>95.474000000000004</v>
      </c>
      <c r="Q2">
        <v>143.28720000000001</v>
      </c>
      <c r="R2" t="s">
        <v>10</v>
      </c>
      <c r="S2" t="s">
        <v>12</v>
      </c>
      <c r="T2" s="4">
        <v>44834</v>
      </c>
      <c r="U2" s="5">
        <v>0.32184027777777779</v>
      </c>
      <c r="V2" t="s">
        <v>13</v>
      </c>
      <c r="W2">
        <v>1.163</v>
      </c>
      <c r="X2">
        <v>3236.0891999999999</v>
      </c>
      <c r="Y2">
        <v>137445.32459999999</v>
      </c>
      <c r="Z2" t="s">
        <v>1689</v>
      </c>
      <c r="AA2">
        <v>2.2130000000000001</v>
      </c>
      <c r="AB2">
        <v>51.8202</v>
      </c>
      <c r="AC2">
        <v>1.3599999999999999E-2</v>
      </c>
      <c r="AD2" t="s">
        <v>10</v>
      </c>
      <c r="AE2">
        <f>P2*'Run 1 Curve Parameters'!$D$3+'Run 1 Curve Parameters'!$E$3</f>
        <v>186.68006090477655</v>
      </c>
      <c r="AF2">
        <f>K2*'Run 1 Curve Parameters'!$D$2+'Run 1 Curve Parameters'!$E$2</f>
        <v>-107.07591334223319</v>
      </c>
    </row>
    <row r="3" spans="1:38">
      <c r="A3" s="2">
        <v>2</v>
      </c>
      <c r="B3" s="3" t="s">
        <v>5</v>
      </c>
      <c r="C3" s="2" t="s">
        <v>6</v>
      </c>
      <c r="D3" s="2">
        <v>2</v>
      </c>
      <c r="E3" s="2" t="s">
        <v>14</v>
      </c>
      <c r="F3" t="s">
        <v>15</v>
      </c>
      <c r="G3" s="4">
        <v>44834</v>
      </c>
      <c r="H3" s="5">
        <v>0.32559027777777777</v>
      </c>
      <c r="I3" t="s">
        <v>9</v>
      </c>
      <c r="J3">
        <v>1.4059999999999999</v>
      </c>
      <c r="K3">
        <v>0.29039999999999999</v>
      </c>
      <c r="L3">
        <v>1.5740000000000001</v>
      </c>
      <c r="M3" t="s">
        <v>10</v>
      </c>
      <c r="N3" t="s">
        <v>11</v>
      </c>
      <c r="O3">
        <v>1.92</v>
      </c>
      <c r="P3">
        <v>89.7547</v>
      </c>
      <c r="Q3">
        <v>122.15009999999999</v>
      </c>
      <c r="R3" t="s">
        <v>10</v>
      </c>
      <c r="S3" t="s">
        <v>16</v>
      </c>
      <c r="T3" s="4">
        <v>44834</v>
      </c>
      <c r="U3" s="5">
        <v>0.32559027777777777</v>
      </c>
      <c r="V3" t="s">
        <v>13</v>
      </c>
      <c r="W3">
        <v>1.1659999999999999</v>
      </c>
      <c r="X3">
        <v>3113.7458000000001</v>
      </c>
      <c r="Y3">
        <v>125334.5393</v>
      </c>
      <c r="Z3" t="s">
        <v>1689</v>
      </c>
      <c r="AA3">
        <v>2.2160000000000002</v>
      </c>
      <c r="AB3">
        <v>49.396799999999999</v>
      </c>
      <c r="AC3">
        <v>3.7000000000000002E-3</v>
      </c>
      <c r="AD3" t="s">
        <v>10</v>
      </c>
      <c r="AE3">
        <f>P3*'Run 1 Curve Parameters'!$D$3+'Run 1 Curve Parameters'!$E$3</f>
        <v>162.8138568925296</v>
      </c>
      <c r="AF3">
        <f>K3*'Run 1 Curve Parameters'!$D$2+'Run 1 Curve Parameters'!$E$2</f>
        <v>-107.00284687312079</v>
      </c>
    </row>
    <row r="4" spans="1:38">
      <c r="A4" s="2">
        <v>3</v>
      </c>
      <c r="B4" s="3" t="s">
        <v>5</v>
      </c>
      <c r="C4" s="2" t="s">
        <v>6</v>
      </c>
      <c r="D4" s="2">
        <v>3</v>
      </c>
      <c r="E4" s="2" t="s">
        <v>17</v>
      </c>
      <c r="F4" t="s">
        <v>18</v>
      </c>
      <c r="G4" s="4">
        <v>44834</v>
      </c>
      <c r="H4" s="5">
        <v>0.3293402777777778</v>
      </c>
      <c r="I4" t="s">
        <v>9</v>
      </c>
      <c r="J4">
        <v>1.4</v>
      </c>
      <c r="K4">
        <v>0.31830000000000003</v>
      </c>
      <c r="L4">
        <v>1.6946000000000001</v>
      </c>
      <c r="M4" t="s">
        <v>10</v>
      </c>
      <c r="N4" t="s">
        <v>11</v>
      </c>
      <c r="O4">
        <v>1.913</v>
      </c>
      <c r="P4">
        <v>102.7178</v>
      </c>
      <c r="Q4">
        <v>170.05840000000001</v>
      </c>
      <c r="R4" t="s">
        <v>10</v>
      </c>
      <c r="S4" t="s">
        <v>19</v>
      </c>
      <c r="T4" s="4">
        <v>44834</v>
      </c>
      <c r="U4" s="5">
        <v>0.3293402777777778</v>
      </c>
      <c r="V4" t="s">
        <v>13</v>
      </c>
      <c r="W4">
        <v>1.163</v>
      </c>
      <c r="X4">
        <v>3259.7307999999998</v>
      </c>
      <c r="Y4">
        <v>139916.8499</v>
      </c>
      <c r="Z4" t="s">
        <v>1689</v>
      </c>
      <c r="AA4">
        <v>2.21</v>
      </c>
      <c r="AB4">
        <v>59.890999999999998</v>
      </c>
      <c r="AC4">
        <v>4.6699999999999998E-2</v>
      </c>
      <c r="AD4" t="s">
        <v>10</v>
      </c>
      <c r="AE4">
        <f>P4*'Run 1 Curve Parameters'!$D$3+'Run 1 Curve Parameters'!$E$3</f>
        <v>216.90788749612761</v>
      </c>
      <c r="AF4">
        <f>K4*'Run 1 Curve Parameters'!$D$2+'Run 1 Curve Parameters'!$E$2</f>
        <v>-106.83296733243445</v>
      </c>
    </row>
    <row r="5" spans="1:38">
      <c r="A5" s="2">
        <v>4</v>
      </c>
      <c r="B5" s="3" t="s">
        <v>5</v>
      </c>
      <c r="C5" s="2" t="s">
        <v>6</v>
      </c>
      <c r="D5" s="2">
        <v>4</v>
      </c>
      <c r="E5" s="2" t="s">
        <v>20</v>
      </c>
      <c r="F5" t="s">
        <v>21</v>
      </c>
      <c r="G5" s="4">
        <v>44834</v>
      </c>
      <c r="H5" s="5">
        <v>0.33309027777777778</v>
      </c>
      <c r="I5" t="s">
        <v>9</v>
      </c>
      <c r="J5">
        <v>1.403</v>
      </c>
      <c r="K5">
        <v>0.36520000000000002</v>
      </c>
      <c r="L5">
        <v>1.8975</v>
      </c>
      <c r="M5" t="s">
        <v>10</v>
      </c>
      <c r="N5" t="s">
        <v>11</v>
      </c>
      <c r="O5">
        <v>1.9159999999999999</v>
      </c>
      <c r="P5">
        <v>109.1048</v>
      </c>
      <c r="Q5">
        <v>193.66309999999999</v>
      </c>
      <c r="R5" t="s">
        <v>10</v>
      </c>
      <c r="S5" t="s">
        <v>22</v>
      </c>
      <c r="T5" s="4">
        <v>44834</v>
      </c>
      <c r="U5" s="5">
        <v>0.33309027777777778</v>
      </c>
      <c r="V5" t="s">
        <v>13</v>
      </c>
      <c r="W5">
        <v>1.163</v>
      </c>
      <c r="X5">
        <v>3417.0821999999998</v>
      </c>
      <c r="Y5">
        <v>159076.3083</v>
      </c>
      <c r="Z5" t="s">
        <v>1689</v>
      </c>
      <c r="AA5">
        <v>2.2130000000000001</v>
      </c>
      <c r="AB5">
        <v>62.992600000000003</v>
      </c>
      <c r="AC5">
        <v>5.9400000000000001E-2</v>
      </c>
      <c r="AD5" t="s">
        <v>10</v>
      </c>
      <c r="AE5">
        <f>P5*'Run 1 Curve Parameters'!$D$3+'Run 1 Curve Parameters'!$E$3</f>
        <v>243.56035283737936</v>
      </c>
      <c r="AF5">
        <f>K5*'Run 1 Curve Parameters'!$D$2+'Run 1 Curve Parameters'!$E$2</f>
        <v>-106.54739921565347</v>
      </c>
    </row>
    <row r="6" spans="1:38">
      <c r="A6" s="2">
        <v>5</v>
      </c>
      <c r="B6" s="3" t="s">
        <v>5</v>
      </c>
      <c r="C6" s="2" t="s">
        <v>6</v>
      </c>
      <c r="D6" s="2">
        <v>5</v>
      </c>
      <c r="E6" s="2" t="s">
        <v>23</v>
      </c>
      <c r="F6" t="s">
        <v>24</v>
      </c>
      <c r="G6" s="4">
        <v>44834</v>
      </c>
      <c r="H6" s="5">
        <v>0.3368518518518519</v>
      </c>
      <c r="I6" t="s">
        <v>9</v>
      </c>
      <c r="J6">
        <v>1.403</v>
      </c>
      <c r="K6">
        <v>0.29580000000000001</v>
      </c>
      <c r="L6">
        <v>1.5972999999999999</v>
      </c>
      <c r="M6" t="s">
        <v>10</v>
      </c>
      <c r="N6" t="s">
        <v>11</v>
      </c>
      <c r="O6">
        <v>1.913</v>
      </c>
      <c r="P6">
        <v>90.867999999999995</v>
      </c>
      <c r="Q6">
        <v>126.2646</v>
      </c>
      <c r="R6" t="s">
        <v>10</v>
      </c>
      <c r="S6" t="s">
        <v>25</v>
      </c>
      <c r="T6" s="4">
        <v>44834</v>
      </c>
      <c r="U6" s="5">
        <v>0.3368518518518519</v>
      </c>
      <c r="V6" t="s">
        <v>13</v>
      </c>
      <c r="W6">
        <v>1.1599999999999999</v>
      </c>
      <c r="X6">
        <v>3152.4220999999998</v>
      </c>
      <c r="Y6">
        <v>129013.1041</v>
      </c>
      <c r="Z6" t="s">
        <v>1689</v>
      </c>
      <c r="AA6">
        <v>2.21</v>
      </c>
      <c r="AB6">
        <v>55.708799999999997</v>
      </c>
      <c r="AC6">
        <v>2.9600000000000001E-2</v>
      </c>
      <c r="AD6" t="s">
        <v>10</v>
      </c>
      <c r="AE6">
        <f>P6*'Run 1 Curve Parameters'!$D$3+'Run 1 Curve Parameters'!$E$3</f>
        <v>167.45957313871958</v>
      </c>
      <c r="AF6">
        <f>K6*'Run 1 Curve Parameters'!$D$2+'Run 1 Curve Parameters'!$E$2</f>
        <v>-106.96996696202021</v>
      </c>
    </row>
    <row r="7" spans="1:38">
      <c r="A7" s="2">
        <v>6</v>
      </c>
      <c r="B7" s="3" t="s">
        <v>5</v>
      </c>
      <c r="C7" s="2" t="s">
        <v>6</v>
      </c>
      <c r="D7" s="2">
        <v>6</v>
      </c>
      <c r="E7" s="2" t="s">
        <v>26</v>
      </c>
      <c r="F7" t="s">
        <v>27</v>
      </c>
      <c r="G7" s="4">
        <v>44834</v>
      </c>
      <c r="H7" s="5">
        <v>0.34061342592592592</v>
      </c>
      <c r="I7" t="s">
        <v>9</v>
      </c>
      <c r="J7">
        <v>1.41</v>
      </c>
      <c r="K7">
        <v>0.307</v>
      </c>
      <c r="L7">
        <v>1.6457999999999999</v>
      </c>
      <c r="M7" t="s">
        <v>10</v>
      </c>
      <c r="N7" t="s">
        <v>11</v>
      </c>
      <c r="O7">
        <v>1.923</v>
      </c>
      <c r="P7">
        <v>88.9572</v>
      </c>
      <c r="Q7">
        <v>119.20269999999999</v>
      </c>
      <c r="R7" t="s">
        <v>10</v>
      </c>
      <c r="S7" t="s">
        <v>28</v>
      </c>
      <c r="T7" s="4">
        <v>44834</v>
      </c>
      <c r="U7" s="5">
        <v>0.34061342592592592</v>
      </c>
      <c r="V7" t="s">
        <v>13</v>
      </c>
      <c r="W7">
        <v>1.1659999999999999</v>
      </c>
      <c r="X7">
        <v>3163.6668</v>
      </c>
      <c r="Y7">
        <v>130108.88340000001</v>
      </c>
      <c r="Z7" t="s">
        <v>1689</v>
      </c>
      <c r="AA7">
        <v>2.2229999999999999</v>
      </c>
      <c r="AB7">
        <v>53.468400000000003</v>
      </c>
      <c r="AC7">
        <v>2.0400000000000001E-2</v>
      </c>
      <c r="AD7" t="s">
        <v>10</v>
      </c>
      <c r="AE7">
        <f>P7*'Run 1 Curve Parameters'!$D$3+'Run 1 Curve Parameters'!$E$3</f>
        <v>159.48595003333935</v>
      </c>
      <c r="AF7">
        <f>K7*'Run 1 Curve Parameters'!$D$2+'Run 1 Curve Parameters'!$E$2</f>
        <v>-106.90177159084863</v>
      </c>
    </row>
    <row r="8" spans="1:38">
      <c r="A8" s="2">
        <v>7</v>
      </c>
      <c r="B8" s="3" t="s">
        <v>5</v>
      </c>
      <c r="C8" s="2" t="s">
        <v>6</v>
      </c>
      <c r="D8" s="2">
        <v>7</v>
      </c>
      <c r="E8" s="2" t="s">
        <v>29</v>
      </c>
      <c r="F8" t="s">
        <v>30</v>
      </c>
      <c r="G8" s="4">
        <v>44834</v>
      </c>
      <c r="H8" s="5">
        <v>0.34436342592592589</v>
      </c>
      <c r="I8" t="s">
        <v>9</v>
      </c>
      <c r="J8">
        <v>1.413</v>
      </c>
      <c r="K8">
        <v>0.33329999999999999</v>
      </c>
      <c r="L8">
        <v>1.7595000000000001</v>
      </c>
      <c r="M8" t="s">
        <v>10</v>
      </c>
      <c r="N8" t="s">
        <v>11</v>
      </c>
      <c r="O8">
        <v>1.9259999999999999</v>
      </c>
      <c r="P8">
        <v>98.793099999999995</v>
      </c>
      <c r="Q8">
        <v>155.55369999999999</v>
      </c>
      <c r="R8" t="s">
        <v>10</v>
      </c>
      <c r="S8" t="s">
        <v>31</v>
      </c>
      <c r="T8" s="4">
        <v>44834</v>
      </c>
      <c r="U8" s="5">
        <v>0.34436342592592589</v>
      </c>
      <c r="V8" t="s">
        <v>13</v>
      </c>
      <c r="W8">
        <v>1.17</v>
      </c>
      <c r="X8">
        <v>3300.4506999999999</v>
      </c>
      <c r="Y8">
        <v>144501.3996</v>
      </c>
      <c r="Z8" t="s">
        <v>1689</v>
      </c>
      <c r="AA8">
        <v>2.226</v>
      </c>
      <c r="AB8">
        <v>56.186799999999998</v>
      </c>
      <c r="AC8">
        <v>3.15E-2</v>
      </c>
      <c r="AD8" t="s">
        <v>10</v>
      </c>
      <c r="AE8">
        <f>P8*'Run 1 Curve Parameters'!$D$3+'Run 1 Curve Parameters'!$E$3</f>
        <v>200.53041282495013</v>
      </c>
      <c r="AF8">
        <f>K8*'Run 1 Curve Parameters'!$D$2+'Run 1 Curve Parameters'!$E$2</f>
        <v>-106.74163424604394</v>
      </c>
    </row>
    <row r="9" spans="1:38">
      <c r="A9" s="2">
        <v>8</v>
      </c>
      <c r="B9" s="3" t="s">
        <v>5</v>
      </c>
      <c r="C9" s="2" t="s">
        <v>6</v>
      </c>
      <c r="D9" s="2">
        <v>8</v>
      </c>
      <c r="E9" s="2" t="s">
        <v>32</v>
      </c>
      <c r="F9" t="s">
        <v>33</v>
      </c>
      <c r="G9" s="4">
        <v>44834</v>
      </c>
      <c r="H9" s="5">
        <v>0.34811342592592592</v>
      </c>
      <c r="I9" t="s">
        <v>9</v>
      </c>
      <c r="J9">
        <v>1.4</v>
      </c>
      <c r="K9">
        <v>0.31540000000000001</v>
      </c>
      <c r="L9">
        <v>1.6820999999999999</v>
      </c>
      <c r="M9" t="s">
        <v>10</v>
      </c>
      <c r="N9" t="s">
        <v>11</v>
      </c>
      <c r="O9">
        <v>1.913</v>
      </c>
      <c r="P9">
        <v>94.366600000000005</v>
      </c>
      <c r="Q9">
        <v>139.19450000000001</v>
      </c>
      <c r="R9" t="s">
        <v>10</v>
      </c>
      <c r="S9" t="s">
        <v>34</v>
      </c>
      <c r="T9" s="4">
        <v>44834</v>
      </c>
      <c r="U9" s="5">
        <v>0.34811342592592592</v>
      </c>
      <c r="V9" t="s">
        <v>13</v>
      </c>
      <c r="W9">
        <v>1.1599999999999999</v>
      </c>
      <c r="X9">
        <v>3154.4769999999999</v>
      </c>
      <c r="Y9">
        <v>129213.351</v>
      </c>
      <c r="Z9" t="s">
        <v>1689</v>
      </c>
      <c r="AA9">
        <v>2.21</v>
      </c>
      <c r="AB9">
        <v>53.443899999999999</v>
      </c>
      <c r="AC9">
        <v>2.0299999999999999E-2</v>
      </c>
      <c r="AD9" t="s">
        <v>10</v>
      </c>
      <c r="AE9">
        <f>P9*'Run 1 Curve Parameters'!$D$3+'Run 1 Curve Parameters'!$E$3</f>
        <v>182.0589649099586</v>
      </c>
      <c r="AF9">
        <f>K9*'Run 1 Curve Parameters'!$D$2+'Run 1 Curve Parameters'!$E$2</f>
        <v>-106.85062506246994</v>
      </c>
    </row>
    <row r="10" spans="1:38">
      <c r="A10" s="2">
        <v>9</v>
      </c>
      <c r="B10" s="3" t="s">
        <v>5</v>
      </c>
      <c r="C10" s="2" t="s">
        <v>6</v>
      </c>
      <c r="D10" s="2">
        <v>9</v>
      </c>
      <c r="E10" s="2" t="s">
        <v>35</v>
      </c>
      <c r="F10" t="s">
        <v>36</v>
      </c>
      <c r="G10" s="4">
        <v>44834</v>
      </c>
      <c r="H10" s="5">
        <v>0.3518634259259259</v>
      </c>
      <c r="I10" t="s">
        <v>9</v>
      </c>
      <c r="J10">
        <v>1.41</v>
      </c>
      <c r="K10">
        <v>0.28370000000000001</v>
      </c>
      <c r="L10">
        <v>1.5449999999999999</v>
      </c>
      <c r="M10" t="s">
        <v>10</v>
      </c>
      <c r="N10" t="s">
        <v>11</v>
      </c>
      <c r="O10">
        <v>1.9259999999999999</v>
      </c>
      <c r="P10">
        <v>84.565899999999999</v>
      </c>
      <c r="Q10">
        <v>102.9736</v>
      </c>
      <c r="R10" t="s">
        <v>10</v>
      </c>
      <c r="S10" t="s">
        <v>37</v>
      </c>
      <c r="T10" s="4">
        <v>44834</v>
      </c>
      <c r="U10" s="5">
        <v>0.3518634259259259</v>
      </c>
      <c r="V10" t="s">
        <v>13</v>
      </c>
      <c r="W10">
        <v>1.1659999999999999</v>
      </c>
      <c r="X10">
        <v>3065.4079000000002</v>
      </c>
      <c r="Y10">
        <v>120923.3692</v>
      </c>
      <c r="Z10" t="s">
        <v>1689</v>
      </c>
      <c r="AA10">
        <v>2.226</v>
      </c>
      <c r="AB10">
        <v>50.3889</v>
      </c>
      <c r="AC10">
        <v>7.7999999999999996E-3</v>
      </c>
      <c r="AD10" t="s">
        <v>10</v>
      </c>
      <c r="AE10">
        <f>P10*'Run 1 Curve Parameters'!$D$3+'Run 1 Curve Parameters'!$E$3</f>
        <v>141.16138904178797</v>
      </c>
      <c r="AF10">
        <f>K10*'Run 1 Curve Parameters'!$D$2+'Run 1 Curve Parameters'!$E$2</f>
        <v>-107.04364231837521</v>
      </c>
    </row>
    <row r="11" spans="1:38">
      <c r="A11" s="2">
        <v>10</v>
      </c>
      <c r="B11" s="3" t="s">
        <v>5</v>
      </c>
      <c r="C11" s="2" t="s">
        <v>6</v>
      </c>
      <c r="D11" s="2">
        <v>10</v>
      </c>
      <c r="E11" s="2" t="s">
        <v>38</v>
      </c>
      <c r="F11" t="s">
        <v>39</v>
      </c>
      <c r="G11" s="4">
        <v>44834</v>
      </c>
      <c r="H11" s="5">
        <v>0.35561342592592587</v>
      </c>
      <c r="I11" t="s">
        <v>9</v>
      </c>
      <c r="J11">
        <v>1.4059999999999999</v>
      </c>
      <c r="K11">
        <v>0.35389999999999999</v>
      </c>
      <c r="L11">
        <v>1.8486</v>
      </c>
      <c r="M11" t="s">
        <v>10</v>
      </c>
      <c r="N11" t="s">
        <v>11</v>
      </c>
      <c r="O11">
        <v>1.923</v>
      </c>
      <c r="P11">
        <v>109.23350000000001</v>
      </c>
      <c r="Q11">
        <v>194.1388</v>
      </c>
      <c r="R11" t="s">
        <v>10</v>
      </c>
      <c r="S11" t="s">
        <v>40</v>
      </c>
      <c r="T11" s="4">
        <v>44834</v>
      </c>
      <c r="U11" s="5">
        <v>0.35561342592592587</v>
      </c>
      <c r="V11" t="s">
        <v>13</v>
      </c>
      <c r="W11">
        <v>1.17</v>
      </c>
      <c r="X11">
        <v>3316.991</v>
      </c>
      <c r="Y11">
        <v>146366.28200000001</v>
      </c>
      <c r="Z11" t="s">
        <v>1689</v>
      </c>
      <c r="AA11">
        <v>2.2200000000000002</v>
      </c>
      <c r="AB11">
        <v>59.388599999999997</v>
      </c>
      <c r="AC11">
        <v>4.4699999999999997E-2</v>
      </c>
      <c r="AD11" t="s">
        <v>10</v>
      </c>
      <c r="AE11">
        <f>P11*'Run 1 Curve Parameters'!$D$3+'Run 1 Curve Parameters'!$E$3</f>
        <v>244.09740815120733</v>
      </c>
      <c r="AF11">
        <f>K11*'Run 1 Curve Parameters'!$D$2+'Run 1 Curve Parameters'!$E$2</f>
        <v>-106.61620347406765</v>
      </c>
    </row>
    <row r="12" spans="1:38">
      <c r="A12" s="2">
        <v>11</v>
      </c>
      <c r="B12" s="3" t="s">
        <v>41</v>
      </c>
      <c r="C12" s="2" t="s">
        <v>6</v>
      </c>
      <c r="D12" s="2">
        <v>11</v>
      </c>
      <c r="E12" s="2" t="s">
        <v>42</v>
      </c>
      <c r="F12" t="s">
        <v>43</v>
      </c>
      <c r="G12" s="4">
        <v>44834</v>
      </c>
      <c r="H12" s="5">
        <v>0.359375</v>
      </c>
      <c r="I12" t="s">
        <v>9</v>
      </c>
      <c r="J12">
        <v>0</v>
      </c>
      <c r="K12">
        <v>0</v>
      </c>
      <c r="L12">
        <v>0</v>
      </c>
      <c r="M12" t="s">
        <v>10</v>
      </c>
      <c r="N12" t="s">
        <v>11</v>
      </c>
      <c r="O12">
        <v>1.923</v>
      </c>
      <c r="P12">
        <v>42.255000000000003</v>
      </c>
      <c r="Q12">
        <v>0</v>
      </c>
      <c r="R12" t="s">
        <v>10</v>
      </c>
      <c r="S12" t="s">
        <v>44</v>
      </c>
      <c r="T12" s="4">
        <v>44834</v>
      </c>
      <c r="U12" s="5">
        <v>0.359375</v>
      </c>
      <c r="V12" t="s">
        <v>13</v>
      </c>
      <c r="W12">
        <v>1.1659999999999999</v>
      </c>
      <c r="X12">
        <v>1197.8327999999999</v>
      </c>
      <c r="Y12">
        <v>10817.7724</v>
      </c>
      <c r="Z12" t="s">
        <v>1689</v>
      </c>
      <c r="AA12">
        <v>2.2200000000000002</v>
      </c>
      <c r="AB12">
        <v>18.776</v>
      </c>
      <c r="AC12">
        <v>0</v>
      </c>
      <c r="AD12" t="s">
        <v>10</v>
      </c>
      <c r="AE12">
        <f>P12*'Run 1 Curve Parameters'!$D$3+'Run 1 Curve Parameters'!$E$3</f>
        <v>-35.398779395219776</v>
      </c>
      <c r="AF12">
        <f>K12*'Run 1 Curve Parameters'!$D$2+'Run 1 Curve Parameters'!$E$2</f>
        <v>-108.77105542564095</v>
      </c>
    </row>
    <row r="13" spans="1:38">
      <c r="A13" s="2">
        <v>12</v>
      </c>
      <c r="B13" s="3" t="s">
        <v>5</v>
      </c>
      <c r="C13" s="2" t="s">
        <v>6</v>
      </c>
      <c r="D13" s="2">
        <v>12</v>
      </c>
      <c r="E13" s="2" t="s">
        <v>45</v>
      </c>
      <c r="F13" t="s">
        <v>46</v>
      </c>
      <c r="G13" s="4">
        <v>44834</v>
      </c>
      <c r="H13" s="5">
        <v>0.36313657407407413</v>
      </c>
      <c r="I13" t="s">
        <v>9</v>
      </c>
      <c r="J13">
        <v>1.4059999999999999</v>
      </c>
      <c r="K13">
        <v>0.29220000000000002</v>
      </c>
      <c r="L13">
        <v>1.5817000000000001</v>
      </c>
      <c r="M13" t="s">
        <v>10</v>
      </c>
      <c r="N13" t="s">
        <v>11</v>
      </c>
      <c r="O13">
        <v>1.92</v>
      </c>
      <c r="P13">
        <v>82.304699999999997</v>
      </c>
      <c r="Q13">
        <v>94.616799999999998</v>
      </c>
      <c r="R13" t="s">
        <v>10</v>
      </c>
      <c r="S13" t="s">
        <v>47</v>
      </c>
      <c r="T13" s="4">
        <v>44834</v>
      </c>
      <c r="U13" s="5">
        <v>0.36313657407407413</v>
      </c>
      <c r="V13" t="s">
        <v>13</v>
      </c>
      <c r="W13">
        <v>1.1659999999999999</v>
      </c>
      <c r="X13">
        <v>2901.2608</v>
      </c>
      <c r="Y13">
        <v>107152.7674</v>
      </c>
      <c r="Z13" t="s">
        <v>1689</v>
      </c>
      <c r="AA13">
        <v>2.2160000000000002</v>
      </c>
      <c r="AB13">
        <v>48.339599999999997</v>
      </c>
      <c r="AC13">
        <v>0</v>
      </c>
      <c r="AD13" t="s">
        <v>10</v>
      </c>
      <c r="AE13">
        <f>P13*'Run 1 Curve Parameters'!$D$3+'Run 1 Curve Parameters'!$E$3</f>
        <v>131.7255733803446</v>
      </c>
      <c r="AF13">
        <f>K13*'Run 1 Curve Parameters'!$D$2+'Run 1 Curve Parameters'!$E$2</f>
        <v>-106.99188690275392</v>
      </c>
    </row>
    <row r="14" spans="1:38">
      <c r="A14" s="2">
        <v>13</v>
      </c>
      <c r="B14" s="3" t="s">
        <v>48</v>
      </c>
      <c r="C14" s="2" t="s">
        <v>6</v>
      </c>
      <c r="D14" s="2">
        <v>13</v>
      </c>
      <c r="E14" s="2" t="s">
        <v>49</v>
      </c>
      <c r="F14" t="s">
        <v>50</v>
      </c>
      <c r="G14" s="4">
        <v>44834</v>
      </c>
      <c r="H14" s="5">
        <v>0.36689814814814814</v>
      </c>
      <c r="I14" t="s">
        <v>9</v>
      </c>
      <c r="J14">
        <v>1.403</v>
      </c>
      <c r="K14">
        <v>0.21890000000000001</v>
      </c>
      <c r="L14">
        <v>1.2646999999999999</v>
      </c>
      <c r="M14" t="s">
        <v>10</v>
      </c>
      <c r="N14" t="s">
        <v>11</v>
      </c>
      <c r="O14">
        <v>1.9159999999999999</v>
      </c>
      <c r="P14">
        <v>80.824200000000005</v>
      </c>
      <c r="Q14">
        <v>89.145200000000003</v>
      </c>
      <c r="R14" t="s">
        <v>10</v>
      </c>
      <c r="S14" t="s">
        <v>51</v>
      </c>
      <c r="T14" s="4">
        <v>44834</v>
      </c>
      <c r="U14" s="5">
        <v>0.36689814814814814</v>
      </c>
      <c r="V14" t="s">
        <v>13</v>
      </c>
      <c r="W14">
        <v>1.163</v>
      </c>
      <c r="X14">
        <v>3522.0446000000002</v>
      </c>
      <c r="Y14">
        <v>174461.1839</v>
      </c>
      <c r="Z14" t="s">
        <v>1689</v>
      </c>
      <c r="AA14">
        <v>2.2130000000000001</v>
      </c>
      <c r="AB14">
        <v>62.205599999999997</v>
      </c>
      <c r="AC14">
        <v>5.62E-2</v>
      </c>
      <c r="AD14" t="s">
        <v>10</v>
      </c>
      <c r="AE14">
        <f>P14*'Run 1 Curve Parameters'!$D$3+'Run 1 Curve Parameters'!$E$3</f>
        <v>125.54755945554064</v>
      </c>
      <c r="AF14">
        <f>K14*'Run 1 Curve Parameters'!$D$2+'Run 1 Curve Parameters'!$E$2</f>
        <v>-107.43820125158219</v>
      </c>
    </row>
    <row r="15" spans="1:38">
      <c r="A15" s="2">
        <v>14</v>
      </c>
      <c r="B15" s="3" t="s">
        <v>5</v>
      </c>
      <c r="C15" s="2" t="s">
        <v>6</v>
      </c>
      <c r="D15" s="2">
        <v>14</v>
      </c>
      <c r="E15" s="2" t="s">
        <v>52</v>
      </c>
      <c r="F15" t="s">
        <v>53</v>
      </c>
      <c r="G15" s="4">
        <v>44834</v>
      </c>
      <c r="H15" s="5">
        <v>0.37064814814814812</v>
      </c>
      <c r="I15" t="s">
        <v>9</v>
      </c>
      <c r="J15">
        <v>1.4</v>
      </c>
      <c r="K15">
        <v>0.30599999999999999</v>
      </c>
      <c r="L15">
        <v>1.6414</v>
      </c>
      <c r="M15" t="s">
        <v>10</v>
      </c>
      <c r="N15" t="s">
        <v>11</v>
      </c>
      <c r="O15">
        <v>1.913</v>
      </c>
      <c r="P15">
        <v>94.8185</v>
      </c>
      <c r="Q15">
        <v>140.8646</v>
      </c>
      <c r="R15" t="s">
        <v>10</v>
      </c>
      <c r="S15" t="s">
        <v>54</v>
      </c>
      <c r="T15" s="4">
        <v>44834</v>
      </c>
      <c r="U15" s="5">
        <v>0.37064814814814812</v>
      </c>
      <c r="V15" t="s">
        <v>13</v>
      </c>
      <c r="W15">
        <v>1.1599999999999999</v>
      </c>
      <c r="X15">
        <v>3156.3932</v>
      </c>
      <c r="Y15">
        <v>129400.0819</v>
      </c>
      <c r="Z15" t="s">
        <v>1689</v>
      </c>
      <c r="AA15">
        <v>2.21</v>
      </c>
      <c r="AB15">
        <v>57.317399999999999</v>
      </c>
      <c r="AC15">
        <v>3.6200000000000003E-2</v>
      </c>
      <c r="AD15" t="s">
        <v>10</v>
      </c>
      <c r="AE15">
        <f>P15*'Run 1 Curve Parameters'!$D$3+'Run 1 Curve Parameters'!$E$3</f>
        <v>183.94470924810042</v>
      </c>
      <c r="AF15">
        <f>K15*'Run 1 Curve Parameters'!$D$2+'Run 1 Curve Parameters'!$E$2</f>
        <v>-106.90786046327466</v>
      </c>
    </row>
    <row r="16" spans="1:38">
      <c r="A16" s="2">
        <v>15</v>
      </c>
      <c r="B16" s="3" t="s">
        <v>55</v>
      </c>
      <c r="C16" s="2" t="s">
        <v>6</v>
      </c>
      <c r="D16" s="2">
        <v>15</v>
      </c>
      <c r="E16" s="2" t="s">
        <v>56</v>
      </c>
      <c r="F16" t="s">
        <v>57</v>
      </c>
      <c r="G16" s="4">
        <v>44834</v>
      </c>
      <c r="H16" s="5">
        <v>0.37439814814814815</v>
      </c>
      <c r="I16" t="s">
        <v>9</v>
      </c>
      <c r="J16">
        <v>1.413</v>
      </c>
      <c r="K16">
        <v>0.6532</v>
      </c>
      <c r="L16">
        <v>3.1432000000000002</v>
      </c>
      <c r="M16" t="s">
        <v>10</v>
      </c>
      <c r="N16" t="s">
        <v>11</v>
      </c>
      <c r="O16">
        <v>1.9259999999999999</v>
      </c>
      <c r="P16">
        <v>166.32239999999999</v>
      </c>
      <c r="Q16">
        <v>405.12490000000003</v>
      </c>
      <c r="R16" t="s">
        <v>10</v>
      </c>
      <c r="S16" t="s">
        <v>58</v>
      </c>
      <c r="T16" s="4">
        <v>44834</v>
      </c>
      <c r="U16" s="5">
        <v>0.37439814814814815</v>
      </c>
      <c r="V16" t="s">
        <v>13</v>
      </c>
      <c r="W16">
        <v>1.17</v>
      </c>
      <c r="X16">
        <v>4086.0365000000002</v>
      </c>
      <c r="Y16">
        <v>257638.00589999999</v>
      </c>
      <c r="Z16" t="s">
        <v>1689</v>
      </c>
      <c r="AA16">
        <v>2.226</v>
      </c>
      <c r="AB16">
        <v>97.435699999999997</v>
      </c>
      <c r="AC16">
        <v>0.2006</v>
      </c>
      <c r="AD16" t="s">
        <v>10</v>
      </c>
      <c r="AE16">
        <f>P16*'Run 1 Curve Parameters'!$D$3+'Run 1 Curve Parameters'!$E$3</f>
        <v>482.32504688929816</v>
      </c>
      <c r="AF16">
        <f>K16*'Run 1 Curve Parameters'!$D$2+'Run 1 Curve Parameters'!$E$2</f>
        <v>-104.79380395695578</v>
      </c>
    </row>
    <row r="17" spans="1:32">
      <c r="A17" s="2">
        <v>16</v>
      </c>
      <c r="B17" s="3" t="s">
        <v>5</v>
      </c>
      <c r="C17" s="2" t="s">
        <v>6</v>
      </c>
      <c r="D17" s="2">
        <v>16</v>
      </c>
      <c r="E17" s="2" t="s">
        <v>59</v>
      </c>
      <c r="F17" t="s">
        <v>60</v>
      </c>
      <c r="G17" s="4">
        <v>44834</v>
      </c>
      <c r="H17" s="5">
        <v>0.37815972222222222</v>
      </c>
      <c r="I17" t="s">
        <v>9</v>
      </c>
      <c r="J17">
        <v>1.403</v>
      </c>
      <c r="K17">
        <v>0.30380000000000001</v>
      </c>
      <c r="L17">
        <v>1.6318999999999999</v>
      </c>
      <c r="M17" t="s">
        <v>10</v>
      </c>
      <c r="N17" t="s">
        <v>11</v>
      </c>
      <c r="O17">
        <v>1.9159999999999999</v>
      </c>
      <c r="P17">
        <v>91.680999999999997</v>
      </c>
      <c r="Q17">
        <v>129.26920000000001</v>
      </c>
      <c r="R17" t="s">
        <v>10</v>
      </c>
      <c r="S17" t="s">
        <v>61</v>
      </c>
      <c r="T17" s="4">
        <v>44834</v>
      </c>
      <c r="U17" s="5">
        <v>0.37815972222222222</v>
      </c>
      <c r="V17" t="s">
        <v>13</v>
      </c>
      <c r="W17">
        <v>1.163</v>
      </c>
      <c r="X17">
        <v>3036.3186000000001</v>
      </c>
      <c r="Y17">
        <v>118372.19469999999</v>
      </c>
      <c r="Z17" t="s">
        <v>1689</v>
      </c>
      <c r="AA17">
        <v>2.2130000000000001</v>
      </c>
      <c r="AB17">
        <v>49.971200000000003</v>
      </c>
      <c r="AC17">
        <v>6.1000000000000004E-3</v>
      </c>
      <c r="AD17" t="s">
        <v>10</v>
      </c>
      <c r="AE17">
        <f>P17*'Run 1 Curve Parameters'!$D$3+'Run 1 Curve Parameters'!$E$3</f>
        <v>170.85216031931105</v>
      </c>
      <c r="AF17">
        <f>K17*'Run 1 Curve Parameters'!$D$2+'Run 1 Curve Parameters'!$E$2</f>
        <v>-106.92125598261194</v>
      </c>
    </row>
    <row r="18" spans="1:32">
      <c r="A18" s="2">
        <v>17</v>
      </c>
      <c r="B18" s="3" t="s">
        <v>62</v>
      </c>
      <c r="C18" s="2" t="s">
        <v>6</v>
      </c>
      <c r="D18" s="2">
        <v>17</v>
      </c>
      <c r="E18" s="2" t="s">
        <v>63</v>
      </c>
      <c r="F18" t="s">
        <v>64</v>
      </c>
      <c r="G18" s="4">
        <v>44834</v>
      </c>
      <c r="H18" s="5">
        <v>0.38190972222222225</v>
      </c>
      <c r="I18" t="s">
        <v>9</v>
      </c>
      <c r="J18">
        <v>1.403</v>
      </c>
      <c r="K18">
        <v>4.7571000000000003</v>
      </c>
      <c r="L18">
        <v>20.8934</v>
      </c>
      <c r="M18" t="s">
        <v>10</v>
      </c>
      <c r="N18" t="s">
        <v>11</v>
      </c>
      <c r="O18">
        <v>1.92</v>
      </c>
      <c r="P18">
        <v>609.30939999999998</v>
      </c>
      <c r="Q18">
        <v>2042.2925</v>
      </c>
      <c r="R18" t="s">
        <v>10</v>
      </c>
      <c r="S18" t="s">
        <v>65</v>
      </c>
      <c r="T18" s="4">
        <v>44834</v>
      </c>
      <c r="U18" s="5">
        <v>0.38190972222222225</v>
      </c>
      <c r="V18" t="s">
        <v>13</v>
      </c>
      <c r="W18">
        <v>1.163</v>
      </c>
      <c r="X18">
        <v>3669.28</v>
      </c>
      <c r="Y18">
        <v>196175.277</v>
      </c>
      <c r="Z18" t="s">
        <v>1689</v>
      </c>
      <c r="AA18">
        <v>2.2130000000000001</v>
      </c>
      <c r="AB18">
        <v>150.9828</v>
      </c>
      <c r="AC18">
        <v>0.42009999999999997</v>
      </c>
      <c r="AD18" t="s">
        <v>10</v>
      </c>
      <c r="AE18">
        <f>P18*'Run 1 Curve Parameters'!$D$3+'Run 1 Curve Parameters'!$E$3</f>
        <v>2330.876113763431</v>
      </c>
      <c r="AF18">
        <f>K18*'Run 1 Curve Parameters'!$D$2+'Run 1 Curve Parameters'!$E$2</f>
        <v>-79.805680407756341</v>
      </c>
    </row>
    <row r="19" spans="1:32">
      <c r="A19" s="2">
        <v>18</v>
      </c>
      <c r="B19" s="3" t="s">
        <v>5</v>
      </c>
      <c r="C19" s="2" t="s">
        <v>6</v>
      </c>
      <c r="D19" s="2">
        <v>18</v>
      </c>
      <c r="E19" s="2" t="s">
        <v>66</v>
      </c>
      <c r="F19" t="s">
        <v>67</v>
      </c>
      <c r="G19" s="4">
        <v>44834</v>
      </c>
      <c r="H19" s="5">
        <v>0.38567129629629626</v>
      </c>
      <c r="I19" t="s">
        <v>9</v>
      </c>
      <c r="J19">
        <v>1.4059999999999999</v>
      </c>
      <c r="K19">
        <v>0.30640000000000001</v>
      </c>
      <c r="L19">
        <v>1.6432</v>
      </c>
      <c r="M19" t="s">
        <v>10</v>
      </c>
      <c r="N19" t="s">
        <v>11</v>
      </c>
      <c r="O19">
        <v>1.923</v>
      </c>
      <c r="P19">
        <v>96.416399999999996</v>
      </c>
      <c r="Q19">
        <v>146.77000000000001</v>
      </c>
      <c r="R19" t="s">
        <v>10</v>
      </c>
      <c r="S19" t="s">
        <v>68</v>
      </c>
      <c r="T19" s="4">
        <v>44834</v>
      </c>
      <c r="U19" s="5">
        <v>0.38567129629629626</v>
      </c>
      <c r="V19" t="s">
        <v>13</v>
      </c>
      <c r="W19">
        <v>1.1659999999999999</v>
      </c>
      <c r="X19">
        <v>3168.4474</v>
      </c>
      <c r="Y19">
        <v>130574.7457</v>
      </c>
      <c r="Z19" t="s">
        <v>1689</v>
      </c>
      <c r="AA19">
        <v>2.2200000000000002</v>
      </c>
      <c r="AB19">
        <v>57.435099999999998</v>
      </c>
      <c r="AC19">
        <v>3.6600000000000001E-2</v>
      </c>
      <c r="AD19" t="s">
        <v>10</v>
      </c>
      <c r="AE19">
        <f>P19*'Run 1 Curve Parameters'!$D$3+'Run 1 Curve Parameters'!$E$3</f>
        <v>190.61262444596889</v>
      </c>
      <c r="AF19">
        <f>K19*'Run 1 Curve Parameters'!$D$2+'Run 1 Curve Parameters'!$E$2</f>
        <v>-106.90542491430425</v>
      </c>
    </row>
    <row r="20" spans="1:32">
      <c r="A20" s="2">
        <v>19</v>
      </c>
      <c r="B20" s="3" t="s">
        <v>69</v>
      </c>
      <c r="C20" s="2" t="s">
        <v>6</v>
      </c>
      <c r="D20" s="2">
        <v>19</v>
      </c>
      <c r="E20" s="2" t="s">
        <v>70</v>
      </c>
      <c r="F20" t="s">
        <v>71</v>
      </c>
      <c r="G20" s="4">
        <v>44834</v>
      </c>
      <c r="H20" s="5">
        <v>0.38942129629629635</v>
      </c>
      <c r="I20" t="s">
        <v>9</v>
      </c>
      <c r="J20">
        <v>1.403</v>
      </c>
      <c r="K20">
        <v>47.275399999999998</v>
      </c>
      <c r="L20">
        <v>204.7945</v>
      </c>
      <c r="M20" t="s">
        <v>10</v>
      </c>
      <c r="N20" t="s">
        <v>11</v>
      </c>
      <c r="O20">
        <v>1.923</v>
      </c>
      <c r="P20">
        <v>1447.9233999999999</v>
      </c>
      <c r="Q20">
        <v>5141.5972000000002</v>
      </c>
      <c r="R20" t="s">
        <v>10</v>
      </c>
      <c r="S20" t="s">
        <v>72</v>
      </c>
      <c r="T20" s="4">
        <v>44834</v>
      </c>
      <c r="U20" s="5">
        <v>0.38942129629629635</v>
      </c>
      <c r="V20" t="s">
        <v>13</v>
      </c>
      <c r="W20">
        <v>1.163</v>
      </c>
      <c r="X20">
        <v>3678.2919999999999</v>
      </c>
      <c r="Y20">
        <v>197504.35560000001</v>
      </c>
      <c r="Z20" t="s">
        <v>1689</v>
      </c>
      <c r="AA20">
        <v>2.2130000000000001</v>
      </c>
      <c r="AB20">
        <v>674.78579999999999</v>
      </c>
      <c r="AC20">
        <v>2.5670999999999999</v>
      </c>
      <c r="AD20" t="s">
        <v>10</v>
      </c>
      <c r="AE20">
        <f>P20*'Run 1 Curve Parameters'!$D$3+'Run 1 Curve Parameters'!$E$3</f>
        <v>5830.3485687013499</v>
      </c>
      <c r="AF20">
        <f>K20*'Run 1 Curve Parameters'!$D$2+'Run 1 Curve Parameters'!$E$2</f>
        <v>179.0828240640696</v>
      </c>
    </row>
    <row r="21" spans="1:32">
      <c r="A21" s="2">
        <v>20</v>
      </c>
      <c r="B21" s="3" t="s">
        <v>5</v>
      </c>
      <c r="C21" s="2" t="s">
        <v>6</v>
      </c>
      <c r="D21" s="2">
        <v>20</v>
      </c>
      <c r="E21" s="2" t="s">
        <v>73</v>
      </c>
      <c r="F21" t="s">
        <v>74</v>
      </c>
      <c r="G21" s="4">
        <v>44834</v>
      </c>
      <c r="H21" s="5">
        <v>0.39318287037037036</v>
      </c>
      <c r="I21" t="s">
        <v>9</v>
      </c>
      <c r="J21">
        <v>1.41</v>
      </c>
      <c r="K21">
        <v>0.38100000000000001</v>
      </c>
      <c r="L21">
        <v>1.9658</v>
      </c>
      <c r="M21" t="s">
        <v>10</v>
      </c>
      <c r="N21" t="s">
        <v>11</v>
      </c>
      <c r="O21">
        <v>1.9259999999999999</v>
      </c>
      <c r="P21">
        <v>116.3309</v>
      </c>
      <c r="Q21">
        <v>220.369</v>
      </c>
      <c r="R21" t="s">
        <v>10</v>
      </c>
      <c r="S21" t="s">
        <v>75</v>
      </c>
      <c r="T21" s="4">
        <v>44834</v>
      </c>
      <c r="U21" s="5">
        <v>0.39318287037037036</v>
      </c>
      <c r="V21" t="s">
        <v>13</v>
      </c>
      <c r="W21">
        <v>1.1659999999999999</v>
      </c>
      <c r="X21">
        <v>3394.7462</v>
      </c>
      <c r="Y21">
        <v>156088.9644</v>
      </c>
      <c r="Z21" t="s">
        <v>1689</v>
      </c>
      <c r="AA21">
        <v>2.226</v>
      </c>
      <c r="AB21">
        <v>70.407399999999996</v>
      </c>
      <c r="AC21">
        <v>8.9800000000000005E-2</v>
      </c>
      <c r="AD21" t="s">
        <v>10</v>
      </c>
      <c r="AE21">
        <f>P21*'Run 1 Curve Parameters'!$D$3+'Run 1 Curve Parameters'!$E$3</f>
        <v>273.71431867461428</v>
      </c>
      <c r="AF21">
        <f>K21*'Run 1 Curve Parameters'!$D$2+'Run 1 Curve Parameters'!$E$2</f>
        <v>-106.45119503132214</v>
      </c>
    </row>
    <row r="22" spans="1:32">
      <c r="A22" s="2">
        <v>21</v>
      </c>
      <c r="B22" s="3" t="s">
        <v>76</v>
      </c>
      <c r="C22" s="2" t="s">
        <v>6</v>
      </c>
      <c r="D22" s="2">
        <v>21</v>
      </c>
      <c r="E22" s="2" t="s">
        <v>77</v>
      </c>
      <c r="F22" t="s">
        <v>78</v>
      </c>
      <c r="G22" s="4">
        <v>44834</v>
      </c>
      <c r="H22" s="5">
        <v>0.39693287037037034</v>
      </c>
      <c r="I22" t="s">
        <v>9</v>
      </c>
      <c r="J22">
        <v>1.4</v>
      </c>
      <c r="K22">
        <v>1169.1266000000001</v>
      </c>
      <c r="L22">
        <v>5057.0484999999999</v>
      </c>
      <c r="M22" t="s">
        <v>10</v>
      </c>
      <c r="N22" t="s">
        <v>11</v>
      </c>
      <c r="O22">
        <v>1.9259999999999999</v>
      </c>
      <c r="P22">
        <v>2576.5482000000002</v>
      </c>
      <c r="Q22">
        <v>9312.7083000000002</v>
      </c>
      <c r="R22" t="s">
        <v>10</v>
      </c>
      <c r="S22" t="s">
        <v>79</v>
      </c>
      <c r="T22" s="4">
        <v>44834</v>
      </c>
      <c r="U22" s="5">
        <v>0.39693287037037034</v>
      </c>
      <c r="V22" t="s">
        <v>13</v>
      </c>
      <c r="W22">
        <v>1.1599999999999999</v>
      </c>
      <c r="X22">
        <v>3680.6601999999998</v>
      </c>
      <c r="Y22">
        <v>197853.61470000001</v>
      </c>
      <c r="Z22" t="s">
        <v>1689</v>
      </c>
      <c r="AA22">
        <v>2.2130000000000001</v>
      </c>
      <c r="AB22">
        <v>1216.5209</v>
      </c>
      <c r="AC22">
        <v>4.7876000000000003</v>
      </c>
      <c r="AD22" t="s">
        <v>10</v>
      </c>
      <c r="AE22">
        <f>P22*'Run 1 Curve Parameters'!$D$3+'Run 1 Curve Parameters'!$E$3</f>
        <v>10540.014040014517</v>
      </c>
      <c r="AF22">
        <f>K22*'Run 1 Curve Parameters'!$D$2+'Run 1 Curve Parameters'!$E$2</f>
        <v>7009.8916618568155</v>
      </c>
    </row>
    <row r="23" spans="1:32">
      <c r="A23" s="2">
        <v>22</v>
      </c>
      <c r="B23" s="3" t="s">
        <v>5</v>
      </c>
      <c r="C23" s="2" t="s">
        <v>6</v>
      </c>
      <c r="D23" s="2">
        <v>22</v>
      </c>
      <c r="E23" s="2" t="s">
        <v>80</v>
      </c>
      <c r="F23" t="s">
        <v>81</v>
      </c>
      <c r="G23" s="4">
        <v>44834</v>
      </c>
      <c r="H23" s="5">
        <v>0.40068287037037037</v>
      </c>
      <c r="I23" t="s">
        <v>9</v>
      </c>
      <c r="J23">
        <v>1.4</v>
      </c>
      <c r="K23">
        <v>1.7276</v>
      </c>
      <c r="L23">
        <v>7.7901999999999996</v>
      </c>
      <c r="M23" t="s">
        <v>10</v>
      </c>
      <c r="N23" t="s">
        <v>11</v>
      </c>
      <c r="O23">
        <v>1.9159999999999999</v>
      </c>
      <c r="P23">
        <v>99.142899999999997</v>
      </c>
      <c r="Q23">
        <v>156.84649999999999</v>
      </c>
      <c r="R23" t="s">
        <v>10</v>
      </c>
      <c r="S23" t="s">
        <v>82</v>
      </c>
      <c r="T23" s="4">
        <v>44834</v>
      </c>
      <c r="U23" s="5">
        <v>0.40068287037037037</v>
      </c>
      <c r="V23" t="s">
        <v>13</v>
      </c>
      <c r="W23">
        <v>1.1599999999999999</v>
      </c>
      <c r="X23">
        <v>3033.9261999999999</v>
      </c>
      <c r="Y23">
        <v>118166.9143</v>
      </c>
      <c r="Z23" t="s">
        <v>1689</v>
      </c>
      <c r="AA23">
        <v>2.2160000000000002</v>
      </c>
      <c r="AB23">
        <v>59.6995</v>
      </c>
      <c r="AC23">
        <v>4.5900000000000003E-2</v>
      </c>
      <c r="AD23" t="s">
        <v>10</v>
      </c>
      <c r="AE23">
        <f>P23*'Run 1 Curve Parameters'!$D$3+'Run 1 Curve Parameters'!$E$3</f>
        <v>201.99010162663632</v>
      </c>
      <c r="AF23">
        <f>K23*'Run 1 Curve Parameters'!$D$2+'Run 1 Curve Parameters'!$E$2</f>
        <v>-98.251919422425246</v>
      </c>
    </row>
    <row r="24" spans="1:32">
      <c r="A24" s="2">
        <v>23</v>
      </c>
      <c r="B24" s="3" t="s">
        <v>83</v>
      </c>
      <c r="C24" s="2" t="s">
        <v>6</v>
      </c>
      <c r="D24" s="2">
        <v>23</v>
      </c>
      <c r="E24" s="2" t="s">
        <v>84</v>
      </c>
      <c r="F24" t="s">
        <v>85</v>
      </c>
      <c r="G24" s="4">
        <v>44834</v>
      </c>
      <c r="H24" s="5">
        <v>0.40443287037037035</v>
      </c>
      <c r="I24" t="s">
        <v>9</v>
      </c>
      <c r="J24">
        <v>1.383</v>
      </c>
      <c r="K24">
        <v>9889.3145000000004</v>
      </c>
      <c r="L24">
        <v>42773.785799999998</v>
      </c>
      <c r="M24" t="s">
        <v>10</v>
      </c>
      <c r="N24" t="s">
        <v>11</v>
      </c>
      <c r="O24">
        <v>1.92</v>
      </c>
      <c r="P24">
        <v>11978.617200000001</v>
      </c>
      <c r="Q24">
        <v>44060.371500000001</v>
      </c>
      <c r="R24" t="s">
        <v>10</v>
      </c>
      <c r="S24" t="s">
        <v>86</v>
      </c>
      <c r="T24" s="4">
        <v>44834</v>
      </c>
      <c r="U24" s="5">
        <v>0.40443287037037035</v>
      </c>
      <c r="V24" t="s">
        <v>13</v>
      </c>
      <c r="W24">
        <v>1.1559999999999999</v>
      </c>
      <c r="X24">
        <v>1211.9921999999999</v>
      </c>
      <c r="Y24">
        <v>11438.959000000001</v>
      </c>
      <c r="Z24" t="s">
        <v>1689</v>
      </c>
      <c r="AA24">
        <v>2.2200000000000002</v>
      </c>
      <c r="AB24">
        <v>4841.1833999999999</v>
      </c>
      <c r="AC24">
        <v>19.6447</v>
      </c>
      <c r="AD24" t="s">
        <v>10</v>
      </c>
      <c r="AE24">
        <f>P24*'Run 1 Curve Parameters'!$D$3+'Run 1 Curve Parameters'!$E$3</f>
        <v>49774.133056541439</v>
      </c>
      <c r="AF24">
        <f>K24*'Run 1 Curve Parameters'!$D$2+'Run 1 Curve Parameters'!$E$2</f>
        <v>60106.003315998976</v>
      </c>
    </row>
    <row r="25" spans="1:32">
      <c r="A25" s="2">
        <v>24</v>
      </c>
      <c r="B25" s="3" t="s">
        <v>5</v>
      </c>
      <c r="C25" s="2" t="s">
        <v>6</v>
      </c>
      <c r="D25" s="2">
        <v>24</v>
      </c>
      <c r="E25" s="2" t="s">
        <v>87</v>
      </c>
      <c r="F25" t="s">
        <v>88</v>
      </c>
      <c r="G25" s="4">
        <v>44834</v>
      </c>
      <c r="H25" s="5">
        <v>0.40818287037037032</v>
      </c>
      <c r="I25" t="s">
        <v>9</v>
      </c>
      <c r="J25">
        <v>1.4</v>
      </c>
      <c r="K25">
        <v>13.1366</v>
      </c>
      <c r="L25">
        <v>57.136600000000001</v>
      </c>
      <c r="M25" t="s">
        <v>10</v>
      </c>
      <c r="N25" t="s">
        <v>11</v>
      </c>
      <c r="O25">
        <v>1.9159999999999999</v>
      </c>
      <c r="P25">
        <v>165.08160000000001</v>
      </c>
      <c r="Q25">
        <v>400.53919999999999</v>
      </c>
      <c r="R25" t="s">
        <v>10</v>
      </c>
      <c r="S25" t="s">
        <v>89</v>
      </c>
      <c r="T25" s="4">
        <v>44834</v>
      </c>
      <c r="U25" s="5">
        <v>0.40818287037037032</v>
      </c>
      <c r="V25" t="s">
        <v>13</v>
      </c>
      <c r="W25">
        <v>1.1599999999999999</v>
      </c>
      <c r="X25">
        <v>3104.5542</v>
      </c>
      <c r="Y25">
        <v>124495.7417</v>
      </c>
      <c r="Z25" t="s">
        <v>1689</v>
      </c>
      <c r="AA25">
        <v>2.2130000000000001</v>
      </c>
      <c r="AB25">
        <v>68.955200000000005</v>
      </c>
      <c r="AC25">
        <v>8.3900000000000002E-2</v>
      </c>
      <c r="AD25" t="s">
        <v>10</v>
      </c>
      <c r="AE25">
        <f>P25*'Run 1 Curve Parameters'!$D$3+'Run 1 Curve Parameters'!$E$3</f>
        <v>477.14728283803402</v>
      </c>
      <c r="AF25">
        <f>K25*'Run 1 Curve Parameters'!$D$2+'Run 1 Curve Parameters'!$E$2</f>
        <v>-28.783973913807486</v>
      </c>
    </row>
    <row r="26" spans="1:32">
      <c r="A26" s="2">
        <v>25</v>
      </c>
      <c r="B26" s="3" t="s">
        <v>5</v>
      </c>
      <c r="C26" s="2" t="s">
        <v>6</v>
      </c>
      <c r="D26" s="2">
        <v>25</v>
      </c>
      <c r="E26" s="2" t="s">
        <v>90</v>
      </c>
      <c r="F26" t="s">
        <v>91</v>
      </c>
      <c r="G26" s="4">
        <v>44834</v>
      </c>
      <c r="H26" s="5">
        <v>0.41193287037037035</v>
      </c>
      <c r="I26" t="s">
        <v>9</v>
      </c>
      <c r="J26">
        <v>1.41</v>
      </c>
      <c r="K26">
        <v>0.39700000000000002</v>
      </c>
      <c r="L26">
        <v>2.0350000000000001</v>
      </c>
      <c r="M26" t="s">
        <v>10</v>
      </c>
      <c r="N26" t="s">
        <v>11</v>
      </c>
      <c r="O26">
        <v>1.9330000000000001</v>
      </c>
      <c r="P26">
        <v>126.0158</v>
      </c>
      <c r="Q26">
        <v>256.1619</v>
      </c>
      <c r="R26" t="s">
        <v>10</v>
      </c>
      <c r="S26" t="s">
        <v>92</v>
      </c>
      <c r="T26" s="4">
        <v>44834</v>
      </c>
      <c r="U26" s="5">
        <v>0.41193287037037035</v>
      </c>
      <c r="V26" t="s">
        <v>13</v>
      </c>
      <c r="W26">
        <v>1.1659999999999999</v>
      </c>
      <c r="X26">
        <v>3083.3274000000001</v>
      </c>
      <c r="Y26">
        <v>122558.64840000001</v>
      </c>
      <c r="Z26" t="s">
        <v>1689</v>
      </c>
      <c r="AA26">
        <v>2.2330000000000001</v>
      </c>
      <c r="AB26">
        <v>55.592599999999997</v>
      </c>
      <c r="AC26">
        <v>2.9100000000000001E-2</v>
      </c>
      <c r="AD26" t="s">
        <v>10</v>
      </c>
      <c r="AE26">
        <f>P26*'Run 1 Curve Parameters'!$D$3+'Run 1 Curve Parameters'!$E$3</f>
        <v>314.12866994805859</v>
      </c>
      <c r="AF26">
        <f>K26*'Run 1 Curve Parameters'!$D$2+'Run 1 Curve Parameters'!$E$2</f>
        <v>-106.3537730725056</v>
      </c>
    </row>
    <row r="27" spans="1:32">
      <c r="A27" s="2">
        <v>26</v>
      </c>
      <c r="B27" s="3" t="s">
        <v>5</v>
      </c>
      <c r="C27" s="2" t="s">
        <v>6</v>
      </c>
      <c r="D27" s="2">
        <v>26</v>
      </c>
      <c r="E27" s="2" t="s">
        <v>93</v>
      </c>
      <c r="F27" t="s">
        <v>94</v>
      </c>
      <c r="G27" s="4">
        <v>44834</v>
      </c>
      <c r="H27" s="5">
        <v>0.41568287037037038</v>
      </c>
      <c r="I27" t="s">
        <v>9</v>
      </c>
      <c r="J27">
        <v>1.41</v>
      </c>
      <c r="K27">
        <v>0.36580000000000001</v>
      </c>
      <c r="L27">
        <v>1.9000999999999999</v>
      </c>
      <c r="M27" t="s">
        <v>10</v>
      </c>
      <c r="N27" t="s">
        <v>11</v>
      </c>
      <c r="O27">
        <v>1.9330000000000001</v>
      </c>
      <c r="P27">
        <v>123.2278</v>
      </c>
      <c r="Q27">
        <v>245.85820000000001</v>
      </c>
      <c r="R27" t="s">
        <v>10</v>
      </c>
      <c r="S27" t="s">
        <v>95</v>
      </c>
      <c r="T27" s="4">
        <v>44834</v>
      </c>
      <c r="U27" s="5">
        <v>0.41568287037037038</v>
      </c>
      <c r="V27" t="s">
        <v>13</v>
      </c>
      <c r="W27">
        <v>1.1659999999999999</v>
      </c>
      <c r="X27">
        <v>3017.6134000000002</v>
      </c>
      <c r="Y27">
        <v>116767.19130000001</v>
      </c>
      <c r="Z27" t="s">
        <v>1689</v>
      </c>
      <c r="AA27">
        <v>2.2360000000000002</v>
      </c>
      <c r="AB27">
        <v>56.705800000000004</v>
      </c>
      <c r="AC27">
        <v>3.3700000000000001E-2</v>
      </c>
      <c r="AD27" t="s">
        <v>10</v>
      </c>
      <c r="AE27">
        <f>P27*'Run 1 Curve Parameters'!$D$3+'Run 1 Curve Parameters'!$E$3</f>
        <v>302.49455794376706</v>
      </c>
      <c r="AF27">
        <f>K27*'Run 1 Curve Parameters'!$D$2+'Run 1 Curve Parameters'!$E$2</f>
        <v>-106.54374589219785</v>
      </c>
    </row>
    <row r="28" spans="1:32">
      <c r="A28" s="2">
        <v>27</v>
      </c>
      <c r="B28" s="3" t="s">
        <v>96</v>
      </c>
      <c r="C28" s="2" t="s">
        <v>6</v>
      </c>
      <c r="D28" s="2">
        <v>27</v>
      </c>
      <c r="E28" s="2" t="s">
        <v>97</v>
      </c>
      <c r="F28" t="s">
        <v>98</v>
      </c>
      <c r="G28" s="4">
        <v>44834</v>
      </c>
      <c r="H28" s="5">
        <v>0.41944444444444445</v>
      </c>
      <c r="I28" t="s">
        <v>9</v>
      </c>
      <c r="J28">
        <v>0</v>
      </c>
      <c r="K28">
        <v>0</v>
      </c>
      <c r="L28">
        <v>0</v>
      </c>
      <c r="M28" t="s">
        <v>10</v>
      </c>
      <c r="N28" t="s">
        <v>11</v>
      </c>
      <c r="O28">
        <v>1.93</v>
      </c>
      <c r="P28">
        <v>12.7037</v>
      </c>
      <c r="Q28">
        <v>0</v>
      </c>
      <c r="R28" t="s">
        <v>10</v>
      </c>
      <c r="S28" t="s">
        <v>99</v>
      </c>
      <c r="T28" s="4">
        <v>44834</v>
      </c>
      <c r="U28" s="5">
        <v>0.41944444444444445</v>
      </c>
      <c r="V28" t="s">
        <v>13</v>
      </c>
      <c r="W28">
        <v>1.1559999999999999</v>
      </c>
      <c r="X28">
        <v>940.11339999999996</v>
      </c>
      <c r="Y28">
        <v>0</v>
      </c>
      <c r="Z28" t="s">
        <v>1689</v>
      </c>
      <c r="AA28">
        <v>2.2400000000000002</v>
      </c>
      <c r="AB28">
        <v>6.5975999999999999</v>
      </c>
      <c r="AC28">
        <v>0</v>
      </c>
      <c r="AD28" t="s">
        <v>10</v>
      </c>
      <c r="AE28">
        <f>P28*'Run 1 Curve Parameters'!$D$3+'Run 1 Curve Parameters'!$E$3</f>
        <v>-158.71410725476773</v>
      </c>
      <c r="AF28">
        <f>K28*'Run 1 Curve Parameters'!$D$2+'Run 1 Curve Parameters'!$E$2</f>
        <v>-108.77105542564095</v>
      </c>
    </row>
    <row r="29" spans="1:32">
      <c r="A29" s="2">
        <v>28</v>
      </c>
      <c r="B29" s="3" t="s">
        <v>5</v>
      </c>
      <c r="C29" s="2" t="s">
        <v>6</v>
      </c>
      <c r="D29" s="2">
        <v>28</v>
      </c>
      <c r="E29" s="2" t="s">
        <v>100</v>
      </c>
      <c r="F29" t="s">
        <v>101</v>
      </c>
      <c r="G29" s="4">
        <v>44834</v>
      </c>
      <c r="H29" s="5">
        <v>0.42319444444444443</v>
      </c>
      <c r="I29" t="s">
        <v>9</v>
      </c>
      <c r="J29">
        <v>1.4159999999999999</v>
      </c>
      <c r="K29">
        <v>0.37359999999999999</v>
      </c>
      <c r="L29">
        <v>1.9338</v>
      </c>
      <c r="M29" t="s">
        <v>10</v>
      </c>
      <c r="N29" t="s">
        <v>11</v>
      </c>
      <c r="O29">
        <v>1.946</v>
      </c>
      <c r="P29">
        <v>164.9888</v>
      </c>
      <c r="Q29">
        <v>400.19619999999998</v>
      </c>
      <c r="R29" t="s">
        <v>10</v>
      </c>
      <c r="S29" t="s">
        <v>102</v>
      </c>
      <c r="T29" s="4">
        <v>44834</v>
      </c>
      <c r="U29" s="5">
        <v>0.42319444444444443</v>
      </c>
      <c r="V29" t="s">
        <v>13</v>
      </c>
      <c r="W29">
        <v>1.1659999999999999</v>
      </c>
      <c r="X29">
        <v>3179.2919999999999</v>
      </c>
      <c r="Y29">
        <v>131631.53589999999</v>
      </c>
      <c r="Z29" t="s">
        <v>1689</v>
      </c>
      <c r="AA29">
        <v>2.2530000000000001</v>
      </c>
      <c r="AB29">
        <v>57.674199999999999</v>
      </c>
      <c r="AC29">
        <v>3.7600000000000001E-2</v>
      </c>
      <c r="AD29" t="s">
        <v>10</v>
      </c>
      <c r="AE29">
        <f>P29*'Run 1 Curve Parameters'!$D$3+'Run 1 Curve Parameters'!$E$3</f>
        <v>476.76003549441907</v>
      </c>
      <c r="AF29">
        <f>K29*'Run 1 Curve Parameters'!$D$2+'Run 1 Curve Parameters'!$E$2</f>
        <v>-106.49625268727479</v>
      </c>
    </row>
    <row r="30" spans="1:32">
      <c r="A30" s="2">
        <v>29</v>
      </c>
      <c r="B30" s="3" t="s">
        <v>103</v>
      </c>
      <c r="C30" s="2" t="s">
        <v>6</v>
      </c>
      <c r="D30" s="2">
        <v>29</v>
      </c>
      <c r="E30" s="2" t="s">
        <v>104</v>
      </c>
      <c r="F30" t="s">
        <v>105</v>
      </c>
      <c r="G30" s="4">
        <v>44834</v>
      </c>
      <c r="H30" s="5">
        <v>0.4269444444444444</v>
      </c>
      <c r="I30" t="s">
        <v>9</v>
      </c>
      <c r="J30">
        <v>1.413</v>
      </c>
      <c r="K30">
        <v>0.14879999999999999</v>
      </c>
      <c r="L30">
        <v>0.96150000000000002</v>
      </c>
      <c r="M30" t="s">
        <v>10</v>
      </c>
      <c r="N30" t="s">
        <v>11</v>
      </c>
      <c r="O30">
        <v>1.9430000000000001</v>
      </c>
      <c r="P30">
        <v>39.930999999999997</v>
      </c>
      <c r="Q30">
        <v>0</v>
      </c>
      <c r="R30" t="s">
        <v>10</v>
      </c>
      <c r="S30" t="s">
        <v>106</v>
      </c>
      <c r="T30" s="4">
        <v>44834</v>
      </c>
      <c r="U30" s="5">
        <v>0.4269444444444444</v>
      </c>
      <c r="V30" t="s">
        <v>13</v>
      </c>
      <c r="W30">
        <v>1.1659999999999999</v>
      </c>
      <c r="X30">
        <v>1768.8222000000001</v>
      </c>
      <c r="Y30">
        <v>37612.1999</v>
      </c>
      <c r="Z30" t="s">
        <v>1689</v>
      </c>
      <c r="AA30">
        <v>2.246</v>
      </c>
      <c r="AB30">
        <v>21.120200000000001</v>
      </c>
      <c r="AC30">
        <v>0</v>
      </c>
      <c r="AD30" t="s">
        <v>10</v>
      </c>
      <c r="AE30">
        <f>P30*'Run 1 Curve Parameters'!$D$3+'Run 1 Curve Parameters'!$E$3</f>
        <v>-45.096654681436974</v>
      </c>
      <c r="AF30">
        <f>K30*'Run 1 Curve Parameters'!$D$2+'Run 1 Curve Parameters'!$E$2</f>
        <v>-107.86503120864715</v>
      </c>
    </row>
    <row r="31" spans="1:32">
      <c r="A31" s="2">
        <v>30</v>
      </c>
      <c r="B31" s="3" t="s">
        <v>5</v>
      </c>
      <c r="C31" s="2" t="s">
        <v>6</v>
      </c>
      <c r="D31" s="2">
        <v>30</v>
      </c>
      <c r="E31" s="2" t="s">
        <v>107</v>
      </c>
      <c r="F31" t="s">
        <v>108</v>
      </c>
      <c r="G31" s="4">
        <v>44834</v>
      </c>
      <c r="H31" s="5">
        <v>0.43069444444444444</v>
      </c>
      <c r="I31" t="s">
        <v>9</v>
      </c>
      <c r="J31">
        <v>1.42</v>
      </c>
      <c r="K31">
        <v>0.3614</v>
      </c>
      <c r="L31">
        <v>1.8811</v>
      </c>
      <c r="M31" t="s">
        <v>10</v>
      </c>
      <c r="N31" t="s">
        <v>11</v>
      </c>
      <c r="O31">
        <v>1.95</v>
      </c>
      <c r="P31">
        <v>134.756</v>
      </c>
      <c r="Q31">
        <v>288.46350000000001</v>
      </c>
      <c r="R31" t="s">
        <v>10</v>
      </c>
      <c r="S31" t="s">
        <v>109</v>
      </c>
      <c r="T31" s="4">
        <v>44834</v>
      </c>
      <c r="U31" s="5">
        <v>0.43069444444444444</v>
      </c>
      <c r="V31" t="s">
        <v>13</v>
      </c>
      <c r="W31">
        <v>1.17</v>
      </c>
      <c r="X31">
        <v>3245.4551999999999</v>
      </c>
      <c r="Y31">
        <v>138424.45910000001</v>
      </c>
      <c r="Z31" t="s">
        <v>1689</v>
      </c>
      <c r="AA31">
        <v>2.2559999999999998</v>
      </c>
      <c r="AB31">
        <v>62.279699999999998</v>
      </c>
      <c r="AC31">
        <v>5.6500000000000002E-2</v>
      </c>
      <c r="AD31" t="s">
        <v>10</v>
      </c>
      <c r="AE31">
        <f>P31*'Run 1 Curve Parameters'!$D$3+'Run 1 Curve Parameters'!$E$3</f>
        <v>350.60085995519944</v>
      </c>
      <c r="AF31">
        <f>K31*'Run 1 Curve Parameters'!$D$2+'Run 1 Curve Parameters'!$E$2</f>
        <v>-106.57053693087239</v>
      </c>
    </row>
    <row r="32" spans="1:32">
      <c r="A32" s="2">
        <v>31</v>
      </c>
      <c r="B32" s="3" t="s">
        <v>110</v>
      </c>
      <c r="C32" s="2" t="s">
        <v>6</v>
      </c>
      <c r="D32" s="2">
        <v>31</v>
      </c>
      <c r="E32" s="2" t="s">
        <v>111</v>
      </c>
      <c r="F32" t="s">
        <v>112</v>
      </c>
      <c r="G32" s="4">
        <v>44834</v>
      </c>
      <c r="H32" s="5">
        <v>0.43444444444444441</v>
      </c>
      <c r="I32" t="s">
        <v>9</v>
      </c>
      <c r="J32">
        <v>1.4059999999999999</v>
      </c>
      <c r="K32">
        <v>0.1988</v>
      </c>
      <c r="L32">
        <v>1.1778</v>
      </c>
      <c r="M32" t="s">
        <v>10</v>
      </c>
      <c r="N32" t="s">
        <v>11</v>
      </c>
      <c r="O32">
        <v>1.94</v>
      </c>
      <c r="P32">
        <v>54.900399999999998</v>
      </c>
      <c r="Q32">
        <v>0</v>
      </c>
      <c r="R32" t="s">
        <v>10</v>
      </c>
      <c r="S32" t="s">
        <v>113</v>
      </c>
      <c r="T32" s="4">
        <v>44834</v>
      </c>
      <c r="U32" s="5">
        <v>0.43444444444444441</v>
      </c>
      <c r="V32" t="s">
        <v>13</v>
      </c>
      <c r="W32">
        <v>1.1599999999999999</v>
      </c>
      <c r="X32">
        <v>2264.0079999999998</v>
      </c>
      <c r="Y32">
        <v>64358.637999999999</v>
      </c>
      <c r="Z32" t="s">
        <v>1689</v>
      </c>
      <c r="AA32">
        <v>2.246</v>
      </c>
      <c r="AB32">
        <v>33.474200000000003</v>
      </c>
      <c r="AC32">
        <v>0</v>
      </c>
      <c r="AD32" t="s">
        <v>10</v>
      </c>
      <c r="AE32">
        <f>P32*'Run 1 Curve Parameters'!$D$3+'Run 1 Curve Parameters'!$E$3</f>
        <v>17.369513265851879</v>
      </c>
      <c r="AF32">
        <f>K32*'Run 1 Curve Parameters'!$D$2+'Run 1 Curve Parameters'!$E$2</f>
        <v>-107.56058758734547</v>
      </c>
    </row>
    <row r="33" spans="1:32">
      <c r="A33" s="2">
        <v>32</v>
      </c>
      <c r="B33" s="3" t="s">
        <v>5</v>
      </c>
      <c r="C33" s="2" t="s">
        <v>6</v>
      </c>
      <c r="D33" s="2">
        <v>32</v>
      </c>
      <c r="E33" s="2" t="s">
        <v>114</v>
      </c>
      <c r="F33" t="s">
        <v>115</v>
      </c>
      <c r="G33" s="4">
        <v>44834</v>
      </c>
      <c r="H33" s="5">
        <v>0.4381944444444445</v>
      </c>
      <c r="I33" t="s">
        <v>9</v>
      </c>
      <c r="J33">
        <v>1.41</v>
      </c>
      <c r="K33">
        <v>0.28299999999999997</v>
      </c>
      <c r="L33">
        <v>1.542</v>
      </c>
      <c r="M33" t="s">
        <v>10</v>
      </c>
      <c r="N33" t="s">
        <v>11</v>
      </c>
      <c r="O33">
        <v>1.9430000000000001</v>
      </c>
      <c r="P33">
        <v>149.32140000000001</v>
      </c>
      <c r="Q33">
        <v>342.29349999999999</v>
      </c>
      <c r="R33" t="s">
        <v>10</v>
      </c>
      <c r="S33" t="s">
        <v>116</v>
      </c>
      <c r="T33" s="4">
        <v>44834</v>
      </c>
      <c r="U33" s="5">
        <v>0.4381944444444445</v>
      </c>
      <c r="V33" t="s">
        <v>13</v>
      </c>
      <c r="W33">
        <v>1.1599999999999999</v>
      </c>
      <c r="X33">
        <v>3056.5934999999999</v>
      </c>
      <c r="Y33">
        <v>120118.9938</v>
      </c>
      <c r="Z33" t="s">
        <v>1689</v>
      </c>
      <c r="AA33">
        <v>2.25</v>
      </c>
      <c r="AB33">
        <v>56.562899999999999</v>
      </c>
      <c r="AC33">
        <v>3.3099999999999997E-2</v>
      </c>
      <c r="AD33" t="s">
        <v>10</v>
      </c>
      <c r="AE33">
        <f>P33*'Run 1 Curve Parameters'!$D$3+'Run 1 Curve Parameters'!$E$3</f>
        <v>411.38116662209598</v>
      </c>
      <c r="AF33">
        <f>K33*'Run 1 Curve Parameters'!$D$2+'Run 1 Curve Parameters'!$E$2</f>
        <v>-107.04790452907343</v>
      </c>
    </row>
    <row r="34" spans="1:32">
      <c r="A34" s="2">
        <v>33</v>
      </c>
      <c r="B34" s="3" t="s">
        <v>117</v>
      </c>
      <c r="C34" s="2" t="s">
        <v>6</v>
      </c>
      <c r="D34" s="2">
        <v>33</v>
      </c>
      <c r="E34" s="2" t="s">
        <v>118</v>
      </c>
      <c r="F34" t="s">
        <v>119</v>
      </c>
      <c r="G34" s="4">
        <v>44834</v>
      </c>
      <c r="H34" s="5">
        <v>0.44193287037037038</v>
      </c>
      <c r="I34" t="s">
        <v>9</v>
      </c>
      <c r="J34">
        <v>1.4059999999999999</v>
      </c>
      <c r="K34">
        <v>0.29349999999999998</v>
      </c>
      <c r="L34">
        <v>1.5873999999999999</v>
      </c>
      <c r="M34" t="s">
        <v>10</v>
      </c>
      <c r="N34" t="s">
        <v>11</v>
      </c>
      <c r="O34">
        <v>1.9359999999999999</v>
      </c>
      <c r="P34">
        <v>93.245999999999995</v>
      </c>
      <c r="Q34">
        <v>135.053</v>
      </c>
      <c r="R34" t="s">
        <v>10</v>
      </c>
      <c r="S34" t="s">
        <v>120</v>
      </c>
      <c r="T34" s="4">
        <v>44834</v>
      </c>
      <c r="U34" s="5">
        <v>0.44193287037037038</v>
      </c>
      <c r="V34" t="s">
        <v>13</v>
      </c>
      <c r="W34">
        <v>1.1559999999999999</v>
      </c>
      <c r="X34">
        <v>2677.8557999999998</v>
      </c>
      <c r="Y34">
        <v>90646.030499999993</v>
      </c>
      <c r="Z34" t="s">
        <v>1689</v>
      </c>
      <c r="AA34">
        <v>2.246</v>
      </c>
      <c r="AB34">
        <v>48.035200000000003</v>
      </c>
      <c r="AC34">
        <v>0</v>
      </c>
      <c r="AD34" t="s">
        <v>10</v>
      </c>
      <c r="AE34">
        <f>P34*'Run 1 Curve Parameters'!$D$3+'Run 1 Curve Parameters'!$E$3</f>
        <v>177.38278631885061</v>
      </c>
      <c r="AF34">
        <f>K34*'Run 1 Curve Parameters'!$D$2+'Run 1 Curve Parameters'!$E$2</f>
        <v>-106.98397136860008</v>
      </c>
    </row>
    <row r="35" spans="1:32">
      <c r="A35" s="2">
        <v>34</v>
      </c>
      <c r="B35" s="3" t="s">
        <v>5</v>
      </c>
      <c r="C35" s="2" t="s">
        <v>6</v>
      </c>
      <c r="D35" s="2">
        <v>34</v>
      </c>
      <c r="E35" s="2" t="s">
        <v>121</v>
      </c>
      <c r="F35" t="s">
        <v>122</v>
      </c>
      <c r="G35" s="4">
        <v>44834</v>
      </c>
      <c r="H35" s="5">
        <v>0.44568287037037035</v>
      </c>
      <c r="I35" t="s">
        <v>9</v>
      </c>
      <c r="J35">
        <v>1.4159999999999999</v>
      </c>
      <c r="K35">
        <v>0.39019999999999999</v>
      </c>
      <c r="L35">
        <v>2.0055999999999998</v>
      </c>
      <c r="M35" t="s">
        <v>10</v>
      </c>
      <c r="N35" t="s">
        <v>11</v>
      </c>
      <c r="O35">
        <v>1.9530000000000001</v>
      </c>
      <c r="P35">
        <v>143.18450000000001</v>
      </c>
      <c r="Q35">
        <v>319.61309999999997</v>
      </c>
      <c r="R35" t="s">
        <v>10</v>
      </c>
      <c r="S35" t="s">
        <v>123</v>
      </c>
      <c r="T35" s="4">
        <v>44834</v>
      </c>
      <c r="U35" s="5">
        <v>0.44568287037037035</v>
      </c>
      <c r="V35" t="s">
        <v>13</v>
      </c>
      <c r="W35">
        <v>1.17</v>
      </c>
      <c r="X35">
        <v>3355.9061999999999</v>
      </c>
      <c r="Y35">
        <v>151102.0582</v>
      </c>
      <c r="Z35" t="s">
        <v>1689</v>
      </c>
      <c r="AA35">
        <v>2.2599999999999998</v>
      </c>
      <c r="AB35">
        <v>68.574600000000004</v>
      </c>
      <c r="AC35">
        <v>8.2299999999999998E-2</v>
      </c>
      <c r="AD35" t="s">
        <v>10</v>
      </c>
      <c r="AE35">
        <f>P35*'Run 1 Curve Parameters'!$D$3+'Run 1 Curve Parameters'!$E$3</f>
        <v>385.77234956358222</v>
      </c>
      <c r="AF35">
        <f>K35*'Run 1 Curve Parameters'!$D$2+'Run 1 Curve Parameters'!$E$2</f>
        <v>-106.39517740500263</v>
      </c>
    </row>
    <row r="36" spans="1:32">
      <c r="A36" s="2">
        <v>35</v>
      </c>
      <c r="B36" s="3" t="s">
        <v>124</v>
      </c>
      <c r="C36" s="2" t="s">
        <v>6</v>
      </c>
      <c r="D36" s="2">
        <v>35</v>
      </c>
      <c r="E36" s="2" t="s">
        <v>125</v>
      </c>
      <c r="F36" t="s">
        <v>126</v>
      </c>
      <c r="G36" s="4">
        <v>44834</v>
      </c>
      <c r="H36" s="5">
        <v>0.44942129629629629</v>
      </c>
      <c r="I36" t="s">
        <v>9</v>
      </c>
      <c r="J36">
        <v>1.4</v>
      </c>
      <c r="K36">
        <v>0.40350000000000003</v>
      </c>
      <c r="L36">
        <v>2.0630999999999999</v>
      </c>
      <c r="M36" t="s">
        <v>10</v>
      </c>
      <c r="N36" t="s">
        <v>11</v>
      </c>
      <c r="O36">
        <v>1.93</v>
      </c>
      <c r="P36">
        <v>101.3862</v>
      </c>
      <c r="Q36">
        <v>165.13720000000001</v>
      </c>
      <c r="R36" t="s">
        <v>10</v>
      </c>
      <c r="S36" t="s">
        <v>127</v>
      </c>
      <c r="T36" s="4">
        <v>44834</v>
      </c>
      <c r="U36" s="5">
        <v>0.44942129629629629</v>
      </c>
      <c r="V36" t="s">
        <v>13</v>
      </c>
      <c r="W36">
        <v>1.1559999999999999</v>
      </c>
      <c r="X36">
        <v>2961.9964</v>
      </c>
      <c r="Y36">
        <v>112070.413</v>
      </c>
      <c r="Z36" t="s">
        <v>1689</v>
      </c>
      <c r="AA36">
        <v>2.2330000000000001</v>
      </c>
      <c r="AB36">
        <v>62.127600000000001</v>
      </c>
      <c r="AC36">
        <v>5.5899999999999998E-2</v>
      </c>
      <c r="AD36" t="s">
        <v>10</v>
      </c>
      <c r="AE36">
        <f>P36*'Run 1 Curve Parameters'!$D$3+'Run 1 Curve Parameters'!$E$3</f>
        <v>211.35122194917119</v>
      </c>
      <c r="AF36">
        <f>K36*'Run 1 Curve Parameters'!$D$2+'Run 1 Curve Parameters'!$E$2</f>
        <v>-106.31419540173638</v>
      </c>
    </row>
    <row r="37" spans="1:32">
      <c r="A37" s="2">
        <v>36</v>
      </c>
      <c r="B37" s="3" t="s">
        <v>5</v>
      </c>
      <c r="C37" s="2" t="s">
        <v>6</v>
      </c>
      <c r="D37" s="2">
        <v>36</v>
      </c>
      <c r="E37" s="2" t="s">
        <v>128</v>
      </c>
      <c r="F37" t="s">
        <v>129</v>
      </c>
      <c r="G37" s="4">
        <v>44834</v>
      </c>
      <c r="H37" s="5">
        <v>0.45317129629629632</v>
      </c>
      <c r="I37" t="s">
        <v>9</v>
      </c>
      <c r="J37">
        <v>1.4059999999999999</v>
      </c>
      <c r="K37">
        <v>0.33379999999999999</v>
      </c>
      <c r="L37">
        <v>1.7617</v>
      </c>
      <c r="M37" t="s">
        <v>10</v>
      </c>
      <c r="N37" t="s">
        <v>11</v>
      </c>
      <c r="O37">
        <v>1.94</v>
      </c>
      <c r="P37">
        <v>117.27630000000001</v>
      </c>
      <c r="Q37">
        <v>223.8629</v>
      </c>
      <c r="R37" t="s">
        <v>10</v>
      </c>
      <c r="S37" t="s">
        <v>130</v>
      </c>
      <c r="T37" s="4">
        <v>44834</v>
      </c>
      <c r="U37" s="5">
        <v>0.45317129629629632</v>
      </c>
      <c r="V37" t="s">
        <v>13</v>
      </c>
      <c r="W37">
        <v>1.1599999999999999</v>
      </c>
      <c r="X37">
        <v>2936.8861999999999</v>
      </c>
      <c r="Y37">
        <v>110037.288</v>
      </c>
      <c r="Z37" t="s">
        <v>1689</v>
      </c>
      <c r="AA37">
        <v>2.246</v>
      </c>
      <c r="AB37">
        <v>53.918999999999997</v>
      </c>
      <c r="AC37">
        <v>2.2200000000000001E-2</v>
      </c>
      <c r="AD37" t="s">
        <v>10</v>
      </c>
      <c r="AE37">
        <f>P37*'Run 1 Curve Parameters'!$D$3+'Run 1 Curve Parameters'!$E$3</f>
        <v>277.65940098769073</v>
      </c>
      <c r="AF37">
        <f>K37*'Run 1 Curve Parameters'!$D$2+'Run 1 Curve Parameters'!$E$2</f>
        <v>-106.73858980983093</v>
      </c>
    </row>
    <row r="38" spans="1:32">
      <c r="A38" s="2">
        <v>37</v>
      </c>
      <c r="B38" s="3" t="s">
        <v>131</v>
      </c>
      <c r="C38" s="2" t="s">
        <v>6</v>
      </c>
      <c r="D38" s="2">
        <v>37</v>
      </c>
      <c r="E38" s="2" t="s">
        <v>132</v>
      </c>
      <c r="F38" t="s">
        <v>133</v>
      </c>
      <c r="G38" s="4">
        <v>44834</v>
      </c>
      <c r="H38" s="5">
        <v>0.4569212962962963</v>
      </c>
      <c r="I38" t="s">
        <v>9</v>
      </c>
      <c r="J38">
        <v>1.403</v>
      </c>
      <c r="K38">
        <v>0.45540000000000003</v>
      </c>
      <c r="L38">
        <v>2.2875999999999999</v>
      </c>
      <c r="M38" t="s">
        <v>10</v>
      </c>
      <c r="N38" t="s">
        <v>11</v>
      </c>
      <c r="O38">
        <v>1.9359999999999999</v>
      </c>
      <c r="P38">
        <v>113.7486</v>
      </c>
      <c r="Q38">
        <v>210.82550000000001</v>
      </c>
      <c r="R38" t="s">
        <v>10</v>
      </c>
      <c r="S38" t="s">
        <v>134</v>
      </c>
      <c r="T38" s="4">
        <v>44834</v>
      </c>
      <c r="U38" s="5">
        <v>0.4569212962962963</v>
      </c>
      <c r="V38" t="s">
        <v>13</v>
      </c>
      <c r="W38">
        <v>1.1559999999999999</v>
      </c>
      <c r="X38">
        <v>3321.0814</v>
      </c>
      <c r="Y38">
        <v>146841.16099999999</v>
      </c>
      <c r="Z38" t="s">
        <v>1689</v>
      </c>
      <c r="AA38">
        <v>2.246</v>
      </c>
      <c r="AB38">
        <v>72.868399999999994</v>
      </c>
      <c r="AC38">
        <v>9.9900000000000003E-2</v>
      </c>
      <c r="AD38" t="s">
        <v>10</v>
      </c>
      <c r="AE38">
        <f>P38*'Run 1 Curve Parameters'!$D$3+'Run 1 Curve Parameters'!$E$3</f>
        <v>262.93857712917594</v>
      </c>
      <c r="AF38">
        <f>K38*'Run 1 Curve Parameters'!$D$2+'Run 1 Curve Parameters'!$E$2</f>
        <v>-105.99818292282524</v>
      </c>
    </row>
    <row r="39" spans="1:32">
      <c r="A39" s="2">
        <v>38</v>
      </c>
      <c r="B39" s="3" t="s">
        <v>5</v>
      </c>
      <c r="C39" s="2" t="s">
        <v>6</v>
      </c>
      <c r="D39" s="2">
        <v>38</v>
      </c>
      <c r="E39" s="2" t="s">
        <v>135</v>
      </c>
      <c r="F39" t="s">
        <v>136</v>
      </c>
      <c r="G39" s="4">
        <v>44834</v>
      </c>
      <c r="H39" s="5">
        <v>0.46067129629629627</v>
      </c>
      <c r="I39" t="s">
        <v>9</v>
      </c>
      <c r="J39">
        <v>1.413</v>
      </c>
      <c r="K39">
        <v>0.34799999999999998</v>
      </c>
      <c r="L39">
        <v>1.8230999999999999</v>
      </c>
      <c r="M39" t="s">
        <v>10</v>
      </c>
      <c r="N39" t="s">
        <v>11</v>
      </c>
      <c r="O39">
        <v>1.946</v>
      </c>
      <c r="P39">
        <v>98.2</v>
      </c>
      <c r="Q39">
        <v>153.36179999999999</v>
      </c>
      <c r="R39" t="s">
        <v>10</v>
      </c>
      <c r="S39" t="s">
        <v>137</v>
      </c>
      <c r="T39" s="4">
        <v>44834</v>
      </c>
      <c r="U39" s="5">
        <v>0.46067129629629627</v>
      </c>
      <c r="V39" t="s">
        <v>13</v>
      </c>
      <c r="W39">
        <v>1.1659999999999999</v>
      </c>
      <c r="X39">
        <v>3115.0796</v>
      </c>
      <c r="Y39">
        <v>125456.25780000001</v>
      </c>
      <c r="Z39" t="s">
        <v>1689</v>
      </c>
      <c r="AA39">
        <v>2.2559999999999998</v>
      </c>
      <c r="AB39">
        <v>58.106200000000001</v>
      </c>
      <c r="AC39">
        <v>3.9399999999999998E-2</v>
      </c>
      <c r="AD39" t="s">
        <v>10</v>
      </c>
      <c r="AE39">
        <f>P39*'Run 1 Curve Parameters'!$D$3+'Run 1 Curve Parameters'!$E$3</f>
        <v>198.05545162346328</v>
      </c>
      <c r="AF39">
        <f>K39*'Run 1 Curve Parameters'!$D$2+'Run 1 Curve Parameters'!$E$2</f>
        <v>-106.65212782138124</v>
      </c>
    </row>
    <row r="40" spans="1:32">
      <c r="A40" s="2">
        <v>39</v>
      </c>
      <c r="B40" s="3" t="s">
        <v>138</v>
      </c>
      <c r="C40" s="2" t="s">
        <v>6</v>
      </c>
      <c r="D40" s="2">
        <v>39</v>
      </c>
      <c r="E40" s="2" t="s">
        <v>139</v>
      </c>
      <c r="F40" t="s">
        <v>140</v>
      </c>
      <c r="G40" s="4">
        <v>44834</v>
      </c>
      <c r="H40" s="5">
        <v>0.46440972222222227</v>
      </c>
      <c r="I40" t="s">
        <v>9</v>
      </c>
      <c r="J40">
        <v>1.403</v>
      </c>
      <c r="K40">
        <v>0.53779999999999994</v>
      </c>
      <c r="L40">
        <v>2.6440000000000001</v>
      </c>
      <c r="M40" t="s">
        <v>10</v>
      </c>
      <c r="N40" t="s">
        <v>11</v>
      </c>
      <c r="O40">
        <v>1.9359999999999999</v>
      </c>
      <c r="P40">
        <v>138.17060000000001</v>
      </c>
      <c r="Q40">
        <v>301.08300000000003</v>
      </c>
      <c r="R40" t="s">
        <v>10</v>
      </c>
      <c r="S40" t="s">
        <v>141</v>
      </c>
      <c r="T40" s="4">
        <v>44834</v>
      </c>
      <c r="U40" s="5">
        <v>0.46440972222222227</v>
      </c>
      <c r="V40" t="s">
        <v>13</v>
      </c>
      <c r="W40">
        <v>1.1599999999999999</v>
      </c>
      <c r="X40">
        <v>3632.2024999999999</v>
      </c>
      <c r="Y40">
        <v>190707.1336</v>
      </c>
      <c r="Z40" t="s">
        <v>1689</v>
      </c>
      <c r="AA40">
        <v>2.246</v>
      </c>
      <c r="AB40">
        <v>90.689400000000006</v>
      </c>
      <c r="AC40">
        <v>0.17299999999999999</v>
      </c>
      <c r="AD40" t="s">
        <v>10</v>
      </c>
      <c r="AE40">
        <f>P40*'Run 1 Curve Parameters'!$D$3+'Run 1 Curve Parameters'!$E$3</f>
        <v>364.84972611368357</v>
      </c>
      <c r="AF40">
        <f>K40*'Run 1 Curve Parameters'!$D$2+'Run 1 Curve Parameters'!$E$2</f>
        <v>-105.49645983492006</v>
      </c>
    </row>
    <row r="41" spans="1:32">
      <c r="A41" s="2">
        <v>40</v>
      </c>
      <c r="B41" s="3" t="s">
        <v>5</v>
      </c>
      <c r="C41" s="2" t="s">
        <v>6</v>
      </c>
      <c r="D41" s="2">
        <v>40</v>
      </c>
      <c r="E41" s="2" t="s">
        <v>142</v>
      </c>
      <c r="F41" t="s">
        <v>143</v>
      </c>
      <c r="G41" s="4">
        <v>44834</v>
      </c>
      <c r="H41" s="5">
        <v>0.46815972222222224</v>
      </c>
      <c r="I41" t="s">
        <v>9</v>
      </c>
      <c r="J41">
        <v>1.4059999999999999</v>
      </c>
      <c r="K41">
        <v>0.33979999999999999</v>
      </c>
      <c r="L41">
        <v>1.7876000000000001</v>
      </c>
      <c r="M41" t="s">
        <v>10</v>
      </c>
      <c r="N41" t="s">
        <v>11</v>
      </c>
      <c r="O41">
        <v>1.94</v>
      </c>
      <c r="P41">
        <v>99.265000000000001</v>
      </c>
      <c r="Q41">
        <v>157.29769999999999</v>
      </c>
      <c r="R41" t="s">
        <v>10</v>
      </c>
      <c r="S41" t="s">
        <v>144</v>
      </c>
      <c r="T41" s="4">
        <v>44834</v>
      </c>
      <c r="U41" s="5">
        <v>0.46815972222222224</v>
      </c>
      <c r="V41" t="s">
        <v>13</v>
      </c>
      <c r="W41">
        <v>1.1599999999999999</v>
      </c>
      <c r="X41">
        <v>3120.2361999999998</v>
      </c>
      <c r="Y41">
        <v>125926.83349999999</v>
      </c>
      <c r="Z41" t="s">
        <v>1689</v>
      </c>
      <c r="AA41">
        <v>2.246</v>
      </c>
      <c r="AB41">
        <v>64.375500000000002</v>
      </c>
      <c r="AC41">
        <v>6.5100000000000005E-2</v>
      </c>
      <c r="AD41" t="s">
        <v>10</v>
      </c>
      <c r="AE41">
        <f>P41*'Run 1 Curve Parameters'!$D$3+'Run 1 Curve Parameters'!$E$3</f>
        <v>202.49961564231927</v>
      </c>
      <c r="AF41">
        <f>K41*'Run 1 Curve Parameters'!$D$2+'Run 1 Curve Parameters'!$E$2</f>
        <v>-106.70205657527472</v>
      </c>
    </row>
    <row r="42" spans="1:32">
      <c r="A42" s="2">
        <v>41</v>
      </c>
      <c r="B42" s="3" t="s">
        <v>5</v>
      </c>
      <c r="C42" s="2" t="s">
        <v>6</v>
      </c>
      <c r="D42" s="2">
        <v>41</v>
      </c>
      <c r="E42" s="2" t="s">
        <v>145</v>
      </c>
      <c r="F42" t="s">
        <v>146</v>
      </c>
      <c r="G42" s="4">
        <v>44834</v>
      </c>
      <c r="H42" s="5">
        <v>0.47192129629629626</v>
      </c>
      <c r="I42" t="s">
        <v>9</v>
      </c>
      <c r="J42">
        <v>1.4159999999999999</v>
      </c>
      <c r="K42">
        <v>0.3589</v>
      </c>
      <c r="L42">
        <v>1.8702000000000001</v>
      </c>
      <c r="M42" t="s">
        <v>10</v>
      </c>
      <c r="N42" t="s">
        <v>11</v>
      </c>
      <c r="O42">
        <v>1.95</v>
      </c>
      <c r="P42">
        <v>110.70740000000001</v>
      </c>
      <c r="Q42">
        <v>199.58600000000001</v>
      </c>
      <c r="R42" t="s">
        <v>10</v>
      </c>
      <c r="S42" t="s">
        <v>147</v>
      </c>
      <c r="T42" s="4">
        <v>44834</v>
      </c>
      <c r="U42" s="5">
        <v>0.47192129629629626</v>
      </c>
      <c r="V42" t="s">
        <v>13</v>
      </c>
      <c r="W42">
        <v>1.1659999999999999</v>
      </c>
      <c r="X42">
        <v>3284.6673000000001</v>
      </c>
      <c r="Y42">
        <v>142721.856</v>
      </c>
      <c r="Z42" t="s">
        <v>1689</v>
      </c>
      <c r="AA42">
        <v>2.2599999999999998</v>
      </c>
      <c r="AB42">
        <v>66.504599999999996</v>
      </c>
      <c r="AC42">
        <v>7.3800000000000004E-2</v>
      </c>
      <c r="AD42" t="s">
        <v>10</v>
      </c>
      <c r="AE42">
        <f>P42*'Run 1 Curve Parameters'!$D$3+'Run 1 Curve Parameters'!$E$3</f>
        <v>250.24788077786633</v>
      </c>
      <c r="AF42">
        <f>K42*'Run 1 Curve Parameters'!$D$2+'Run 1 Curve Parameters'!$E$2</f>
        <v>-106.58575911193748</v>
      </c>
    </row>
    <row r="43" spans="1:32">
      <c r="A43" s="2">
        <v>42</v>
      </c>
      <c r="B43" s="3" t="s">
        <v>5</v>
      </c>
      <c r="C43" s="2" t="s">
        <v>6</v>
      </c>
      <c r="D43" s="2">
        <v>42</v>
      </c>
      <c r="E43" s="2" t="s">
        <v>148</v>
      </c>
      <c r="F43" t="s">
        <v>149</v>
      </c>
      <c r="G43" s="4">
        <v>44834</v>
      </c>
      <c r="H43" s="5">
        <v>0.47565972222222225</v>
      </c>
      <c r="I43" t="s">
        <v>9</v>
      </c>
      <c r="J43">
        <v>1.4059999999999999</v>
      </c>
      <c r="K43">
        <v>0.32900000000000001</v>
      </c>
      <c r="L43">
        <v>1.7408999999999999</v>
      </c>
      <c r="M43" t="s">
        <v>10</v>
      </c>
      <c r="N43" t="s">
        <v>11</v>
      </c>
      <c r="O43">
        <v>1.9359999999999999</v>
      </c>
      <c r="P43">
        <v>99.654799999999994</v>
      </c>
      <c r="Q43">
        <v>158.73830000000001</v>
      </c>
      <c r="R43" t="s">
        <v>10</v>
      </c>
      <c r="S43" t="s">
        <v>150</v>
      </c>
      <c r="T43" s="4">
        <v>44834</v>
      </c>
      <c r="U43" s="5">
        <v>0.47565972222222225</v>
      </c>
      <c r="V43" t="s">
        <v>13</v>
      </c>
      <c r="W43">
        <v>1.1559999999999999</v>
      </c>
      <c r="X43">
        <v>3004.518</v>
      </c>
      <c r="Y43">
        <v>115643.5379</v>
      </c>
      <c r="Z43" t="s">
        <v>1689</v>
      </c>
      <c r="AA43">
        <v>2.2429999999999999</v>
      </c>
      <c r="AB43">
        <v>56.7624</v>
      </c>
      <c r="AC43">
        <v>3.39E-2</v>
      </c>
      <c r="AD43" t="s">
        <v>10</v>
      </c>
      <c r="AE43">
        <f>P43*'Run 1 Curve Parameters'!$D$3+'Run 1 Curve Parameters'!$E$3</f>
        <v>204.12622140246015</v>
      </c>
      <c r="AF43">
        <f>K43*'Run 1 Curve Parameters'!$D$2+'Run 1 Curve Parameters'!$E$2</f>
        <v>-106.76781639747588</v>
      </c>
    </row>
    <row r="44" spans="1:32">
      <c r="A44" s="2">
        <v>43</v>
      </c>
      <c r="B44" s="3" t="s">
        <v>151</v>
      </c>
      <c r="C44" s="2" t="s">
        <v>6</v>
      </c>
      <c r="D44" s="2">
        <v>43</v>
      </c>
      <c r="E44" s="2" t="s">
        <v>152</v>
      </c>
      <c r="F44" t="s">
        <v>153</v>
      </c>
      <c r="G44" s="4">
        <v>44834</v>
      </c>
      <c r="H44" s="5">
        <v>0.47942129629629626</v>
      </c>
      <c r="I44" t="s">
        <v>9</v>
      </c>
      <c r="J44">
        <v>0</v>
      </c>
      <c r="K44">
        <v>0</v>
      </c>
      <c r="L44">
        <v>0</v>
      </c>
      <c r="M44" t="s">
        <v>10</v>
      </c>
      <c r="N44" t="s">
        <v>11</v>
      </c>
      <c r="O44">
        <v>1.9359999999999999</v>
      </c>
      <c r="P44">
        <v>8.9723000000000006</v>
      </c>
      <c r="Q44">
        <v>0</v>
      </c>
      <c r="R44" t="s">
        <v>10</v>
      </c>
      <c r="S44" t="s">
        <v>154</v>
      </c>
      <c r="T44" s="4">
        <v>44834</v>
      </c>
      <c r="U44" s="5">
        <v>0.47942129629629626</v>
      </c>
      <c r="V44" t="s">
        <v>13</v>
      </c>
      <c r="W44">
        <v>1.153</v>
      </c>
      <c r="X44">
        <v>781.4982</v>
      </c>
      <c r="Y44">
        <v>0</v>
      </c>
      <c r="Z44" t="s">
        <v>1689</v>
      </c>
      <c r="AA44">
        <v>0</v>
      </c>
      <c r="AB44">
        <v>0</v>
      </c>
      <c r="AC44">
        <v>0</v>
      </c>
      <c r="AD44" t="s">
        <v>10</v>
      </c>
      <c r="AE44">
        <f>P44*'Run 1 Curve Parameters'!$D$3+'Run 1 Curve Parameters'!$E$3</f>
        <v>-174.28495572421298</v>
      </c>
      <c r="AF44">
        <f>K44*'Run 1 Curve Parameters'!$D$2+'Run 1 Curve Parameters'!$E$2</f>
        <v>-108.77105542564095</v>
      </c>
    </row>
    <row r="45" spans="1:32">
      <c r="A45" s="2">
        <v>44</v>
      </c>
      <c r="B45" s="3" t="s">
        <v>5</v>
      </c>
      <c r="C45" s="2" t="s">
        <v>6</v>
      </c>
      <c r="D45" s="2">
        <v>44</v>
      </c>
      <c r="E45" s="2" t="s">
        <v>155</v>
      </c>
      <c r="F45" t="s">
        <v>156</v>
      </c>
      <c r="G45" s="4">
        <v>44834</v>
      </c>
      <c r="H45" s="5">
        <v>0.48317129629629635</v>
      </c>
      <c r="I45" t="s">
        <v>9</v>
      </c>
      <c r="J45">
        <v>1.4059999999999999</v>
      </c>
      <c r="K45">
        <v>0.36880000000000002</v>
      </c>
      <c r="L45">
        <v>1.9131</v>
      </c>
      <c r="M45" t="s">
        <v>10</v>
      </c>
      <c r="N45" t="s">
        <v>11</v>
      </c>
      <c r="O45">
        <v>1.9359999999999999</v>
      </c>
      <c r="P45">
        <v>109.414</v>
      </c>
      <c r="Q45">
        <v>194.80590000000001</v>
      </c>
      <c r="R45" t="s">
        <v>10</v>
      </c>
      <c r="S45" t="s">
        <v>157</v>
      </c>
      <c r="T45" s="4">
        <v>44834</v>
      </c>
      <c r="U45" s="5">
        <v>0.48317129629629635</v>
      </c>
      <c r="V45" t="s">
        <v>13</v>
      </c>
      <c r="W45">
        <v>1.1599999999999999</v>
      </c>
      <c r="X45">
        <v>3130.1727999999998</v>
      </c>
      <c r="Y45">
        <v>126844.94289999999</v>
      </c>
      <c r="Z45" t="s">
        <v>1689</v>
      </c>
      <c r="AA45">
        <v>2.246</v>
      </c>
      <c r="AB45">
        <v>63.515799999999999</v>
      </c>
      <c r="AC45">
        <v>6.1600000000000002E-2</v>
      </c>
      <c r="AD45" t="s">
        <v>10</v>
      </c>
      <c r="AE45">
        <f>P45*'Run 1 Curve Parameters'!$D$3+'Run 1 Curve Parameters'!$E$3</f>
        <v>244.85062092623411</v>
      </c>
      <c r="AF45">
        <f>K45*'Run 1 Curve Parameters'!$D$2+'Run 1 Curve Parameters'!$E$2</f>
        <v>-106.52547927491975</v>
      </c>
    </row>
    <row r="46" spans="1:32">
      <c r="A46" s="2">
        <v>45</v>
      </c>
      <c r="B46" s="3" t="s">
        <v>158</v>
      </c>
      <c r="C46" s="2" t="s">
        <v>6</v>
      </c>
      <c r="D46" s="2">
        <v>45</v>
      </c>
      <c r="E46" s="2" t="s">
        <v>159</v>
      </c>
      <c r="F46" t="s">
        <v>160</v>
      </c>
      <c r="G46" s="4">
        <v>44834</v>
      </c>
      <c r="H46" s="5">
        <v>0.48692129629629632</v>
      </c>
      <c r="I46" t="s">
        <v>9</v>
      </c>
      <c r="J46">
        <v>0</v>
      </c>
      <c r="K46">
        <v>0</v>
      </c>
      <c r="L46">
        <v>0</v>
      </c>
      <c r="M46" t="s">
        <v>10</v>
      </c>
      <c r="N46" t="s">
        <v>11</v>
      </c>
      <c r="O46">
        <v>1.9359999999999999</v>
      </c>
      <c r="P46">
        <v>16.661999999999999</v>
      </c>
      <c r="Q46">
        <v>0</v>
      </c>
      <c r="R46" t="s">
        <v>10</v>
      </c>
      <c r="S46" t="s">
        <v>161</v>
      </c>
      <c r="T46" s="4">
        <v>44834</v>
      </c>
      <c r="U46" s="5">
        <v>0.48692129629629632</v>
      </c>
      <c r="V46" t="s">
        <v>13</v>
      </c>
      <c r="W46">
        <v>1.1559999999999999</v>
      </c>
      <c r="X46">
        <v>1655.3430000000001</v>
      </c>
      <c r="Y46">
        <v>31987.663100000002</v>
      </c>
      <c r="Z46" t="s">
        <v>1689</v>
      </c>
      <c r="AA46">
        <v>2.2429999999999999</v>
      </c>
      <c r="AB46">
        <v>6.0114000000000001</v>
      </c>
      <c r="AC46">
        <v>0</v>
      </c>
      <c r="AD46" t="s">
        <v>10</v>
      </c>
      <c r="AE46">
        <f>P46*'Run 1 Curve Parameters'!$D$3+'Run 1 Curve Parameters'!$E$3</f>
        <v>-142.1964223384883</v>
      </c>
      <c r="AF46">
        <f>K46*'Run 1 Curve Parameters'!$D$2+'Run 1 Curve Parameters'!$E$2</f>
        <v>-108.77105542564095</v>
      </c>
    </row>
    <row r="47" spans="1:32">
      <c r="A47" s="2">
        <v>46</v>
      </c>
      <c r="B47" s="3" t="s">
        <v>5</v>
      </c>
      <c r="C47" s="2" t="s">
        <v>6</v>
      </c>
      <c r="D47" s="2">
        <v>46</v>
      </c>
      <c r="E47" s="2" t="s">
        <v>162</v>
      </c>
      <c r="F47" t="s">
        <v>163</v>
      </c>
      <c r="G47" s="4">
        <v>44834</v>
      </c>
      <c r="H47" s="5">
        <v>0.4906712962962963</v>
      </c>
      <c r="I47" t="s">
        <v>9</v>
      </c>
      <c r="J47">
        <v>1.41</v>
      </c>
      <c r="K47">
        <v>0.32579999999999998</v>
      </c>
      <c r="L47">
        <v>1.7271000000000001</v>
      </c>
      <c r="M47" t="s">
        <v>10</v>
      </c>
      <c r="N47" t="s">
        <v>11</v>
      </c>
      <c r="O47">
        <v>1.95</v>
      </c>
      <c r="P47">
        <v>97.729500000000002</v>
      </c>
      <c r="Q47">
        <v>151.62289999999999</v>
      </c>
      <c r="R47" t="s">
        <v>10</v>
      </c>
      <c r="S47" t="s">
        <v>164</v>
      </c>
      <c r="T47" s="4">
        <v>44834</v>
      </c>
      <c r="U47" s="5">
        <v>0.4906712962962963</v>
      </c>
      <c r="V47" t="s">
        <v>13</v>
      </c>
      <c r="W47">
        <v>1.163</v>
      </c>
      <c r="X47">
        <v>3085.0012000000002</v>
      </c>
      <c r="Y47">
        <v>122711.3943</v>
      </c>
      <c r="Z47" t="s">
        <v>1689</v>
      </c>
      <c r="AA47">
        <v>2.2559999999999998</v>
      </c>
      <c r="AB47">
        <v>57.855800000000002</v>
      </c>
      <c r="AC47">
        <v>3.8399999999999997E-2</v>
      </c>
      <c r="AD47" t="s">
        <v>10</v>
      </c>
      <c r="AE47">
        <f>P47*'Run 1 Curve Parameters'!$D$3+'Run 1 Curve Parameters'!$E$3</f>
        <v>196.09209089964008</v>
      </c>
      <c r="AF47">
        <f>K47*'Run 1 Curve Parameters'!$D$2+'Run 1 Curve Parameters'!$E$2</f>
        <v>-106.7873007892392</v>
      </c>
    </row>
    <row r="48" spans="1:32">
      <c r="A48" s="2">
        <v>47</v>
      </c>
      <c r="B48" s="3" t="s">
        <v>165</v>
      </c>
      <c r="C48" s="2" t="s">
        <v>6</v>
      </c>
      <c r="D48" s="2">
        <v>47</v>
      </c>
      <c r="E48" s="2" t="s">
        <v>166</v>
      </c>
      <c r="F48" t="s">
        <v>167</v>
      </c>
      <c r="G48" s="4">
        <v>44834</v>
      </c>
      <c r="H48" s="5">
        <v>0.49442129629629633</v>
      </c>
      <c r="I48" t="s">
        <v>9</v>
      </c>
      <c r="J48">
        <v>0</v>
      </c>
      <c r="K48">
        <v>0</v>
      </c>
      <c r="L48">
        <v>0</v>
      </c>
      <c r="M48" t="s">
        <v>10</v>
      </c>
      <c r="N48" t="s">
        <v>11</v>
      </c>
      <c r="O48">
        <v>1.9359999999999999</v>
      </c>
      <c r="P48">
        <v>13.303699999999999</v>
      </c>
      <c r="Q48">
        <v>0</v>
      </c>
      <c r="R48" t="s">
        <v>10</v>
      </c>
      <c r="S48" t="s">
        <v>168</v>
      </c>
      <c r="T48" s="4">
        <v>44834</v>
      </c>
      <c r="U48" s="5">
        <v>0.49442129629629633</v>
      </c>
      <c r="V48" t="s">
        <v>13</v>
      </c>
      <c r="W48">
        <v>1.1559999999999999</v>
      </c>
      <c r="X48">
        <v>2049.4194000000002</v>
      </c>
      <c r="Y48">
        <v>52256.621599999999</v>
      </c>
      <c r="Z48" t="s">
        <v>1689</v>
      </c>
      <c r="AA48">
        <v>2.246</v>
      </c>
      <c r="AB48">
        <v>7.3667999999999996</v>
      </c>
      <c r="AC48">
        <v>0</v>
      </c>
      <c r="AD48" t="s">
        <v>10</v>
      </c>
      <c r="AE48">
        <f>P48*'Run 1 Curve Parameters'!$D$3+'Run 1 Curve Parameters'!$E$3</f>
        <v>-156.21035287794746</v>
      </c>
      <c r="AF48">
        <f>K48*'Run 1 Curve Parameters'!$D$2+'Run 1 Curve Parameters'!$E$2</f>
        <v>-108.77105542564095</v>
      </c>
    </row>
    <row r="49" spans="1:32">
      <c r="A49" s="2">
        <v>48</v>
      </c>
      <c r="B49" s="3" t="s">
        <v>5</v>
      </c>
      <c r="C49" s="2" t="s">
        <v>6</v>
      </c>
      <c r="D49" s="2">
        <v>48</v>
      </c>
      <c r="E49" s="2" t="s">
        <v>169</v>
      </c>
      <c r="F49" t="s">
        <v>170</v>
      </c>
      <c r="G49" s="4">
        <v>44834</v>
      </c>
      <c r="H49" s="5">
        <v>0.49815972222222221</v>
      </c>
      <c r="I49" t="s">
        <v>9</v>
      </c>
      <c r="J49">
        <v>1.4159999999999999</v>
      </c>
      <c r="K49">
        <v>0.34179999999999999</v>
      </c>
      <c r="L49">
        <v>1.7963</v>
      </c>
      <c r="M49" t="s">
        <v>10</v>
      </c>
      <c r="N49" t="s">
        <v>11</v>
      </c>
      <c r="O49">
        <v>1.9530000000000001</v>
      </c>
      <c r="P49">
        <v>106.7157</v>
      </c>
      <c r="Q49">
        <v>184.83359999999999</v>
      </c>
      <c r="R49" t="s">
        <v>10</v>
      </c>
      <c r="S49" t="s">
        <v>171</v>
      </c>
      <c r="T49" s="4">
        <v>44834</v>
      </c>
      <c r="U49" s="5">
        <v>0.49815972222222221</v>
      </c>
      <c r="V49" t="s">
        <v>13</v>
      </c>
      <c r="W49">
        <v>1.1659999999999999</v>
      </c>
      <c r="X49">
        <v>3192.3065999999999</v>
      </c>
      <c r="Y49">
        <v>132899.7893</v>
      </c>
      <c r="Z49" t="s">
        <v>1689</v>
      </c>
      <c r="AA49">
        <v>2.2629999999999999</v>
      </c>
      <c r="AB49">
        <v>65.989000000000004</v>
      </c>
      <c r="AC49">
        <v>7.17E-2</v>
      </c>
      <c r="AD49" t="s">
        <v>10</v>
      </c>
      <c r="AE49">
        <f>P49*'Run 1 Curve Parameters'!$D$3+'Run 1 Curve Parameters'!$E$3</f>
        <v>233.59082020127721</v>
      </c>
      <c r="AF49">
        <f>K49*'Run 1 Curve Parameters'!$D$2+'Run 1 Curve Parameters'!$E$2</f>
        <v>-106.68987883042266</v>
      </c>
    </row>
    <row r="50" spans="1:32">
      <c r="A50" s="2">
        <v>49</v>
      </c>
      <c r="B50" s="3" t="s">
        <v>172</v>
      </c>
      <c r="C50" s="2" t="s">
        <v>6</v>
      </c>
      <c r="D50" s="2">
        <v>49</v>
      </c>
      <c r="E50" s="2" t="s">
        <v>173</v>
      </c>
      <c r="F50" t="s">
        <v>174</v>
      </c>
      <c r="G50" s="4">
        <v>44834</v>
      </c>
      <c r="H50" s="5">
        <v>0.50190972222222219</v>
      </c>
      <c r="I50" t="s">
        <v>9</v>
      </c>
      <c r="J50">
        <v>0</v>
      </c>
      <c r="K50">
        <v>0</v>
      </c>
      <c r="L50">
        <v>0</v>
      </c>
      <c r="M50" t="s">
        <v>10</v>
      </c>
      <c r="N50" t="s">
        <v>11</v>
      </c>
      <c r="O50">
        <v>1.9430000000000001</v>
      </c>
      <c r="P50">
        <v>11.8392</v>
      </c>
      <c r="Q50">
        <v>0</v>
      </c>
      <c r="R50" t="s">
        <v>10</v>
      </c>
      <c r="S50" t="s">
        <v>175</v>
      </c>
      <c r="T50" s="4">
        <v>44834</v>
      </c>
      <c r="U50" s="5">
        <v>0.50190972222222219</v>
      </c>
      <c r="V50" t="s">
        <v>13</v>
      </c>
      <c r="W50">
        <v>1.1599999999999999</v>
      </c>
      <c r="X50">
        <v>2794.3532</v>
      </c>
      <c r="Y50">
        <v>98986.728400000007</v>
      </c>
      <c r="Z50" t="s">
        <v>1689</v>
      </c>
      <c r="AA50">
        <v>2.2400000000000002</v>
      </c>
      <c r="AB50">
        <v>6.8631000000000002</v>
      </c>
      <c r="AC50">
        <v>0</v>
      </c>
      <c r="AD50" t="s">
        <v>10</v>
      </c>
      <c r="AE50">
        <f>P50*'Run 1 Curve Parameters'!$D$3+'Run 1 Curve Parameters'!$E$3</f>
        <v>-162.32160001936961</v>
      </c>
      <c r="AF50">
        <f>K50*'Run 1 Curve Parameters'!$D$2+'Run 1 Curve Parameters'!$E$2</f>
        <v>-108.77105542564095</v>
      </c>
    </row>
    <row r="51" spans="1:32">
      <c r="A51" s="2">
        <v>50</v>
      </c>
      <c r="B51" s="3" t="s">
        <v>5</v>
      </c>
      <c r="C51" s="2" t="s">
        <v>6</v>
      </c>
      <c r="D51" s="2">
        <v>50</v>
      </c>
      <c r="E51" s="2" t="s">
        <v>176</v>
      </c>
      <c r="F51" t="s">
        <v>177</v>
      </c>
      <c r="G51" s="4">
        <v>44834</v>
      </c>
      <c r="H51" s="5">
        <v>0.50565972222222222</v>
      </c>
      <c r="I51" t="s">
        <v>9</v>
      </c>
      <c r="J51">
        <v>1.4059999999999999</v>
      </c>
      <c r="K51">
        <v>0.3664</v>
      </c>
      <c r="L51">
        <v>1.9027000000000001</v>
      </c>
      <c r="M51" t="s">
        <v>10</v>
      </c>
      <c r="N51" t="s">
        <v>11</v>
      </c>
      <c r="O51">
        <v>1.94</v>
      </c>
      <c r="P51">
        <v>109.1571</v>
      </c>
      <c r="Q51">
        <v>193.85640000000001</v>
      </c>
      <c r="R51" t="s">
        <v>10</v>
      </c>
      <c r="S51" t="s">
        <v>178</v>
      </c>
      <c r="T51" s="4">
        <v>44834</v>
      </c>
      <c r="U51" s="5">
        <v>0.50565972222222222</v>
      </c>
      <c r="V51" t="s">
        <v>13</v>
      </c>
      <c r="W51">
        <v>1.1559999999999999</v>
      </c>
      <c r="X51">
        <v>3137.2979999999998</v>
      </c>
      <c r="Y51">
        <v>127539.283</v>
      </c>
      <c r="Z51" t="s">
        <v>1689</v>
      </c>
      <c r="AA51">
        <v>2.2530000000000001</v>
      </c>
      <c r="AB51">
        <v>65.1554</v>
      </c>
      <c r="AC51">
        <v>6.83E-2</v>
      </c>
      <c r="AD51" t="s">
        <v>10</v>
      </c>
      <c r="AE51">
        <f>P51*'Run 1 Curve Parameters'!$D$3+'Run 1 Curve Parameters'!$E$3</f>
        <v>243.77859676055886</v>
      </c>
      <c r="AF51">
        <f>K51*'Run 1 Curve Parameters'!$D$2+'Run 1 Curve Parameters'!$E$2</f>
        <v>-106.54009256874222</v>
      </c>
    </row>
    <row r="52" spans="1:32">
      <c r="A52" s="2">
        <v>51</v>
      </c>
      <c r="B52" s="3" t="s">
        <v>179</v>
      </c>
      <c r="C52" s="2" t="s">
        <v>6</v>
      </c>
      <c r="D52" s="2">
        <v>51</v>
      </c>
      <c r="E52" s="2" t="s">
        <v>180</v>
      </c>
      <c r="F52" t="s">
        <v>181</v>
      </c>
      <c r="G52" s="4">
        <v>44834</v>
      </c>
      <c r="H52" s="5">
        <v>0.5093981481481481</v>
      </c>
      <c r="I52" t="s">
        <v>9</v>
      </c>
      <c r="J52">
        <v>0</v>
      </c>
      <c r="K52">
        <v>0</v>
      </c>
      <c r="L52">
        <v>0</v>
      </c>
      <c r="M52" t="s">
        <v>10</v>
      </c>
      <c r="N52" t="s">
        <v>11</v>
      </c>
      <c r="O52">
        <v>1.9430000000000001</v>
      </c>
      <c r="P52">
        <v>11.961</v>
      </c>
      <c r="Q52">
        <v>0</v>
      </c>
      <c r="R52" t="s">
        <v>10</v>
      </c>
      <c r="S52" t="s">
        <v>182</v>
      </c>
      <c r="T52" s="4">
        <v>44834</v>
      </c>
      <c r="U52" s="5">
        <v>0.5093981481481481</v>
      </c>
      <c r="V52" t="s">
        <v>13</v>
      </c>
      <c r="W52">
        <v>1.1599999999999999</v>
      </c>
      <c r="X52">
        <v>3357.1442000000002</v>
      </c>
      <c r="Y52">
        <v>151253.53049999999</v>
      </c>
      <c r="Z52" t="s">
        <v>1689</v>
      </c>
      <c r="AA52">
        <v>2.2530000000000001</v>
      </c>
      <c r="AB52">
        <v>6.7808000000000002</v>
      </c>
      <c r="AC52">
        <v>0</v>
      </c>
      <c r="AD52" t="s">
        <v>10</v>
      </c>
      <c r="AE52">
        <f>P52*'Run 1 Curve Parameters'!$D$3+'Run 1 Curve Parameters'!$E$3</f>
        <v>-161.81333788087508</v>
      </c>
      <c r="AF52">
        <f>K52*'Run 1 Curve Parameters'!$D$2+'Run 1 Curve Parameters'!$E$2</f>
        <v>-108.77105542564095</v>
      </c>
    </row>
    <row r="53" spans="1:32">
      <c r="A53" s="2">
        <v>52</v>
      </c>
      <c r="B53" s="3" t="s">
        <v>5</v>
      </c>
      <c r="C53" s="2" t="s">
        <v>6</v>
      </c>
      <c r="D53" s="2">
        <v>52</v>
      </c>
      <c r="E53" s="2" t="s">
        <v>183</v>
      </c>
      <c r="F53" t="s">
        <v>184</v>
      </c>
      <c r="G53" s="4">
        <v>44834</v>
      </c>
      <c r="H53" s="5">
        <v>0.51314814814814813</v>
      </c>
      <c r="I53" t="s">
        <v>9</v>
      </c>
      <c r="J53">
        <v>1.4159999999999999</v>
      </c>
      <c r="K53">
        <v>0.38059999999999999</v>
      </c>
      <c r="L53">
        <v>1.9641</v>
      </c>
      <c r="M53" t="s">
        <v>10</v>
      </c>
      <c r="N53" t="s">
        <v>11</v>
      </c>
      <c r="O53">
        <v>1.956</v>
      </c>
      <c r="P53">
        <v>103.5333</v>
      </c>
      <c r="Q53">
        <v>173.07230000000001</v>
      </c>
      <c r="R53" t="s">
        <v>10</v>
      </c>
      <c r="S53" t="s">
        <v>185</v>
      </c>
      <c r="T53" s="4">
        <v>44834</v>
      </c>
      <c r="U53" s="5">
        <v>0.51314814814814813</v>
      </c>
      <c r="V53" t="s">
        <v>13</v>
      </c>
      <c r="W53">
        <v>1.1659999999999999</v>
      </c>
      <c r="X53">
        <v>3193.8876</v>
      </c>
      <c r="Y53">
        <v>133053.8554</v>
      </c>
      <c r="Z53" t="s">
        <v>1689</v>
      </c>
      <c r="AA53">
        <v>2.266</v>
      </c>
      <c r="AB53">
        <v>60.858199999999997</v>
      </c>
      <c r="AC53">
        <v>5.0700000000000002E-2</v>
      </c>
      <c r="AD53" t="s">
        <v>10</v>
      </c>
      <c r="AE53">
        <f>P53*'Run 1 Curve Parameters'!$D$3+'Run 1 Curve Parameters'!$E$3</f>
        <v>220.31090698662251</v>
      </c>
      <c r="AF53">
        <f>K53*'Run 1 Curve Parameters'!$D$2+'Run 1 Curve Parameters'!$E$2</f>
        <v>-106.45363058029255</v>
      </c>
    </row>
    <row r="54" spans="1:32">
      <c r="A54" s="2">
        <v>53</v>
      </c>
      <c r="B54" s="3" t="s">
        <v>5</v>
      </c>
      <c r="C54" s="2" t="s">
        <v>6</v>
      </c>
      <c r="D54" s="2">
        <v>53</v>
      </c>
      <c r="E54" s="2" t="s">
        <v>186</v>
      </c>
      <c r="F54" t="s">
        <v>187</v>
      </c>
      <c r="G54" s="4">
        <v>44834</v>
      </c>
      <c r="H54" s="5">
        <v>0.51689814814814816</v>
      </c>
      <c r="I54" t="s">
        <v>9</v>
      </c>
      <c r="J54">
        <v>1.4059999999999999</v>
      </c>
      <c r="K54">
        <v>0.34</v>
      </c>
      <c r="L54">
        <v>1.7885</v>
      </c>
      <c r="M54" t="s">
        <v>10</v>
      </c>
      <c r="N54" t="s">
        <v>11</v>
      </c>
      <c r="O54">
        <v>1.946</v>
      </c>
      <c r="P54">
        <v>115.26860000000001</v>
      </c>
      <c r="Q54">
        <v>216.44300000000001</v>
      </c>
      <c r="R54" t="s">
        <v>10</v>
      </c>
      <c r="S54" t="s">
        <v>188</v>
      </c>
      <c r="T54" s="4">
        <v>44834</v>
      </c>
      <c r="U54" s="5">
        <v>0.51689814814814816</v>
      </c>
      <c r="V54" t="s">
        <v>13</v>
      </c>
      <c r="W54">
        <v>1.1599999999999999</v>
      </c>
      <c r="X54">
        <v>3040.5639999999999</v>
      </c>
      <c r="Y54">
        <v>118736.47199999999</v>
      </c>
      <c r="Z54" t="s">
        <v>1689</v>
      </c>
      <c r="AA54">
        <v>2.2559999999999998</v>
      </c>
      <c r="AB54">
        <v>61.606999999999999</v>
      </c>
      <c r="AC54">
        <v>5.3699999999999998E-2</v>
      </c>
      <c r="AD54" t="s">
        <v>10</v>
      </c>
      <c r="AE54">
        <f>P54*'Run 1 Curve Parameters'!$D$3+'Run 1 Curve Parameters'!$E$3</f>
        <v>269.28142155045401</v>
      </c>
      <c r="AF54">
        <f>K54*'Run 1 Curve Parameters'!$D$2+'Run 1 Curve Parameters'!$E$2</f>
        <v>-106.70083880078951</v>
      </c>
    </row>
    <row r="55" spans="1:32">
      <c r="A55" s="2">
        <v>54</v>
      </c>
      <c r="B55" s="3" t="s">
        <v>5</v>
      </c>
      <c r="C55" s="2" t="s">
        <v>6</v>
      </c>
      <c r="D55" s="2">
        <v>54</v>
      </c>
      <c r="E55" s="2" t="s">
        <v>189</v>
      </c>
      <c r="F55" t="s">
        <v>190</v>
      </c>
      <c r="G55" s="4">
        <v>44834</v>
      </c>
      <c r="H55" s="5">
        <v>0.52103009259259259</v>
      </c>
      <c r="I55" t="s">
        <v>9</v>
      </c>
      <c r="J55">
        <v>1.41</v>
      </c>
      <c r="K55">
        <v>0.35780000000000001</v>
      </c>
      <c r="L55">
        <v>1.8654999999999999</v>
      </c>
      <c r="M55" t="s">
        <v>10</v>
      </c>
      <c r="N55" t="s">
        <v>11</v>
      </c>
      <c r="O55">
        <v>1.946</v>
      </c>
      <c r="P55">
        <v>99.148799999999994</v>
      </c>
      <c r="Q55">
        <v>156.8683</v>
      </c>
      <c r="R55" t="s">
        <v>10</v>
      </c>
      <c r="S55" t="s">
        <v>191</v>
      </c>
      <c r="T55" s="4">
        <v>44834</v>
      </c>
      <c r="U55" s="5">
        <v>0.52103009259259259</v>
      </c>
      <c r="V55" t="s">
        <v>13</v>
      </c>
      <c r="W55">
        <v>1.1659999999999999</v>
      </c>
      <c r="X55">
        <v>3073.4656</v>
      </c>
      <c r="Y55">
        <v>121658.69040000001</v>
      </c>
      <c r="Z55" t="s">
        <v>1689</v>
      </c>
      <c r="AA55">
        <v>2.2559999999999998</v>
      </c>
      <c r="AB55">
        <v>62.131900000000002</v>
      </c>
      <c r="AC55">
        <v>5.5899999999999998E-2</v>
      </c>
      <c r="AD55" t="s">
        <v>10</v>
      </c>
      <c r="AE55">
        <f>P55*'Run 1 Curve Parameters'!$D$3+'Run 1 Curve Parameters'!$E$3</f>
        <v>202.0147218780084</v>
      </c>
      <c r="AF55">
        <f>K55*'Run 1 Curve Parameters'!$D$2+'Run 1 Curve Parameters'!$E$2</f>
        <v>-106.59245687160612</v>
      </c>
    </row>
    <row r="56" spans="1:32">
      <c r="A56" s="2">
        <v>55</v>
      </c>
      <c r="B56" s="2" t="s">
        <v>192</v>
      </c>
      <c r="C56" s="2" t="s">
        <v>193</v>
      </c>
      <c r="D56" s="2">
        <v>55</v>
      </c>
      <c r="E56" s="3" t="str">
        <f>D56&amp;"g"</f>
        <v>55g</v>
      </c>
      <c r="F56" t="s">
        <v>194</v>
      </c>
      <c r="G56" s="4">
        <v>44834</v>
      </c>
      <c r="H56" s="5">
        <v>0.52478009259259262</v>
      </c>
      <c r="I56" t="s">
        <v>9</v>
      </c>
      <c r="J56">
        <v>1.41</v>
      </c>
      <c r="K56">
        <v>6.2389999999999999</v>
      </c>
      <c r="L56">
        <v>27.303000000000001</v>
      </c>
      <c r="M56" t="s">
        <v>10</v>
      </c>
      <c r="N56" t="s">
        <v>11</v>
      </c>
      <c r="O56">
        <v>1.94</v>
      </c>
      <c r="P56">
        <v>17693.3688</v>
      </c>
      <c r="Q56">
        <v>65180.644399999997</v>
      </c>
      <c r="R56" t="s">
        <v>10</v>
      </c>
      <c r="S56" t="s">
        <v>195</v>
      </c>
      <c r="T56" s="4">
        <v>44834</v>
      </c>
      <c r="U56" s="5">
        <v>0.52478009259259262</v>
      </c>
      <c r="V56" t="s">
        <v>13</v>
      </c>
      <c r="W56">
        <v>1.1599999999999999</v>
      </c>
      <c r="X56">
        <v>2745.5214000000001</v>
      </c>
      <c r="Y56">
        <v>95433.521200000003</v>
      </c>
      <c r="Z56" t="s">
        <v>1689</v>
      </c>
      <c r="AA56">
        <v>2.25</v>
      </c>
      <c r="AB56">
        <v>350.17180000000002</v>
      </c>
      <c r="AC56">
        <v>1.2364999999999999</v>
      </c>
      <c r="AD56" t="s">
        <v>10</v>
      </c>
      <c r="AE56">
        <f>P56*'Run 1 Curve Parameters'!$D$3+'Run 1 Curve Parameters'!$E$3</f>
        <v>73621.356941442486</v>
      </c>
      <c r="AF56">
        <f>K56*'Run 1 Curve Parameters'!$D$2+'Run 1 Curve Parameters'!$E$2</f>
        <v>-70.7825803596171</v>
      </c>
    </row>
    <row r="57" spans="1:32">
      <c r="A57" s="2">
        <v>56</v>
      </c>
      <c r="B57" s="2" t="s">
        <v>196</v>
      </c>
      <c r="C57" s="2" t="s">
        <v>196</v>
      </c>
      <c r="D57" s="2">
        <v>56</v>
      </c>
      <c r="E57" s="2" t="s">
        <v>196</v>
      </c>
      <c r="F57" t="s">
        <v>197</v>
      </c>
      <c r="G57" s="4">
        <v>44834</v>
      </c>
      <c r="H57" s="5">
        <v>0.52853009259259254</v>
      </c>
      <c r="I57" t="s">
        <v>9</v>
      </c>
      <c r="J57">
        <v>0</v>
      </c>
      <c r="K57">
        <v>0</v>
      </c>
      <c r="L57">
        <v>0</v>
      </c>
      <c r="M57" t="s">
        <v>10</v>
      </c>
      <c r="N57" t="s">
        <v>11</v>
      </c>
      <c r="O57">
        <v>1.956</v>
      </c>
      <c r="P57">
        <v>154.61019999999999</v>
      </c>
      <c r="Q57">
        <v>361.83960000000002</v>
      </c>
      <c r="R57" t="s">
        <v>10</v>
      </c>
      <c r="S57" t="s">
        <v>198</v>
      </c>
      <c r="T57" s="4">
        <v>44834</v>
      </c>
      <c r="U57" s="5">
        <v>0.52853009259259254</v>
      </c>
      <c r="V57" t="s">
        <v>13</v>
      </c>
      <c r="W57">
        <v>1.1659999999999999</v>
      </c>
      <c r="X57">
        <v>3198.6341000000002</v>
      </c>
      <c r="Y57">
        <v>133529.71710000001</v>
      </c>
      <c r="Z57" t="s">
        <v>1689</v>
      </c>
      <c r="AA57">
        <v>2.2629999999999999</v>
      </c>
      <c r="AB57">
        <v>66.5488</v>
      </c>
      <c r="AC57">
        <v>7.3999999999999996E-2</v>
      </c>
      <c r="AD57" t="s">
        <v>10</v>
      </c>
      <c r="AE57">
        <f>P57*'Run 1 Curve Parameters'!$D$3+'Run 1 Curve Parameters'!$E$3</f>
        <v>433.45092686897431</v>
      </c>
      <c r="AF57">
        <f>K57*'Run 1 Curve Parameters'!$D$2+'Run 1 Curve Parameters'!$E$2</f>
        <v>-108.77105542564095</v>
      </c>
    </row>
    <row r="58" spans="1:32">
      <c r="A58" s="2">
        <v>57</v>
      </c>
      <c r="B58" s="2" t="s">
        <v>192</v>
      </c>
      <c r="C58" s="2" t="s">
        <v>199</v>
      </c>
      <c r="D58" s="2">
        <v>57</v>
      </c>
      <c r="E58" s="3" t="str">
        <f>D58&amp;"g"</f>
        <v>57g</v>
      </c>
      <c r="F58" t="s">
        <v>200</v>
      </c>
      <c r="G58" s="4">
        <v>44834</v>
      </c>
      <c r="H58" s="5">
        <v>0.53228009259259257</v>
      </c>
      <c r="I58" t="s">
        <v>9</v>
      </c>
      <c r="J58">
        <v>1.42</v>
      </c>
      <c r="K58">
        <v>14.824</v>
      </c>
      <c r="L58">
        <v>64.435000000000002</v>
      </c>
      <c r="M58" t="s">
        <v>10</v>
      </c>
      <c r="N58" t="s">
        <v>11</v>
      </c>
      <c r="O58">
        <v>1.966</v>
      </c>
      <c r="P58">
        <v>7544.7502000000004</v>
      </c>
      <c r="Q58">
        <v>27673.923200000001</v>
      </c>
      <c r="R58" t="s">
        <v>10</v>
      </c>
      <c r="S58" t="s">
        <v>201</v>
      </c>
      <c r="T58" s="4">
        <v>44834</v>
      </c>
      <c r="U58" s="5">
        <v>0.53228009259259257</v>
      </c>
      <c r="V58" t="s">
        <v>13</v>
      </c>
      <c r="W58">
        <v>1.17</v>
      </c>
      <c r="X58">
        <v>3445.2341999999999</v>
      </c>
      <c r="Y58">
        <v>163133.2819</v>
      </c>
      <c r="Z58" t="s">
        <v>1689</v>
      </c>
      <c r="AA58">
        <v>2.2599999999999998</v>
      </c>
      <c r="AB58">
        <v>238.07300000000001</v>
      </c>
      <c r="AC58">
        <v>0.77710000000000001</v>
      </c>
      <c r="AD58" t="s">
        <v>10</v>
      </c>
      <c r="AE58">
        <f>P58*'Run 1 Curve Parameters'!$D$3+'Run 1 Curve Parameters'!$E$3</f>
        <v>31271.943210726524</v>
      </c>
      <c r="AF58">
        <f>K58*'Run 1 Curve Parameters'!$D$2+'Run 1 Curve Parameters'!$E$2</f>
        <v>-18.509610582118327</v>
      </c>
    </row>
    <row r="59" spans="1:32">
      <c r="A59" s="2">
        <v>58</v>
      </c>
      <c r="B59" s="2" t="s">
        <v>196</v>
      </c>
      <c r="C59" s="2" t="s">
        <v>196</v>
      </c>
      <c r="D59" s="2">
        <v>58</v>
      </c>
      <c r="E59" s="2" t="s">
        <v>196</v>
      </c>
      <c r="F59" t="s">
        <v>202</v>
      </c>
      <c r="G59" s="4">
        <v>44834</v>
      </c>
      <c r="H59" s="5">
        <v>0.5360300925925926</v>
      </c>
      <c r="I59" t="s">
        <v>9</v>
      </c>
      <c r="J59">
        <v>1.4</v>
      </c>
      <c r="K59">
        <v>0.2757</v>
      </c>
      <c r="L59">
        <v>1.5104</v>
      </c>
      <c r="M59" t="s">
        <v>10</v>
      </c>
      <c r="N59" t="s">
        <v>11</v>
      </c>
      <c r="O59">
        <v>1.94</v>
      </c>
      <c r="P59">
        <v>146.99860000000001</v>
      </c>
      <c r="Q59">
        <v>333.709</v>
      </c>
      <c r="R59" t="s">
        <v>10</v>
      </c>
      <c r="S59" t="s">
        <v>203</v>
      </c>
      <c r="T59" s="4">
        <v>44834</v>
      </c>
      <c r="U59" s="5">
        <v>0.5360300925925926</v>
      </c>
      <c r="V59" t="s">
        <v>13</v>
      </c>
      <c r="W59">
        <v>1.1599999999999999</v>
      </c>
      <c r="X59">
        <v>3168.6772000000001</v>
      </c>
      <c r="Y59">
        <v>130597.1394</v>
      </c>
      <c r="Z59" t="s">
        <v>1689</v>
      </c>
      <c r="AA59">
        <v>2.246</v>
      </c>
      <c r="AB59">
        <v>66.724400000000003</v>
      </c>
      <c r="AC59">
        <v>7.4700000000000003E-2</v>
      </c>
      <c r="AD59" t="s">
        <v>10</v>
      </c>
      <c r="AE59">
        <f>P59*'Run 1 Curve Parameters'!$D$3+'Run 1 Curve Parameters'!$E$3</f>
        <v>401.68829884463253</v>
      </c>
      <c r="AF59">
        <f>K59*'Run 1 Curve Parameters'!$D$2+'Run 1 Curve Parameters'!$E$2</f>
        <v>-107.09235329778348</v>
      </c>
    </row>
    <row r="60" spans="1:32">
      <c r="A60" s="2">
        <v>59</v>
      </c>
      <c r="B60" s="2" t="s">
        <v>192</v>
      </c>
      <c r="C60" s="2" t="s">
        <v>204</v>
      </c>
      <c r="D60" s="2">
        <v>59</v>
      </c>
      <c r="E60" s="3" t="str">
        <f>D60&amp;"g"</f>
        <v>59g</v>
      </c>
      <c r="F60" t="s">
        <v>205</v>
      </c>
      <c r="G60" s="4">
        <v>44834</v>
      </c>
      <c r="H60" s="5">
        <v>0.53978009259259252</v>
      </c>
      <c r="I60" t="s">
        <v>9</v>
      </c>
      <c r="J60">
        <v>1.4059999999999999</v>
      </c>
      <c r="K60">
        <v>0.5796</v>
      </c>
      <c r="L60">
        <v>2.8248000000000002</v>
      </c>
      <c r="M60" t="s">
        <v>10</v>
      </c>
      <c r="N60" t="s">
        <v>11</v>
      </c>
      <c r="O60">
        <v>1.94</v>
      </c>
      <c r="P60">
        <v>812.05079999999998</v>
      </c>
      <c r="Q60">
        <v>2791.5733</v>
      </c>
      <c r="R60" t="s">
        <v>10</v>
      </c>
      <c r="S60" t="s">
        <v>206</v>
      </c>
      <c r="T60" s="4">
        <v>44834</v>
      </c>
      <c r="U60" s="5">
        <v>0.53978009259259252</v>
      </c>
      <c r="V60" t="s">
        <v>13</v>
      </c>
      <c r="W60">
        <v>1.1599999999999999</v>
      </c>
      <c r="X60">
        <v>3542.5475000000001</v>
      </c>
      <c r="Y60">
        <v>177484.92600000001</v>
      </c>
      <c r="Z60" t="s">
        <v>1689</v>
      </c>
      <c r="AA60">
        <v>2.2429999999999999</v>
      </c>
      <c r="AB60">
        <v>112.7424</v>
      </c>
      <c r="AC60">
        <v>0.26329999999999998</v>
      </c>
      <c r="AD60" t="s">
        <v>10</v>
      </c>
      <c r="AE60">
        <f>P60*'Run 1 Curve Parameters'!$D$3+'Run 1 Curve Parameters'!$E$3</f>
        <v>3176.9005597845453</v>
      </c>
      <c r="AF60">
        <f>K60*'Run 1 Curve Parameters'!$D$2+'Run 1 Curve Parameters'!$E$2</f>
        <v>-105.24194496751186</v>
      </c>
    </row>
    <row r="61" spans="1:32">
      <c r="A61" s="2">
        <v>60</v>
      </c>
      <c r="B61" s="2" t="s">
        <v>196</v>
      </c>
      <c r="C61" s="2" t="s">
        <v>196</v>
      </c>
      <c r="D61" s="2">
        <v>60</v>
      </c>
      <c r="E61" s="2" t="s">
        <v>196</v>
      </c>
      <c r="F61" t="s">
        <v>207</v>
      </c>
      <c r="G61" s="4">
        <v>44834</v>
      </c>
      <c r="H61" s="5">
        <v>0.54353009259259266</v>
      </c>
      <c r="I61" t="s">
        <v>9</v>
      </c>
      <c r="J61">
        <v>1.4159999999999999</v>
      </c>
      <c r="K61">
        <v>0.27060000000000001</v>
      </c>
      <c r="L61">
        <v>1.4883</v>
      </c>
      <c r="M61" t="s">
        <v>10</v>
      </c>
      <c r="N61" t="s">
        <v>11</v>
      </c>
      <c r="O61">
        <v>1.95</v>
      </c>
      <c r="P61">
        <v>85.928600000000003</v>
      </c>
      <c r="Q61">
        <v>108.0098</v>
      </c>
      <c r="R61" t="s">
        <v>10</v>
      </c>
      <c r="S61" t="s">
        <v>208</v>
      </c>
      <c r="T61" s="4">
        <v>44834</v>
      </c>
      <c r="U61" s="5">
        <v>0.54353009259259266</v>
      </c>
      <c r="V61" t="s">
        <v>13</v>
      </c>
      <c r="W61">
        <v>1.17</v>
      </c>
      <c r="X61">
        <v>3020.2809999999999</v>
      </c>
      <c r="Y61">
        <v>116996.0852</v>
      </c>
      <c r="Z61" t="s">
        <v>1689</v>
      </c>
      <c r="AA61">
        <v>2.2599999999999998</v>
      </c>
      <c r="AB61">
        <v>52.3992</v>
      </c>
      <c r="AC61">
        <v>1.6E-2</v>
      </c>
      <c r="AD61" t="s">
        <v>10</v>
      </c>
      <c r="AE61">
        <f>P61*'Run 1 Curve Parameters'!$D$3+'Run 1 Curve Parameters'!$E$3</f>
        <v>146.84783252394294</v>
      </c>
      <c r="AF61">
        <f>K61*'Run 1 Curve Parameters'!$D$2+'Run 1 Curve Parameters'!$E$2</f>
        <v>-107.12340654715625</v>
      </c>
    </row>
    <row r="62" spans="1:32">
      <c r="A62" s="2">
        <v>61</v>
      </c>
      <c r="B62" s="2" t="s">
        <v>192</v>
      </c>
      <c r="C62" s="2" t="s">
        <v>209</v>
      </c>
      <c r="D62" s="2">
        <v>61</v>
      </c>
      <c r="E62" s="3" t="str">
        <f>D62&amp;"g"</f>
        <v>61g</v>
      </c>
      <c r="F62" t="s">
        <v>210</v>
      </c>
      <c r="G62" s="4">
        <v>44834</v>
      </c>
      <c r="H62" s="5">
        <v>0.54726851851851854</v>
      </c>
      <c r="I62" t="s">
        <v>9</v>
      </c>
      <c r="J62">
        <v>1.4059999999999999</v>
      </c>
      <c r="K62">
        <v>0.6522</v>
      </c>
      <c r="L62">
        <v>3.1387999999999998</v>
      </c>
      <c r="M62" t="s">
        <v>10</v>
      </c>
      <c r="N62" t="s">
        <v>11</v>
      </c>
      <c r="O62">
        <v>1.94</v>
      </c>
      <c r="P62">
        <v>418.34449999999998</v>
      </c>
      <c r="Q62">
        <v>1336.5346999999999</v>
      </c>
      <c r="R62" t="s">
        <v>10</v>
      </c>
      <c r="S62" t="s">
        <v>211</v>
      </c>
      <c r="T62" s="4">
        <v>44834</v>
      </c>
      <c r="U62" s="5">
        <v>0.54726851851851854</v>
      </c>
      <c r="V62" t="s">
        <v>13</v>
      </c>
      <c r="W62">
        <v>1.1599999999999999</v>
      </c>
      <c r="X62">
        <v>3567.1041</v>
      </c>
      <c r="Y62">
        <v>181106.50270000001</v>
      </c>
      <c r="Z62" t="s">
        <v>1689</v>
      </c>
      <c r="AA62">
        <v>2.2429999999999999</v>
      </c>
      <c r="AB62">
        <v>96.932000000000002</v>
      </c>
      <c r="AC62">
        <v>0.19850000000000001</v>
      </c>
      <c r="AD62" t="s">
        <v>10</v>
      </c>
      <c r="AE62">
        <f>P62*'Run 1 Curve Parameters'!$D$3+'Run 1 Curve Parameters'!$E$3</f>
        <v>1533.9941067733566</v>
      </c>
      <c r="AF62">
        <f>K62*'Run 1 Curve Parameters'!$D$2+'Run 1 Curve Parameters'!$E$2</f>
        <v>-104.79989282938182</v>
      </c>
    </row>
    <row r="63" spans="1:32">
      <c r="A63" s="2">
        <v>62</v>
      </c>
      <c r="B63" s="2" t="s">
        <v>196</v>
      </c>
      <c r="C63" s="2" t="s">
        <v>196</v>
      </c>
      <c r="D63" s="2">
        <v>62</v>
      </c>
      <c r="E63" s="2" t="s">
        <v>196</v>
      </c>
      <c r="F63" t="s">
        <v>212</v>
      </c>
      <c r="G63" s="4">
        <v>44834</v>
      </c>
      <c r="H63" s="5">
        <v>0.55101851851851846</v>
      </c>
      <c r="I63" t="s">
        <v>9</v>
      </c>
      <c r="J63">
        <v>1.403</v>
      </c>
      <c r="K63">
        <v>0.30020000000000002</v>
      </c>
      <c r="L63">
        <v>1.6163000000000001</v>
      </c>
      <c r="M63" t="s">
        <v>10</v>
      </c>
      <c r="N63" t="s">
        <v>11</v>
      </c>
      <c r="O63">
        <v>1.9359999999999999</v>
      </c>
      <c r="P63">
        <v>93.529799999999994</v>
      </c>
      <c r="Q63">
        <v>136.1019</v>
      </c>
      <c r="R63" t="s">
        <v>10</v>
      </c>
      <c r="S63" t="s">
        <v>213</v>
      </c>
      <c r="T63" s="4">
        <v>44834</v>
      </c>
      <c r="U63" s="5">
        <v>0.55101851851851846</v>
      </c>
      <c r="V63" t="s">
        <v>13</v>
      </c>
      <c r="W63">
        <v>1.1599999999999999</v>
      </c>
      <c r="X63">
        <v>2985.6592000000001</v>
      </c>
      <c r="Y63">
        <v>114025.35490000001</v>
      </c>
      <c r="Z63" t="s">
        <v>1689</v>
      </c>
      <c r="AA63">
        <v>2.2429999999999999</v>
      </c>
      <c r="AB63">
        <v>60.106699999999996</v>
      </c>
      <c r="AC63">
        <v>4.7600000000000003E-2</v>
      </c>
      <c r="AD63" t="s">
        <v>10</v>
      </c>
      <c r="AE63">
        <f>P63*'Run 1 Curve Parameters'!$D$3+'Run 1 Curve Parameters'!$E$3</f>
        <v>178.5670621390866</v>
      </c>
      <c r="AF63">
        <f>K63*'Run 1 Curve Parameters'!$D$2+'Run 1 Curve Parameters'!$E$2</f>
        <v>-106.94317592334565</v>
      </c>
    </row>
    <row r="64" spans="1:32">
      <c r="A64" s="2">
        <v>63</v>
      </c>
      <c r="B64" s="2" t="s">
        <v>192</v>
      </c>
      <c r="C64" s="2" t="s">
        <v>214</v>
      </c>
      <c r="D64" s="2">
        <v>63</v>
      </c>
      <c r="E64" s="3" t="str">
        <f>D64&amp;"g"</f>
        <v>63g</v>
      </c>
      <c r="F64" t="s">
        <v>215</v>
      </c>
      <c r="G64" s="4">
        <v>44834</v>
      </c>
      <c r="H64" s="5">
        <v>0.55475694444444446</v>
      </c>
      <c r="I64" t="s">
        <v>9</v>
      </c>
      <c r="J64">
        <v>1.4059999999999999</v>
      </c>
      <c r="K64">
        <v>5.5582000000000003</v>
      </c>
      <c r="L64">
        <v>24.3584</v>
      </c>
      <c r="M64" t="s">
        <v>10</v>
      </c>
      <c r="N64" t="s">
        <v>11</v>
      </c>
      <c r="O64">
        <v>1.9430000000000001</v>
      </c>
      <c r="P64">
        <v>12837.626399999999</v>
      </c>
      <c r="Q64">
        <v>47235.051700000004</v>
      </c>
      <c r="R64" t="s">
        <v>10</v>
      </c>
      <c r="S64" t="s">
        <v>216</v>
      </c>
      <c r="T64" s="4">
        <v>44834</v>
      </c>
      <c r="U64" s="5">
        <v>0.55475694444444446</v>
      </c>
      <c r="V64" t="s">
        <v>13</v>
      </c>
      <c r="W64">
        <v>1.1559999999999999</v>
      </c>
      <c r="X64">
        <v>3030.5880999999999</v>
      </c>
      <c r="Y64">
        <v>117880.488</v>
      </c>
      <c r="Z64" t="s">
        <v>1689</v>
      </c>
      <c r="AA64">
        <v>2.2400000000000002</v>
      </c>
      <c r="AB64">
        <v>290.54739999999998</v>
      </c>
      <c r="AC64">
        <v>0.99209999999999998</v>
      </c>
      <c r="AD64" t="s">
        <v>10</v>
      </c>
      <c r="AE64">
        <f>P64*'Run 1 Curve Parameters'!$D$3+'Run 1 Curve Parameters'!$E$3</f>
        <v>53358.713130256234</v>
      </c>
      <c r="AF64">
        <f>K64*'Run 1 Curve Parameters'!$D$2+'Run 1 Curve Parameters'!$E$2</f>
        <v>-74.927884707260802</v>
      </c>
    </row>
    <row r="65" spans="1:32">
      <c r="A65" s="2">
        <v>64</v>
      </c>
      <c r="B65" s="2" t="s">
        <v>196</v>
      </c>
      <c r="C65" s="2" t="s">
        <v>196</v>
      </c>
      <c r="D65" s="2">
        <v>64</v>
      </c>
      <c r="E65" s="2" t="s">
        <v>196</v>
      </c>
      <c r="F65" t="s">
        <v>217</v>
      </c>
      <c r="G65" s="4">
        <v>44834</v>
      </c>
      <c r="H65" s="5">
        <v>0.55850694444444449</v>
      </c>
      <c r="I65" t="s">
        <v>9</v>
      </c>
      <c r="J65">
        <v>0</v>
      </c>
      <c r="K65">
        <v>0</v>
      </c>
      <c r="L65">
        <v>0</v>
      </c>
      <c r="M65" t="s">
        <v>10</v>
      </c>
      <c r="N65" t="s">
        <v>11</v>
      </c>
      <c r="O65">
        <v>1.94</v>
      </c>
      <c r="P65">
        <v>89.08</v>
      </c>
      <c r="Q65">
        <v>119.6566</v>
      </c>
      <c r="R65" t="s">
        <v>10</v>
      </c>
      <c r="S65" t="s">
        <v>218</v>
      </c>
      <c r="T65" s="4">
        <v>44834</v>
      </c>
      <c r="U65" s="5">
        <v>0.55850694444444449</v>
      </c>
      <c r="V65" t="s">
        <v>13</v>
      </c>
      <c r="W65">
        <v>1.1599999999999999</v>
      </c>
      <c r="X65">
        <v>2872.0868</v>
      </c>
      <c r="Y65">
        <v>104890.72100000001</v>
      </c>
      <c r="Z65" t="s">
        <v>1689</v>
      </c>
      <c r="AA65">
        <v>2.25</v>
      </c>
      <c r="AB65">
        <v>51.833599999999997</v>
      </c>
      <c r="AC65">
        <v>1.37E-2</v>
      </c>
      <c r="AD65" t="s">
        <v>10</v>
      </c>
      <c r="AE65">
        <f>P65*'Run 1 Curve Parameters'!$D$3+'Run 1 Curve Parameters'!$E$3</f>
        <v>159.99838509579524</v>
      </c>
      <c r="AF65">
        <f>K65*'Run 1 Curve Parameters'!$D$2+'Run 1 Curve Parameters'!$E$2</f>
        <v>-108.77105542564095</v>
      </c>
    </row>
    <row r="66" spans="1:32">
      <c r="A66" s="2">
        <v>65</v>
      </c>
      <c r="B66" s="2" t="s">
        <v>192</v>
      </c>
      <c r="C66" s="2" t="s">
        <v>219</v>
      </c>
      <c r="D66" s="2">
        <v>65</v>
      </c>
      <c r="E66" s="3" t="str">
        <f>D66&amp;"g"</f>
        <v>65g</v>
      </c>
      <c r="F66" t="s">
        <v>220</v>
      </c>
      <c r="G66" s="4">
        <v>44834</v>
      </c>
      <c r="H66" s="5">
        <v>0.56225694444444441</v>
      </c>
      <c r="I66" t="s">
        <v>9</v>
      </c>
      <c r="J66">
        <v>1.42</v>
      </c>
      <c r="K66">
        <v>69.391199999999998</v>
      </c>
      <c r="L66">
        <v>300.4502</v>
      </c>
      <c r="M66" t="s">
        <v>10</v>
      </c>
      <c r="N66" t="s">
        <v>11</v>
      </c>
      <c r="O66">
        <v>1.966</v>
      </c>
      <c r="P66">
        <v>4780.4642000000003</v>
      </c>
      <c r="Q66">
        <v>17457.823100000001</v>
      </c>
      <c r="R66" t="s">
        <v>10</v>
      </c>
      <c r="S66" t="s">
        <v>221</v>
      </c>
      <c r="T66" s="4">
        <v>44834</v>
      </c>
      <c r="U66" s="5">
        <v>0.56225694444444441</v>
      </c>
      <c r="V66" t="s">
        <v>13</v>
      </c>
      <c r="W66">
        <v>1.1659999999999999</v>
      </c>
      <c r="X66">
        <v>3423.3818000000001</v>
      </c>
      <c r="Y66">
        <v>159918.85269999999</v>
      </c>
      <c r="Z66" t="s">
        <v>1689</v>
      </c>
      <c r="AA66">
        <v>2.2599999999999998</v>
      </c>
      <c r="AB66">
        <v>195.12459999999999</v>
      </c>
      <c r="AC66">
        <v>0.60099999999999998</v>
      </c>
      <c r="AD66" t="s">
        <v>10</v>
      </c>
      <c r="AE66">
        <f>P66*'Run 1 Curve Parameters'!$D$3+'Run 1 Curve Parameters'!$E$3</f>
        <v>19736.787925254877</v>
      </c>
      <c r="AF66">
        <f>K66*'Run 1 Curve Parameters'!$D$2+'Run 1 Curve Parameters'!$E$2</f>
        <v>313.74310886374428</v>
      </c>
    </row>
    <row r="67" spans="1:32">
      <c r="A67" s="2">
        <v>66</v>
      </c>
      <c r="B67" s="2" t="s">
        <v>196</v>
      </c>
      <c r="C67" s="2" t="s">
        <v>196</v>
      </c>
      <c r="D67" s="2">
        <v>66</v>
      </c>
      <c r="E67" s="2" t="s">
        <v>196</v>
      </c>
      <c r="F67" t="s">
        <v>222</v>
      </c>
      <c r="G67" s="4">
        <v>44834</v>
      </c>
      <c r="H67" s="5">
        <v>0.5659953703703704</v>
      </c>
      <c r="I67" t="s">
        <v>9</v>
      </c>
      <c r="J67">
        <v>1.403</v>
      </c>
      <c r="K67">
        <v>0.31209999999999999</v>
      </c>
      <c r="L67">
        <v>1.6677999999999999</v>
      </c>
      <c r="M67" t="s">
        <v>10</v>
      </c>
      <c r="N67" t="s">
        <v>11</v>
      </c>
      <c r="O67">
        <v>1.9430000000000001</v>
      </c>
      <c r="P67">
        <v>100.2808</v>
      </c>
      <c r="Q67">
        <v>161.05189999999999</v>
      </c>
      <c r="R67" t="s">
        <v>10</v>
      </c>
      <c r="S67" t="s">
        <v>223</v>
      </c>
      <c r="T67" s="4">
        <v>44834</v>
      </c>
      <c r="U67" s="5">
        <v>0.5659953703703704</v>
      </c>
      <c r="V67" t="s">
        <v>13</v>
      </c>
      <c r="W67">
        <v>1.1599999999999999</v>
      </c>
      <c r="X67">
        <v>2928.1401999999998</v>
      </c>
      <c r="Y67">
        <v>109329.14109999999</v>
      </c>
      <c r="Z67" t="s">
        <v>1689</v>
      </c>
      <c r="AA67">
        <v>2.2559999999999998</v>
      </c>
      <c r="AB67">
        <v>57.993400000000001</v>
      </c>
      <c r="AC67">
        <v>3.8899999999999997E-2</v>
      </c>
      <c r="AD67" t="s">
        <v>10</v>
      </c>
      <c r="AE67">
        <f>P67*'Run 1 Curve Parameters'!$D$3+'Run 1 Curve Parameters'!$E$3</f>
        <v>206.73847180227597</v>
      </c>
      <c r="AF67">
        <f>K67*'Run 1 Curve Parameters'!$D$2+'Run 1 Curve Parameters'!$E$2</f>
        <v>-106.87071834147585</v>
      </c>
    </row>
    <row r="68" spans="1:32">
      <c r="A68" s="2">
        <v>67</v>
      </c>
      <c r="B68" s="2" t="s">
        <v>196</v>
      </c>
      <c r="C68" s="2" t="s">
        <v>196</v>
      </c>
      <c r="D68" s="2">
        <v>67</v>
      </c>
      <c r="E68" s="2" t="s">
        <v>196</v>
      </c>
      <c r="F68" t="s">
        <v>224</v>
      </c>
      <c r="G68" s="4">
        <v>44834</v>
      </c>
      <c r="H68" s="5">
        <v>0.56974537037037043</v>
      </c>
      <c r="I68" t="s">
        <v>9</v>
      </c>
      <c r="J68">
        <v>1.413</v>
      </c>
      <c r="K68">
        <v>0.36699999999999999</v>
      </c>
      <c r="L68">
        <v>1.9053</v>
      </c>
      <c r="M68" t="s">
        <v>10</v>
      </c>
      <c r="N68" t="s">
        <v>11</v>
      </c>
      <c r="O68">
        <v>1.95</v>
      </c>
      <c r="P68">
        <v>103.307</v>
      </c>
      <c r="Q68">
        <v>172.23599999999999</v>
      </c>
      <c r="R68" t="s">
        <v>10</v>
      </c>
      <c r="S68" t="s">
        <v>225</v>
      </c>
      <c r="T68" s="4">
        <v>44834</v>
      </c>
      <c r="U68" s="5">
        <v>0.56974537037037043</v>
      </c>
      <c r="V68" t="s">
        <v>13</v>
      </c>
      <c r="W68">
        <v>1.1659999999999999</v>
      </c>
      <c r="X68">
        <v>3120.9450000000002</v>
      </c>
      <c r="Y68">
        <v>125991.51639999999</v>
      </c>
      <c r="Z68" t="s">
        <v>1689</v>
      </c>
      <c r="AA68">
        <v>2.2629999999999999</v>
      </c>
      <c r="AB68">
        <v>65.226600000000005</v>
      </c>
      <c r="AC68">
        <v>6.8599999999999994E-2</v>
      </c>
      <c r="AD68" t="s">
        <v>10</v>
      </c>
      <c r="AE68">
        <f>P68*'Run 1 Curve Parameters'!$D$3+'Run 1 Curve Parameters'!$E$3</f>
        <v>219.36657429416516</v>
      </c>
      <c r="AF68">
        <f>K68*'Run 1 Curve Parameters'!$D$2+'Run 1 Curve Parameters'!$E$2</f>
        <v>-106.5364392452866</v>
      </c>
    </row>
    <row r="69" spans="1:32">
      <c r="A69" s="2">
        <v>68</v>
      </c>
      <c r="B69" s="2" t="s">
        <v>196</v>
      </c>
      <c r="C69" s="2" t="s">
        <v>196</v>
      </c>
      <c r="D69" s="2">
        <v>68</v>
      </c>
      <c r="E69" s="2" t="s">
        <v>196</v>
      </c>
      <c r="F69" t="s">
        <v>226</v>
      </c>
      <c r="G69" s="4">
        <v>44834</v>
      </c>
      <c r="H69" s="5">
        <v>0.57348379629629631</v>
      </c>
      <c r="I69" t="s">
        <v>9</v>
      </c>
      <c r="J69">
        <v>1.4059999999999999</v>
      </c>
      <c r="K69">
        <v>0.39200000000000002</v>
      </c>
      <c r="L69">
        <v>2.0133999999999999</v>
      </c>
      <c r="M69" t="s">
        <v>10</v>
      </c>
      <c r="N69" t="s">
        <v>11</v>
      </c>
      <c r="O69">
        <v>1.946</v>
      </c>
      <c r="P69">
        <v>130.04159999999999</v>
      </c>
      <c r="Q69">
        <v>271.0403</v>
      </c>
      <c r="R69" t="s">
        <v>10</v>
      </c>
      <c r="S69" t="s">
        <v>227</v>
      </c>
      <c r="T69" s="4">
        <v>44834</v>
      </c>
      <c r="U69" s="5">
        <v>0.57348379629629631</v>
      </c>
      <c r="V69" t="s">
        <v>13</v>
      </c>
      <c r="W69">
        <v>1.1599999999999999</v>
      </c>
      <c r="X69">
        <v>3398.0848000000001</v>
      </c>
      <c r="Y69">
        <v>156535.4878</v>
      </c>
      <c r="Z69" t="s">
        <v>1689</v>
      </c>
      <c r="AA69">
        <v>2.2599999999999998</v>
      </c>
      <c r="AB69">
        <v>78.251800000000003</v>
      </c>
      <c r="AC69">
        <v>0.122</v>
      </c>
      <c r="AD69" t="s">
        <v>10</v>
      </c>
      <c r="AE69">
        <f>P69*'Run 1 Curve Parameters'!$D$3+'Run 1 Curve Parameters'!$E$3</f>
        <v>330.92802723173031</v>
      </c>
      <c r="AF69">
        <f>K69*'Run 1 Curve Parameters'!$D$2+'Run 1 Curve Parameters'!$E$2</f>
        <v>-106.38421743463577</v>
      </c>
    </row>
    <row r="70" spans="1:32">
      <c r="A70" s="2">
        <v>69</v>
      </c>
      <c r="B70" s="2" t="s">
        <v>192</v>
      </c>
      <c r="C70" s="2" t="s">
        <v>228</v>
      </c>
      <c r="D70" s="2">
        <v>69</v>
      </c>
      <c r="E70" s="3" t="str">
        <f>D70&amp;"g"</f>
        <v>69g</v>
      </c>
      <c r="F70" t="s">
        <v>229</v>
      </c>
      <c r="G70" s="4">
        <v>44834</v>
      </c>
      <c r="H70" s="5">
        <v>0.57723379629629623</v>
      </c>
      <c r="I70" t="s">
        <v>9</v>
      </c>
      <c r="J70">
        <v>1.4159999999999999</v>
      </c>
      <c r="K70">
        <v>111.1246</v>
      </c>
      <c r="L70">
        <v>480.9563</v>
      </c>
      <c r="M70" t="s">
        <v>10</v>
      </c>
      <c r="N70" t="s">
        <v>11</v>
      </c>
      <c r="O70">
        <v>1.9530000000000001</v>
      </c>
      <c r="P70">
        <v>15504.634700000001</v>
      </c>
      <c r="Q70">
        <v>57091.638099999996</v>
      </c>
      <c r="R70" t="s">
        <v>10</v>
      </c>
      <c r="S70" t="s">
        <v>230</v>
      </c>
      <c r="T70" s="4">
        <v>44834</v>
      </c>
      <c r="U70" s="5">
        <v>0.57723379629629623</v>
      </c>
      <c r="V70" t="s">
        <v>13</v>
      </c>
      <c r="W70">
        <v>1.163</v>
      </c>
      <c r="X70">
        <v>2930.4281000000001</v>
      </c>
      <c r="Y70">
        <v>109514.38800000001</v>
      </c>
      <c r="Z70" t="s">
        <v>1689</v>
      </c>
      <c r="AA70">
        <v>2.2599999999999998</v>
      </c>
      <c r="AB70">
        <v>270.1277</v>
      </c>
      <c r="AC70">
        <v>0.90839999999999999</v>
      </c>
      <c r="AD70" t="s">
        <v>10</v>
      </c>
      <c r="AE70">
        <f>P70*'Run 1 Curve Parameters'!$D$3+'Run 1 Curve Parameters'!$E$3</f>
        <v>64487.935970491206</v>
      </c>
      <c r="AF70">
        <f>K70*'Run 1 Curve Parameters'!$D$2+'Run 1 Curve Parameters'!$E$2</f>
        <v>567.85245736837646</v>
      </c>
    </row>
    <row r="71" spans="1:32">
      <c r="A71" s="2">
        <v>70</v>
      </c>
      <c r="B71" s="2" t="s">
        <v>196</v>
      </c>
      <c r="C71" s="2" t="s">
        <v>196</v>
      </c>
      <c r="D71" s="2">
        <v>70</v>
      </c>
      <c r="E71" s="2" t="s">
        <v>196</v>
      </c>
      <c r="F71" t="s">
        <v>231</v>
      </c>
      <c r="G71" s="4">
        <v>44834</v>
      </c>
      <c r="H71" s="5">
        <v>0.58098379629629626</v>
      </c>
      <c r="I71" t="s">
        <v>9</v>
      </c>
      <c r="J71">
        <v>1.3959999999999999</v>
      </c>
      <c r="K71">
        <v>0.27939999999999998</v>
      </c>
      <c r="L71">
        <v>1.5264</v>
      </c>
      <c r="M71" t="s">
        <v>10</v>
      </c>
      <c r="N71" t="s">
        <v>11</v>
      </c>
      <c r="O71">
        <v>1.94</v>
      </c>
      <c r="P71">
        <v>186.2842</v>
      </c>
      <c r="Q71">
        <v>478.89859999999999</v>
      </c>
      <c r="R71" t="s">
        <v>10</v>
      </c>
      <c r="S71" t="s">
        <v>232</v>
      </c>
      <c r="T71" s="4">
        <v>44834</v>
      </c>
      <c r="U71" s="5">
        <v>0.58098379629629626</v>
      </c>
      <c r="V71" t="s">
        <v>13</v>
      </c>
      <c r="W71">
        <v>1.1559999999999999</v>
      </c>
      <c r="X71">
        <v>3165.5129999999999</v>
      </c>
      <c r="Y71">
        <v>130288.7928</v>
      </c>
      <c r="Z71" t="s">
        <v>1689</v>
      </c>
      <c r="AA71">
        <v>2.25</v>
      </c>
      <c r="AB71">
        <v>72.908799999999999</v>
      </c>
      <c r="AC71">
        <v>0.10009999999999999</v>
      </c>
      <c r="AD71" t="s">
        <v>10</v>
      </c>
      <c r="AE71">
        <f>P71*'Run 1 Curve Parameters'!$D$3+'Run 1 Curve Parameters'!$E$3</f>
        <v>565.62412042131621</v>
      </c>
      <c r="AF71">
        <f>K71*'Run 1 Curve Parameters'!$D$2+'Run 1 Curve Parameters'!$E$2</f>
        <v>-107.06982446980716</v>
      </c>
    </row>
    <row r="72" spans="1:32">
      <c r="A72" s="2">
        <v>71</v>
      </c>
      <c r="B72" s="2" t="s">
        <v>192</v>
      </c>
      <c r="C72" s="2" t="s">
        <v>233</v>
      </c>
      <c r="D72" s="2">
        <v>71</v>
      </c>
      <c r="E72" s="3" t="str">
        <f>D72&amp;"g"</f>
        <v>71g</v>
      </c>
      <c r="F72" t="s">
        <v>234</v>
      </c>
      <c r="G72" s="4">
        <v>44834</v>
      </c>
      <c r="H72" s="5">
        <v>0.58472222222222225</v>
      </c>
      <c r="I72" t="s">
        <v>9</v>
      </c>
      <c r="J72">
        <v>1.41</v>
      </c>
      <c r="K72">
        <v>98.9529</v>
      </c>
      <c r="L72">
        <v>428.31110000000001</v>
      </c>
      <c r="M72" t="s">
        <v>10</v>
      </c>
      <c r="N72" t="s">
        <v>11</v>
      </c>
      <c r="O72">
        <v>1.9530000000000001</v>
      </c>
      <c r="P72">
        <v>1924.3268</v>
      </c>
      <c r="Q72">
        <v>6902.2633999999998</v>
      </c>
      <c r="R72" t="s">
        <v>10</v>
      </c>
      <c r="S72" t="s">
        <v>235</v>
      </c>
      <c r="T72" s="4">
        <v>44834</v>
      </c>
      <c r="U72" s="5">
        <v>0.58472222222222225</v>
      </c>
      <c r="V72" t="s">
        <v>13</v>
      </c>
      <c r="W72">
        <v>1.163</v>
      </c>
      <c r="X72">
        <v>3514.0920000000001</v>
      </c>
      <c r="Y72">
        <v>173288.3443</v>
      </c>
      <c r="Z72" t="s">
        <v>1689</v>
      </c>
      <c r="AA72">
        <v>2.2530000000000001</v>
      </c>
      <c r="AB72">
        <v>143.6808</v>
      </c>
      <c r="AC72">
        <v>0.39019999999999999</v>
      </c>
      <c r="AD72" t="s">
        <v>10</v>
      </c>
      <c r="AE72">
        <f>P72*'Run 1 Curve Parameters'!$D$3+'Run 1 Curve Parameters'!$E$3</f>
        <v>7818.3437318381111</v>
      </c>
      <c r="AF72">
        <f>K72*'Run 1 Curve Parameters'!$D$2+'Run 1 Curve Parameters'!$E$2</f>
        <v>493.74052886042284</v>
      </c>
    </row>
    <row r="73" spans="1:32">
      <c r="A73" s="2">
        <v>72</v>
      </c>
      <c r="B73" s="2" t="s">
        <v>196</v>
      </c>
      <c r="C73" s="2" t="s">
        <v>196</v>
      </c>
      <c r="D73" s="2">
        <v>72</v>
      </c>
      <c r="E73" s="2" t="s">
        <v>196</v>
      </c>
      <c r="F73" t="s">
        <v>236</v>
      </c>
      <c r="G73" s="4">
        <v>44834</v>
      </c>
      <c r="H73" s="5">
        <v>0.58847222222222217</v>
      </c>
      <c r="I73" t="s">
        <v>9</v>
      </c>
      <c r="J73">
        <v>1.4159999999999999</v>
      </c>
      <c r="K73">
        <v>0.5121</v>
      </c>
      <c r="L73">
        <v>2.5329000000000002</v>
      </c>
      <c r="M73" t="s">
        <v>10</v>
      </c>
      <c r="N73" t="s">
        <v>11</v>
      </c>
      <c r="O73">
        <v>1.9530000000000001</v>
      </c>
      <c r="P73">
        <v>113.84350000000001</v>
      </c>
      <c r="Q73">
        <v>211.17619999999999</v>
      </c>
      <c r="R73" t="s">
        <v>10</v>
      </c>
      <c r="S73" t="s">
        <v>237</v>
      </c>
      <c r="T73" s="4">
        <v>44834</v>
      </c>
      <c r="U73" s="5">
        <v>0.58847222222222217</v>
      </c>
      <c r="V73" t="s">
        <v>13</v>
      </c>
      <c r="W73">
        <v>1.1659999999999999</v>
      </c>
      <c r="X73">
        <v>3152.3069999999998</v>
      </c>
      <c r="Y73">
        <v>129001.8878</v>
      </c>
      <c r="Z73" t="s">
        <v>1689</v>
      </c>
      <c r="AA73">
        <v>2.2629999999999999</v>
      </c>
      <c r="AB73">
        <v>65.512500000000003</v>
      </c>
      <c r="AC73">
        <v>6.9800000000000001E-2</v>
      </c>
      <c r="AD73" t="s">
        <v>10</v>
      </c>
      <c r="AE73">
        <f>P73*'Run 1 Curve Parameters'!$D$3+'Run 1 Curve Parameters'!$E$3</f>
        <v>263.33458761310976</v>
      </c>
      <c r="AF73">
        <f>K73*'Run 1 Curve Parameters'!$D$2+'Run 1 Curve Parameters'!$E$2</f>
        <v>-105.65294385626913</v>
      </c>
    </row>
    <row r="74" spans="1:32">
      <c r="A74" s="2">
        <v>73</v>
      </c>
      <c r="B74" s="2" t="s">
        <v>238</v>
      </c>
      <c r="C74" s="2" t="s">
        <v>239</v>
      </c>
      <c r="D74" s="2">
        <v>73</v>
      </c>
      <c r="E74" s="3" t="s">
        <v>240</v>
      </c>
      <c r="F74" t="s">
        <v>241</v>
      </c>
      <c r="G74" s="4">
        <v>44834</v>
      </c>
      <c r="H74" s="5">
        <v>0.59222222222222221</v>
      </c>
      <c r="I74" t="s">
        <v>9</v>
      </c>
      <c r="J74">
        <v>1.403</v>
      </c>
      <c r="K74">
        <v>0.67130000000000001</v>
      </c>
      <c r="L74">
        <v>3.2214</v>
      </c>
      <c r="M74" t="s">
        <v>10</v>
      </c>
      <c r="N74" t="s">
        <v>11</v>
      </c>
      <c r="O74">
        <v>1.9430000000000001</v>
      </c>
      <c r="P74">
        <v>168.00210000000001</v>
      </c>
      <c r="Q74">
        <v>411.33260000000001</v>
      </c>
      <c r="R74" t="s">
        <v>10</v>
      </c>
      <c r="S74" t="s">
        <v>242</v>
      </c>
      <c r="T74" s="4">
        <v>44834</v>
      </c>
      <c r="U74" s="5">
        <v>0.59222222222222221</v>
      </c>
      <c r="V74" t="s">
        <v>13</v>
      </c>
      <c r="W74">
        <v>1.1599999999999999</v>
      </c>
      <c r="X74">
        <v>3826.2581</v>
      </c>
      <c r="Y74">
        <v>219326.2115</v>
      </c>
      <c r="Z74" t="s">
        <v>1689</v>
      </c>
      <c r="AA74">
        <v>2.2530000000000001</v>
      </c>
      <c r="AB74">
        <v>113.94110000000001</v>
      </c>
      <c r="AC74">
        <v>0.26829999999999998</v>
      </c>
      <c r="AD74" t="s">
        <v>10</v>
      </c>
      <c r="AE74">
        <f>P74*'Run 1 Curve Parameters'!$D$3+'Run 1 Curve Parameters'!$E$3</f>
        <v>489.33430726720667</v>
      </c>
      <c r="AF74">
        <f>K74*'Run 1 Curve Parameters'!$D$2+'Run 1 Curve Parameters'!$E$2</f>
        <v>-104.68359536604457</v>
      </c>
    </row>
    <row r="75" spans="1:32">
      <c r="A75" s="2">
        <v>74</v>
      </c>
      <c r="B75" s="2" t="s">
        <v>196</v>
      </c>
      <c r="C75" s="2" t="s">
        <v>196</v>
      </c>
      <c r="D75" s="2">
        <v>74</v>
      </c>
      <c r="E75" s="2" t="s">
        <v>196</v>
      </c>
      <c r="F75" t="s">
        <v>243</v>
      </c>
      <c r="G75" s="4">
        <v>44834</v>
      </c>
      <c r="H75" s="5">
        <v>0.5959606481481482</v>
      </c>
      <c r="I75" t="s">
        <v>9</v>
      </c>
      <c r="J75">
        <v>1.41</v>
      </c>
      <c r="K75">
        <v>0.371</v>
      </c>
      <c r="L75">
        <v>1.9226000000000001</v>
      </c>
      <c r="M75" t="s">
        <v>10</v>
      </c>
      <c r="N75" t="s">
        <v>11</v>
      </c>
      <c r="O75">
        <v>1.9430000000000001</v>
      </c>
      <c r="P75">
        <v>111.22029999999999</v>
      </c>
      <c r="Q75">
        <v>201.48150000000001</v>
      </c>
      <c r="R75" t="s">
        <v>10</v>
      </c>
      <c r="S75" t="s">
        <v>244</v>
      </c>
      <c r="T75" s="4">
        <v>44834</v>
      </c>
      <c r="U75" s="5">
        <v>0.5959606481481482</v>
      </c>
      <c r="V75" t="s">
        <v>13</v>
      </c>
      <c r="W75">
        <v>1.1599999999999999</v>
      </c>
      <c r="X75">
        <v>3188.0443</v>
      </c>
      <c r="Y75">
        <v>132484.4345</v>
      </c>
      <c r="Z75" t="s">
        <v>1689</v>
      </c>
      <c r="AA75">
        <v>2.2530000000000001</v>
      </c>
      <c r="AB75">
        <v>69.864000000000004</v>
      </c>
      <c r="AC75">
        <v>8.7599999999999997E-2</v>
      </c>
      <c r="AD75" t="s">
        <v>10</v>
      </c>
      <c r="AE75">
        <f>P75*'Run 1 Curve Parameters'!$D$3+'Run 1 Curve Parameters'!$E$3</f>
        <v>252.38817347765149</v>
      </c>
      <c r="AF75">
        <f>K75*'Run 1 Curve Parameters'!$D$2+'Run 1 Curve Parameters'!$E$2</f>
        <v>-106.51208375558247</v>
      </c>
    </row>
    <row r="76" spans="1:32">
      <c r="A76" s="2">
        <v>75</v>
      </c>
      <c r="B76" s="2" t="s">
        <v>192</v>
      </c>
      <c r="C76" s="2" t="s">
        <v>245</v>
      </c>
      <c r="D76" s="2">
        <v>75</v>
      </c>
      <c r="E76" s="3" t="str">
        <f>D76&amp;"g"</f>
        <v>75g</v>
      </c>
      <c r="F76" t="s">
        <v>246</v>
      </c>
      <c r="G76" s="4">
        <v>44834</v>
      </c>
      <c r="H76" s="5">
        <v>0.59971064814814812</v>
      </c>
      <c r="I76" t="s">
        <v>9</v>
      </c>
      <c r="J76">
        <v>1.4159999999999999</v>
      </c>
      <c r="K76">
        <v>1.7447999999999999</v>
      </c>
      <c r="L76">
        <v>7.8646000000000003</v>
      </c>
      <c r="M76" t="s">
        <v>10</v>
      </c>
      <c r="N76" t="s">
        <v>11</v>
      </c>
      <c r="O76">
        <v>1.9530000000000001</v>
      </c>
      <c r="P76">
        <v>13961.1222</v>
      </c>
      <c r="Q76">
        <v>51387.207300000002</v>
      </c>
      <c r="R76" t="s">
        <v>10</v>
      </c>
      <c r="S76" t="s">
        <v>247</v>
      </c>
      <c r="T76" s="4">
        <v>44834</v>
      </c>
      <c r="U76" s="5">
        <v>0.59971064814814812</v>
      </c>
      <c r="V76" t="s">
        <v>13</v>
      </c>
      <c r="W76">
        <v>1.1659999999999999</v>
      </c>
      <c r="X76">
        <v>2925.6808000000001</v>
      </c>
      <c r="Y76">
        <v>109130.0082</v>
      </c>
      <c r="Z76" t="s">
        <v>1689</v>
      </c>
      <c r="AA76">
        <v>2.2559999999999998</v>
      </c>
      <c r="AB76">
        <v>737.19479999999999</v>
      </c>
      <c r="AC76">
        <v>2.8229000000000002</v>
      </c>
      <c r="AD76" t="s">
        <v>10</v>
      </c>
      <c r="AE76">
        <f>P76*'Run 1 Curve Parameters'!$D$3+'Run 1 Curve Parameters'!$E$3</f>
        <v>58046.975674571542</v>
      </c>
      <c r="AF76">
        <f>K76*'Run 1 Curve Parameters'!$D$2+'Run 1 Curve Parameters'!$E$2</f>
        <v>-98.14719081669746</v>
      </c>
    </row>
    <row r="77" spans="1:32">
      <c r="A77" s="2">
        <v>76</v>
      </c>
      <c r="B77" s="2" t="s">
        <v>196</v>
      </c>
      <c r="C77" s="2" t="s">
        <v>196</v>
      </c>
      <c r="D77" s="2">
        <v>76</v>
      </c>
      <c r="E77" s="2" t="s">
        <v>196</v>
      </c>
      <c r="F77" t="s">
        <v>248</v>
      </c>
      <c r="G77" s="4">
        <v>44834</v>
      </c>
      <c r="H77" s="5">
        <v>0.603449074074074</v>
      </c>
      <c r="I77" t="s">
        <v>9</v>
      </c>
      <c r="J77">
        <v>0</v>
      </c>
      <c r="K77">
        <v>0</v>
      </c>
      <c r="L77">
        <v>0</v>
      </c>
      <c r="M77" t="s">
        <v>10</v>
      </c>
      <c r="N77" t="s">
        <v>11</v>
      </c>
      <c r="O77">
        <v>1.946</v>
      </c>
      <c r="P77">
        <v>111.8026</v>
      </c>
      <c r="Q77">
        <v>203.6335</v>
      </c>
      <c r="R77" t="s">
        <v>10</v>
      </c>
      <c r="S77" t="s">
        <v>249</v>
      </c>
      <c r="T77" s="4">
        <v>44834</v>
      </c>
      <c r="U77" s="5">
        <v>0.603449074074074</v>
      </c>
      <c r="V77" t="s">
        <v>13</v>
      </c>
      <c r="W77">
        <v>1.1599999999999999</v>
      </c>
      <c r="X77">
        <v>3120.1516000000001</v>
      </c>
      <c r="Y77">
        <v>125919.1131</v>
      </c>
      <c r="Z77" t="s">
        <v>1689</v>
      </c>
      <c r="AA77">
        <v>2.2559999999999998</v>
      </c>
      <c r="AB77">
        <v>65.561800000000005</v>
      </c>
      <c r="AC77">
        <v>7.0000000000000007E-2</v>
      </c>
      <c r="AD77" t="s">
        <v>10</v>
      </c>
      <c r="AE77">
        <f>P77*'Run 1 Curve Parameters'!$D$3+'Run 1 Curve Parameters'!$E$3</f>
        <v>254.81806710035556</v>
      </c>
      <c r="AF77">
        <f>K77*'Run 1 Curve Parameters'!$D$2+'Run 1 Curve Parameters'!$E$2</f>
        <v>-108.77105542564095</v>
      </c>
    </row>
    <row r="78" spans="1:32">
      <c r="A78" s="2">
        <v>77</v>
      </c>
      <c r="B78" s="2" t="s">
        <v>192</v>
      </c>
      <c r="C78" s="2" t="s">
        <v>250</v>
      </c>
      <c r="D78" s="2">
        <v>77</v>
      </c>
      <c r="E78" s="3" t="str">
        <f>D78&amp;"g"</f>
        <v>77g</v>
      </c>
      <c r="F78" t="s">
        <v>251</v>
      </c>
      <c r="G78" s="4">
        <v>44834</v>
      </c>
      <c r="H78" s="5">
        <v>0.60719907407407414</v>
      </c>
      <c r="I78" t="s">
        <v>9</v>
      </c>
      <c r="J78">
        <v>1.42</v>
      </c>
      <c r="K78">
        <v>1.5576000000000001</v>
      </c>
      <c r="L78">
        <v>7.0548999999999999</v>
      </c>
      <c r="M78" t="s">
        <v>10</v>
      </c>
      <c r="N78" t="s">
        <v>11</v>
      </c>
      <c r="O78">
        <v>1.966</v>
      </c>
      <c r="P78">
        <v>2083.3946999999998</v>
      </c>
      <c r="Q78">
        <v>7490.1379999999999</v>
      </c>
      <c r="R78" t="s">
        <v>10</v>
      </c>
      <c r="S78" t="s">
        <v>252</v>
      </c>
      <c r="T78" s="4">
        <v>44834</v>
      </c>
      <c r="U78" s="5">
        <v>0.60719907407407414</v>
      </c>
      <c r="V78" t="s">
        <v>13</v>
      </c>
      <c r="W78">
        <v>1.17</v>
      </c>
      <c r="X78">
        <v>3592.9317999999998</v>
      </c>
      <c r="Y78">
        <v>184915.53969999999</v>
      </c>
      <c r="Z78" t="s">
        <v>1689</v>
      </c>
      <c r="AA78">
        <v>2.266</v>
      </c>
      <c r="AB78">
        <v>145.6618</v>
      </c>
      <c r="AC78">
        <v>0.39829999999999999</v>
      </c>
      <c r="AD78" t="s">
        <v>10</v>
      </c>
      <c r="AE78">
        <f>P78*'Run 1 Curve Parameters'!$D$3+'Run 1 Curve Parameters'!$E$3</f>
        <v>8482.1219832324568</v>
      </c>
      <c r="AF78">
        <f>K78*'Run 1 Curve Parameters'!$D$2+'Run 1 Curve Parameters'!$E$2</f>
        <v>-99.287027734850966</v>
      </c>
    </row>
    <row r="79" spans="1:32">
      <c r="A79" s="2">
        <v>78</v>
      </c>
      <c r="B79" s="2" t="s">
        <v>196</v>
      </c>
      <c r="C79" s="2" t="s">
        <v>196</v>
      </c>
      <c r="D79" s="2">
        <v>78</v>
      </c>
      <c r="E79" s="2" t="s">
        <v>196</v>
      </c>
      <c r="F79" t="s">
        <v>253</v>
      </c>
      <c r="G79" s="4">
        <v>44834</v>
      </c>
      <c r="H79" s="5">
        <v>0.61094907407407406</v>
      </c>
      <c r="I79" t="s">
        <v>9</v>
      </c>
      <c r="J79">
        <v>0</v>
      </c>
      <c r="K79">
        <v>0</v>
      </c>
      <c r="L79">
        <v>0</v>
      </c>
      <c r="M79" t="s">
        <v>10</v>
      </c>
      <c r="N79" t="s">
        <v>11</v>
      </c>
      <c r="O79">
        <v>1.9430000000000001</v>
      </c>
      <c r="P79">
        <v>41.440600000000003</v>
      </c>
      <c r="Q79">
        <v>0</v>
      </c>
      <c r="R79" t="s">
        <v>10</v>
      </c>
      <c r="S79" t="s">
        <v>254</v>
      </c>
      <c r="T79" s="4">
        <v>44834</v>
      </c>
      <c r="U79" s="5">
        <v>0.61094907407407406</v>
      </c>
      <c r="V79" t="s">
        <v>13</v>
      </c>
      <c r="W79">
        <v>1.1559999999999999</v>
      </c>
      <c r="X79">
        <v>1063.3604</v>
      </c>
      <c r="Y79">
        <v>4970.1576999999997</v>
      </c>
      <c r="Z79" t="s">
        <v>1689</v>
      </c>
      <c r="AA79">
        <v>2.25</v>
      </c>
      <c r="AB79">
        <v>17.569199999999999</v>
      </c>
      <c r="AC79">
        <v>0</v>
      </c>
      <c r="AD79" t="s">
        <v>10</v>
      </c>
      <c r="AE79">
        <f>P79*'Run 1 Curve Parameters'!$D$3+'Run 1 Curve Parameters'!$E$3</f>
        <v>-38.797208669357161</v>
      </c>
      <c r="AF79">
        <f>K79*'Run 1 Curve Parameters'!$D$2+'Run 1 Curve Parameters'!$E$2</f>
        <v>-108.77105542564095</v>
      </c>
    </row>
    <row r="80" spans="1:32">
      <c r="A80" s="2">
        <v>79</v>
      </c>
      <c r="B80" s="2" t="s">
        <v>192</v>
      </c>
      <c r="C80" s="2" t="s">
        <v>255</v>
      </c>
      <c r="D80" s="2">
        <v>79</v>
      </c>
      <c r="E80" s="3" t="str">
        <f>D80&amp;"g"</f>
        <v>79g</v>
      </c>
      <c r="F80" t="s">
        <v>256</v>
      </c>
      <c r="G80" s="4">
        <v>44834</v>
      </c>
      <c r="H80" s="5">
        <v>0.61468749999999994</v>
      </c>
      <c r="I80" t="s">
        <v>9</v>
      </c>
      <c r="J80">
        <v>1.403</v>
      </c>
      <c r="K80">
        <v>0.4662</v>
      </c>
      <c r="L80">
        <v>2.3342999999999998</v>
      </c>
      <c r="M80" t="s">
        <v>10</v>
      </c>
      <c r="N80" t="s">
        <v>11</v>
      </c>
      <c r="O80">
        <v>1.9430000000000001</v>
      </c>
      <c r="P80">
        <v>250.20509999999999</v>
      </c>
      <c r="Q80">
        <v>715.13409999999999</v>
      </c>
      <c r="R80" t="s">
        <v>10</v>
      </c>
      <c r="S80" t="s">
        <v>257</v>
      </c>
      <c r="T80" s="4">
        <v>44834</v>
      </c>
      <c r="U80" s="5">
        <v>0.61468749999999994</v>
      </c>
      <c r="V80" t="s">
        <v>13</v>
      </c>
      <c r="W80">
        <v>1.1599999999999999</v>
      </c>
      <c r="X80">
        <v>3556.9169999999999</v>
      </c>
      <c r="Y80">
        <v>179604.1219</v>
      </c>
      <c r="Z80" t="s">
        <v>1689</v>
      </c>
      <c r="AA80">
        <v>2.2530000000000001</v>
      </c>
      <c r="AB80">
        <v>93.929199999999994</v>
      </c>
      <c r="AC80">
        <v>0.1862</v>
      </c>
      <c r="AD80" t="s">
        <v>10</v>
      </c>
      <c r="AE80">
        <f>P80*'Run 1 Curve Parameters'!$D$3+'Run 1 Curve Parameters'!$E$3</f>
        <v>832.36117566346729</v>
      </c>
      <c r="AF80">
        <f>K80*'Run 1 Curve Parameters'!$D$2+'Run 1 Curve Parameters'!$E$2</f>
        <v>-105.93242310062408</v>
      </c>
    </row>
    <row r="81" spans="1:32">
      <c r="A81" s="2">
        <v>80</v>
      </c>
      <c r="B81" s="2" t="s">
        <v>196</v>
      </c>
      <c r="C81" s="2" t="s">
        <v>196</v>
      </c>
      <c r="D81" s="2">
        <v>80</v>
      </c>
      <c r="E81" s="2" t="s">
        <v>196</v>
      </c>
      <c r="F81" t="s">
        <v>258</v>
      </c>
      <c r="G81" s="4">
        <v>44834</v>
      </c>
      <c r="H81" s="5">
        <v>0.61843749999999997</v>
      </c>
      <c r="I81" t="s">
        <v>9</v>
      </c>
      <c r="J81">
        <v>0</v>
      </c>
      <c r="K81">
        <v>0</v>
      </c>
      <c r="L81">
        <v>0</v>
      </c>
      <c r="M81" t="s">
        <v>10</v>
      </c>
      <c r="N81" t="s">
        <v>11</v>
      </c>
      <c r="O81">
        <v>1.946</v>
      </c>
      <c r="P81">
        <v>43.066600000000001</v>
      </c>
      <c r="Q81">
        <v>0</v>
      </c>
      <c r="R81" t="s">
        <v>10</v>
      </c>
      <c r="S81" t="s">
        <v>259</v>
      </c>
      <c r="T81" s="4">
        <v>44834</v>
      </c>
      <c r="U81" s="5">
        <v>0.61843749999999997</v>
      </c>
      <c r="V81" t="s">
        <v>13</v>
      </c>
      <c r="W81">
        <v>1.163</v>
      </c>
      <c r="X81">
        <v>1215.7954999999999</v>
      </c>
      <c r="Y81">
        <v>11605.813399999999</v>
      </c>
      <c r="Z81" t="s">
        <v>1689</v>
      </c>
      <c r="AA81">
        <v>2.2629999999999999</v>
      </c>
      <c r="AB81">
        <v>18.694400000000002</v>
      </c>
      <c r="AC81">
        <v>0</v>
      </c>
      <c r="AD81" t="s">
        <v>10</v>
      </c>
      <c r="AE81">
        <f>P81*'Run 1 Curve Parameters'!$D$3+'Run 1 Curve Parameters'!$E$3</f>
        <v>-32.012034308174236</v>
      </c>
      <c r="AF81">
        <f>K81*'Run 1 Curve Parameters'!$D$2+'Run 1 Curve Parameters'!$E$2</f>
        <v>-108.77105542564095</v>
      </c>
    </row>
    <row r="82" spans="1:32">
      <c r="A82" s="2">
        <v>81</v>
      </c>
      <c r="B82" s="2" t="s">
        <v>192</v>
      </c>
      <c r="C82" s="2" t="s">
        <v>260</v>
      </c>
      <c r="D82" s="2">
        <v>81</v>
      </c>
      <c r="E82" s="3" t="str">
        <f>D82&amp;"g"</f>
        <v>81g</v>
      </c>
      <c r="F82" t="s">
        <v>261</v>
      </c>
      <c r="G82" s="4">
        <v>44834</v>
      </c>
      <c r="H82" s="5">
        <v>0.6221875</v>
      </c>
      <c r="I82" t="s">
        <v>9</v>
      </c>
      <c r="J82">
        <v>1.41</v>
      </c>
      <c r="K82">
        <v>40.232199999999999</v>
      </c>
      <c r="L82">
        <v>174.33109999999999</v>
      </c>
      <c r="M82" t="s">
        <v>10</v>
      </c>
      <c r="N82" t="s">
        <v>11</v>
      </c>
      <c r="O82">
        <v>1.956</v>
      </c>
      <c r="P82">
        <v>9202.2397999999994</v>
      </c>
      <c r="Q82">
        <v>33799.584499999997</v>
      </c>
      <c r="R82" t="s">
        <v>10</v>
      </c>
      <c r="S82" t="s">
        <v>262</v>
      </c>
      <c r="T82" s="4">
        <v>44834</v>
      </c>
      <c r="U82" s="5">
        <v>0.6221875</v>
      </c>
      <c r="V82" t="s">
        <v>13</v>
      </c>
      <c r="W82">
        <v>1.1599999999999999</v>
      </c>
      <c r="X82">
        <v>3260.5012000000002</v>
      </c>
      <c r="Y82">
        <v>139997.38860000001</v>
      </c>
      <c r="Z82" t="s">
        <v>1689</v>
      </c>
      <c r="AA82">
        <v>2.2530000000000001</v>
      </c>
      <c r="AB82">
        <v>243.58080000000001</v>
      </c>
      <c r="AC82">
        <v>0.79959999999999998</v>
      </c>
      <c r="AD82" t="s">
        <v>10</v>
      </c>
      <c r="AE82">
        <f>P82*'Run 1 Curve Parameters'!$D$3+'Run 1 Curve Parameters'!$E$3</f>
        <v>38188.521278283311</v>
      </c>
      <c r="AF82">
        <f>K82*'Run 1 Curve Parameters'!$D$2+'Run 1 Curve Parameters'!$E$2</f>
        <v>136.1976777930295</v>
      </c>
    </row>
    <row r="83" spans="1:32">
      <c r="A83" s="2">
        <v>82</v>
      </c>
      <c r="B83" s="2" t="s">
        <v>196</v>
      </c>
      <c r="C83" s="2" t="s">
        <v>196</v>
      </c>
      <c r="D83" s="2">
        <v>82</v>
      </c>
      <c r="E83" s="2" t="s">
        <v>196</v>
      </c>
      <c r="F83" t="s">
        <v>263</v>
      </c>
      <c r="G83" s="4">
        <v>44834</v>
      </c>
      <c r="H83" s="5">
        <v>0.62593750000000004</v>
      </c>
      <c r="I83" t="s">
        <v>9</v>
      </c>
      <c r="J83">
        <v>1.413</v>
      </c>
      <c r="K83">
        <v>0.15290000000000001</v>
      </c>
      <c r="L83">
        <v>0.97919999999999996</v>
      </c>
      <c r="M83" t="s">
        <v>10</v>
      </c>
      <c r="N83" t="s">
        <v>11</v>
      </c>
      <c r="O83">
        <v>1.956</v>
      </c>
      <c r="P83">
        <v>92.132000000000005</v>
      </c>
      <c r="Q83">
        <v>130.93600000000001</v>
      </c>
      <c r="R83" t="s">
        <v>10</v>
      </c>
      <c r="S83" t="s">
        <v>264</v>
      </c>
      <c r="T83" s="4">
        <v>44834</v>
      </c>
      <c r="U83" s="5">
        <v>0.62593750000000004</v>
      </c>
      <c r="V83" t="s">
        <v>13</v>
      </c>
      <c r="W83">
        <v>1.1659999999999999</v>
      </c>
      <c r="X83">
        <v>3003.3780000000002</v>
      </c>
      <c r="Y83">
        <v>115545.72</v>
      </c>
      <c r="Z83" t="s">
        <v>1689</v>
      </c>
      <c r="AA83">
        <v>2.27</v>
      </c>
      <c r="AB83">
        <v>56.244799999999998</v>
      </c>
      <c r="AC83">
        <v>3.1800000000000002E-2</v>
      </c>
      <c r="AD83" t="s">
        <v>10</v>
      </c>
      <c r="AE83">
        <f>P83*'Run 1 Curve Parameters'!$D$3+'Run 1 Curve Parameters'!$E$3</f>
        <v>172.73414902588769</v>
      </c>
      <c r="AF83">
        <f>K83*'Run 1 Curve Parameters'!$D$2+'Run 1 Curve Parameters'!$E$2</f>
        <v>-107.84006683170041</v>
      </c>
    </row>
    <row r="84" spans="1:32">
      <c r="A84" s="2">
        <v>83</v>
      </c>
      <c r="B84" s="2" t="s">
        <v>192</v>
      </c>
      <c r="C84" s="2" t="s">
        <v>265</v>
      </c>
      <c r="D84" s="2">
        <v>83</v>
      </c>
      <c r="E84" s="3" t="str">
        <f>D84&amp;"g"</f>
        <v>83g</v>
      </c>
      <c r="F84" t="s">
        <v>266</v>
      </c>
      <c r="G84" s="4">
        <v>44834</v>
      </c>
      <c r="H84" s="5">
        <v>0.62967592592592592</v>
      </c>
      <c r="I84" t="s">
        <v>9</v>
      </c>
      <c r="J84">
        <v>1.42</v>
      </c>
      <c r="K84">
        <v>0.79500000000000004</v>
      </c>
      <c r="L84">
        <v>3.7565</v>
      </c>
      <c r="M84" t="s">
        <v>10</v>
      </c>
      <c r="N84" t="s">
        <v>11</v>
      </c>
      <c r="O84">
        <v>1.966</v>
      </c>
      <c r="P84">
        <v>1723.4322</v>
      </c>
      <c r="Q84">
        <v>6159.8078999999998</v>
      </c>
      <c r="R84" t="s">
        <v>10</v>
      </c>
      <c r="S84" t="s">
        <v>267</v>
      </c>
      <c r="T84" s="4">
        <v>44834</v>
      </c>
      <c r="U84" s="5">
        <v>0.62967592592592592</v>
      </c>
      <c r="V84" t="s">
        <v>13</v>
      </c>
      <c r="W84">
        <v>1.17</v>
      </c>
      <c r="X84">
        <v>3616.4385000000002</v>
      </c>
      <c r="Y84">
        <v>188382.27849999999</v>
      </c>
      <c r="Z84" t="s">
        <v>1689</v>
      </c>
      <c r="AA84">
        <v>2.266</v>
      </c>
      <c r="AB84">
        <v>138.68799999999999</v>
      </c>
      <c r="AC84">
        <v>0.36969999999999997</v>
      </c>
      <c r="AD84" t="s">
        <v>10</v>
      </c>
      <c r="AE84">
        <f>P84*'Run 1 Curve Parameters'!$D$3+'Run 1 Curve Parameters'!$E$3</f>
        <v>6980.0258417888499</v>
      </c>
      <c r="AF84">
        <f>K84*'Run 1 Curve Parameters'!$D$2+'Run 1 Curve Parameters'!$E$2</f>
        <v>-103.93040184694421</v>
      </c>
    </row>
    <row r="85" spans="1:32">
      <c r="A85" s="2">
        <v>84</v>
      </c>
      <c r="B85" s="2" t="s">
        <v>196</v>
      </c>
      <c r="C85" s="2" t="s">
        <v>196</v>
      </c>
      <c r="D85" s="2">
        <v>84</v>
      </c>
      <c r="E85" s="2" t="s">
        <v>196</v>
      </c>
      <c r="F85" t="s">
        <v>268</v>
      </c>
      <c r="G85" s="4">
        <v>44834</v>
      </c>
      <c r="H85" s="5">
        <v>0.63342592592592595</v>
      </c>
      <c r="I85" t="s">
        <v>9</v>
      </c>
      <c r="J85">
        <v>1.403</v>
      </c>
      <c r="K85">
        <v>0.26500000000000001</v>
      </c>
      <c r="L85">
        <v>1.4641</v>
      </c>
      <c r="M85" t="s">
        <v>10</v>
      </c>
      <c r="N85" t="s">
        <v>11</v>
      </c>
      <c r="O85">
        <v>1.9430000000000001</v>
      </c>
      <c r="P85">
        <v>85.306700000000006</v>
      </c>
      <c r="Q85">
        <v>105.7114</v>
      </c>
      <c r="R85" t="s">
        <v>10</v>
      </c>
      <c r="S85" t="s">
        <v>269</v>
      </c>
      <c r="T85" s="4">
        <v>44834</v>
      </c>
      <c r="U85" s="5">
        <v>0.63342592592592595</v>
      </c>
      <c r="V85" t="s">
        <v>13</v>
      </c>
      <c r="W85">
        <v>1.1559999999999999</v>
      </c>
      <c r="X85">
        <v>2892.5030000000002</v>
      </c>
      <c r="Y85">
        <v>106455.56660000001</v>
      </c>
      <c r="Z85" t="s">
        <v>1689</v>
      </c>
      <c r="AA85">
        <v>2.2559999999999998</v>
      </c>
      <c r="AB85">
        <v>55.328600000000002</v>
      </c>
      <c r="AC85">
        <v>2.8000000000000001E-2</v>
      </c>
      <c r="AD85" t="s">
        <v>10</v>
      </c>
      <c r="AE85">
        <f>P85*'Run 1 Curve Parameters'!$D$3+'Run 1 Curve Parameters'!$E$3</f>
        <v>144.25269111236872</v>
      </c>
      <c r="AF85">
        <f>K85*'Run 1 Curve Parameters'!$D$2+'Run 1 Curve Parameters'!$E$2</f>
        <v>-107.15750423274204</v>
      </c>
    </row>
    <row r="86" spans="1:32">
      <c r="A86" s="2">
        <v>85</v>
      </c>
      <c r="B86" s="2" t="s">
        <v>192</v>
      </c>
      <c r="C86" s="2" t="s">
        <v>270</v>
      </c>
      <c r="D86" s="2">
        <v>85</v>
      </c>
      <c r="E86" s="3" t="str">
        <f>D86&amp;"g"</f>
        <v>85g</v>
      </c>
      <c r="F86" t="s">
        <v>271</v>
      </c>
      <c r="G86" s="4">
        <v>44834</v>
      </c>
      <c r="H86" s="5">
        <v>0.63716435185185183</v>
      </c>
      <c r="I86" t="s">
        <v>9</v>
      </c>
      <c r="J86">
        <v>1.4059999999999999</v>
      </c>
      <c r="K86">
        <v>23.041399999999999</v>
      </c>
      <c r="L86">
        <v>99.977099999999993</v>
      </c>
      <c r="M86" t="s">
        <v>10</v>
      </c>
      <c r="N86" t="s">
        <v>11</v>
      </c>
      <c r="O86">
        <v>1.9530000000000001</v>
      </c>
      <c r="P86">
        <v>1692.3568</v>
      </c>
      <c r="Q86">
        <v>6044.9611000000004</v>
      </c>
      <c r="R86" t="s">
        <v>10</v>
      </c>
      <c r="S86" t="s">
        <v>272</v>
      </c>
      <c r="T86" s="4">
        <v>44834</v>
      </c>
      <c r="U86" s="5">
        <v>0.63716435185185183</v>
      </c>
      <c r="V86" t="s">
        <v>13</v>
      </c>
      <c r="W86">
        <v>1.1599999999999999</v>
      </c>
      <c r="X86">
        <v>3473.5884000000001</v>
      </c>
      <c r="Y86">
        <v>167314.92389999999</v>
      </c>
      <c r="Z86" t="s">
        <v>1689</v>
      </c>
      <c r="AA86">
        <v>2.2530000000000001</v>
      </c>
      <c r="AB86">
        <v>136.46539999999999</v>
      </c>
      <c r="AC86">
        <v>0.36059999999999998</v>
      </c>
      <c r="AD86" t="s">
        <v>10</v>
      </c>
      <c r="AE86">
        <f>P86*'Run 1 Curve Parameters'!$D$3+'Run 1 Curve Parameters'!$E$3</f>
        <v>6850.3505605197824</v>
      </c>
      <c r="AF86">
        <f>K86*'Run 1 Curve Parameters'!$D$2+'Run 1 Curve Parameters'!$E$2</f>
        <v>31.525089691570457</v>
      </c>
    </row>
    <row r="87" spans="1:32">
      <c r="A87" s="2">
        <v>86</v>
      </c>
      <c r="B87" s="2" t="s">
        <v>196</v>
      </c>
      <c r="C87" s="2" t="s">
        <v>196</v>
      </c>
      <c r="D87" s="2">
        <v>86</v>
      </c>
      <c r="E87" s="2" t="s">
        <v>196</v>
      </c>
      <c r="F87" t="s">
        <v>273</v>
      </c>
      <c r="G87" s="4">
        <v>44834</v>
      </c>
      <c r="H87" s="5">
        <v>0.64091435185185186</v>
      </c>
      <c r="I87" t="s">
        <v>9</v>
      </c>
      <c r="J87">
        <v>1.4059999999999999</v>
      </c>
      <c r="K87">
        <v>0.28260000000000002</v>
      </c>
      <c r="L87">
        <v>1.5402</v>
      </c>
      <c r="M87" t="s">
        <v>10</v>
      </c>
      <c r="N87" t="s">
        <v>11</v>
      </c>
      <c r="O87">
        <v>1.9430000000000001</v>
      </c>
      <c r="P87">
        <v>100.7158</v>
      </c>
      <c r="Q87">
        <v>162.65950000000001</v>
      </c>
      <c r="R87" t="s">
        <v>10</v>
      </c>
      <c r="S87" t="s">
        <v>274</v>
      </c>
      <c r="T87" s="4">
        <v>44834</v>
      </c>
      <c r="U87" s="5">
        <v>0.64091435185185186</v>
      </c>
      <c r="V87" t="s">
        <v>13</v>
      </c>
      <c r="W87">
        <v>1.1559999999999999</v>
      </c>
      <c r="X87">
        <v>3051.6925999999999</v>
      </c>
      <c r="Y87">
        <v>119691.3637</v>
      </c>
      <c r="Z87" t="s">
        <v>1689</v>
      </c>
      <c r="AA87">
        <v>2.2530000000000001</v>
      </c>
      <c r="AB87">
        <v>62.863199999999999</v>
      </c>
      <c r="AC87">
        <v>5.8900000000000001E-2</v>
      </c>
      <c r="AD87" t="s">
        <v>10</v>
      </c>
      <c r="AE87">
        <f>P87*'Run 1 Curve Parameters'!$D$3+'Run 1 Curve Parameters'!$E$3</f>
        <v>208.55369372547068</v>
      </c>
      <c r="AF87">
        <f>K87*'Run 1 Curve Parameters'!$D$2+'Run 1 Curve Parameters'!$E$2</f>
        <v>-107.05034007804385</v>
      </c>
    </row>
    <row r="88" spans="1:32">
      <c r="A88" s="2">
        <v>87</v>
      </c>
      <c r="B88" s="2" t="s">
        <v>275</v>
      </c>
      <c r="C88" s="2" t="s">
        <v>276</v>
      </c>
      <c r="D88" s="2">
        <v>87</v>
      </c>
      <c r="E88" s="3" t="str">
        <f>D88&amp;"g"</f>
        <v>87g</v>
      </c>
      <c r="F88" t="s">
        <v>277</v>
      </c>
      <c r="G88" s="4">
        <v>44834</v>
      </c>
      <c r="H88" s="5">
        <v>0.64465277777777785</v>
      </c>
      <c r="I88" t="s">
        <v>9</v>
      </c>
      <c r="J88">
        <v>1.4059999999999999</v>
      </c>
      <c r="K88">
        <v>2.9691999999999998</v>
      </c>
      <c r="L88">
        <v>13.160399999999999</v>
      </c>
      <c r="M88" t="s">
        <v>10</v>
      </c>
      <c r="N88" t="s">
        <v>11</v>
      </c>
      <c r="O88">
        <v>1.946</v>
      </c>
      <c r="P88">
        <v>267.42110000000002</v>
      </c>
      <c r="Q88">
        <v>778.76009999999997</v>
      </c>
      <c r="R88" t="s">
        <v>10</v>
      </c>
      <c r="S88" t="s">
        <v>278</v>
      </c>
      <c r="T88" s="4">
        <v>44834</v>
      </c>
      <c r="U88" s="5">
        <v>0.64465277777777785</v>
      </c>
      <c r="V88" t="s">
        <v>13</v>
      </c>
      <c r="W88">
        <v>1.1599999999999999</v>
      </c>
      <c r="X88">
        <v>3539.0014000000001</v>
      </c>
      <c r="Y88">
        <v>176961.9516</v>
      </c>
      <c r="Z88" t="s">
        <v>1689</v>
      </c>
      <c r="AA88">
        <v>2.2559999999999998</v>
      </c>
      <c r="AB88">
        <v>94.492400000000004</v>
      </c>
      <c r="AC88">
        <v>0.1885</v>
      </c>
      <c r="AD88" t="s">
        <v>10</v>
      </c>
      <c r="AE88">
        <f>P88*'Run 1 Curve Parameters'!$D$3+'Run 1 Curve Parameters'!$E$3</f>
        <v>904.20223458236364</v>
      </c>
      <c r="AF88">
        <f>K88*'Run 1 Curve Parameters'!$D$2+'Run 1 Curve Parameters'!$E$2</f>
        <v>-90.691975418261876</v>
      </c>
    </row>
    <row r="89" spans="1:32">
      <c r="A89" s="2">
        <v>88</v>
      </c>
      <c r="B89" s="2" t="s">
        <v>196</v>
      </c>
      <c r="C89" s="2" t="s">
        <v>196</v>
      </c>
      <c r="D89" s="2">
        <v>88</v>
      </c>
      <c r="E89" s="2" t="s">
        <v>196</v>
      </c>
      <c r="F89" t="s">
        <v>279</v>
      </c>
      <c r="G89" s="4">
        <v>44834</v>
      </c>
      <c r="H89" s="5">
        <v>0.64839120370370373</v>
      </c>
      <c r="I89" t="s">
        <v>9</v>
      </c>
      <c r="J89">
        <v>1.4059999999999999</v>
      </c>
      <c r="K89">
        <v>0.27660000000000001</v>
      </c>
      <c r="L89">
        <v>1.5143</v>
      </c>
      <c r="M89" t="s">
        <v>10</v>
      </c>
      <c r="N89" t="s">
        <v>11</v>
      </c>
      <c r="O89">
        <v>1.946</v>
      </c>
      <c r="P89">
        <v>91.411500000000004</v>
      </c>
      <c r="Q89">
        <v>128.2732</v>
      </c>
      <c r="R89" t="s">
        <v>10</v>
      </c>
      <c r="S89" t="s">
        <v>280</v>
      </c>
      <c r="T89" s="4">
        <v>44834</v>
      </c>
      <c r="U89" s="5">
        <v>0.64839120370370373</v>
      </c>
      <c r="V89" t="s">
        <v>13</v>
      </c>
      <c r="W89">
        <v>1.1559999999999999</v>
      </c>
      <c r="X89">
        <v>2970.9956000000002</v>
      </c>
      <c r="Y89">
        <v>112799.06110000001</v>
      </c>
      <c r="Z89" t="s">
        <v>1689</v>
      </c>
      <c r="AA89">
        <v>2.2530000000000001</v>
      </c>
      <c r="AB89">
        <v>58.999200000000002</v>
      </c>
      <c r="AC89">
        <v>4.3099999999999999E-2</v>
      </c>
      <c r="AD89" t="s">
        <v>10</v>
      </c>
      <c r="AE89">
        <f>P89*'Run 1 Curve Parameters'!$D$3+'Run 1 Curve Parameters'!$E$3</f>
        <v>169.72755731172265</v>
      </c>
      <c r="AF89">
        <f>K89*'Run 1 Curve Parameters'!$D$2+'Run 1 Curve Parameters'!$E$2</f>
        <v>-107.08687331260005</v>
      </c>
    </row>
    <row r="90" spans="1:32">
      <c r="A90" s="2">
        <v>89</v>
      </c>
      <c r="B90" s="2" t="s">
        <v>275</v>
      </c>
      <c r="C90" s="2" t="s">
        <v>281</v>
      </c>
      <c r="D90" s="2">
        <v>89</v>
      </c>
      <c r="E90" s="3" t="str">
        <f>D90&amp;"g"</f>
        <v>89g</v>
      </c>
      <c r="F90" t="s">
        <v>282</v>
      </c>
      <c r="G90" s="4">
        <v>44834</v>
      </c>
      <c r="H90" s="5">
        <v>0.65212962962962961</v>
      </c>
      <c r="I90" t="s">
        <v>9</v>
      </c>
      <c r="J90">
        <v>1.4059999999999999</v>
      </c>
      <c r="K90">
        <v>1.8218000000000001</v>
      </c>
      <c r="L90">
        <v>8.1975999999999996</v>
      </c>
      <c r="M90" t="s">
        <v>10</v>
      </c>
      <c r="N90" t="s">
        <v>11</v>
      </c>
      <c r="O90">
        <v>1.956</v>
      </c>
      <c r="P90">
        <v>3268.7646</v>
      </c>
      <c r="Q90">
        <v>11870.964599999999</v>
      </c>
      <c r="R90" t="s">
        <v>10</v>
      </c>
      <c r="S90" t="s">
        <v>283</v>
      </c>
      <c r="T90" s="4">
        <v>44834</v>
      </c>
      <c r="U90" s="5">
        <v>0.65212962962962961</v>
      </c>
      <c r="V90" t="s">
        <v>13</v>
      </c>
      <c r="W90">
        <v>1.1559999999999999</v>
      </c>
      <c r="X90">
        <v>3386.8092000000001</v>
      </c>
      <c r="Y90">
        <v>155027.42480000001</v>
      </c>
      <c r="Z90" t="s">
        <v>1689</v>
      </c>
      <c r="AA90">
        <v>2.2530000000000001</v>
      </c>
      <c r="AB90">
        <v>209.5668</v>
      </c>
      <c r="AC90">
        <v>0.66020000000000001</v>
      </c>
      <c r="AD90" t="s">
        <v>10</v>
      </c>
      <c r="AE90">
        <f>P90*'Run 1 Curve Parameters'!$D$3+'Run 1 Curve Parameters'!$E$3</f>
        <v>13428.580442025795</v>
      </c>
      <c r="AF90">
        <f>K90*'Run 1 Curve Parameters'!$D$2+'Run 1 Curve Parameters'!$E$2</f>
        <v>-97.678347639892877</v>
      </c>
    </row>
    <row r="91" spans="1:32">
      <c r="A91" s="2">
        <v>90</v>
      </c>
      <c r="B91" s="2" t="s">
        <v>196</v>
      </c>
      <c r="C91" s="2" t="s">
        <v>196</v>
      </c>
      <c r="D91" s="2">
        <v>90</v>
      </c>
      <c r="E91" s="2" t="s">
        <v>196</v>
      </c>
      <c r="F91" t="s">
        <v>284</v>
      </c>
      <c r="G91" s="4">
        <v>44834</v>
      </c>
      <c r="H91" s="5">
        <v>0.65587962962962965</v>
      </c>
      <c r="I91" t="s">
        <v>9</v>
      </c>
      <c r="J91">
        <v>1.42</v>
      </c>
      <c r="K91">
        <v>0.25140000000000001</v>
      </c>
      <c r="L91">
        <v>1.4053</v>
      </c>
      <c r="M91" t="s">
        <v>10</v>
      </c>
      <c r="N91" t="s">
        <v>11</v>
      </c>
      <c r="O91">
        <v>1.9630000000000001</v>
      </c>
      <c r="P91">
        <v>98.581599999999995</v>
      </c>
      <c r="Q91">
        <v>154.77209999999999</v>
      </c>
      <c r="R91" t="s">
        <v>10</v>
      </c>
      <c r="S91" t="s">
        <v>285</v>
      </c>
      <c r="T91" s="4">
        <v>44834</v>
      </c>
      <c r="U91" s="5">
        <v>0.65587962962962965</v>
      </c>
      <c r="V91" t="s">
        <v>13</v>
      </c>
      <c r="W91">
        <v>1.1659999999999999</v>
      </c>
      <c r="X91">
        <v>3042.6671999999999</v>
      </c>
      <c r="Y91">
        <v>118916.9375</v>
      </c>
      <c r="Z91" t="s">
        <v>1689</v>
      </c>
      <c r="AA91">
        <v>2.2759999999999998</v>
      </c>
      <c r="AB91">
        <v>59.768700000000003</v>
      </c>
      <c r="AC91">
        <v>4.6199999999999998E-2</v>
      </c>
      <c r="AD91" t="s">
        <v>10</v>
      </c>
      <c r="AE91">
        <f>P91*'Run 1 Curve Parameters'!$D$3+'Run 1 Curve Parameters'!$E$3</f>
        <v>199.64783940712096</v>
      </c>
      <c r="AF91">
        <f>K91*'Run 1 Curve Parameters'!$D$2+'Run 1 Curve Parameters'!$E$2</f>
        <v>-107.24031289773609</v>
      </c>
    </row>
    <row r="92" spans="1:32">
      <c r="A92" s="2">
        <v>91</v>
      </c>
      <c r="B92" s="2" t="s">
        <v>275</v>
      </c>
      <c r="C92" s="2" t="s">
        <v>286</v>
      </c>
      <c r="D92" s="2">
        <v>91</v>
      </c>
      <c r="E92" s="3" t="str">
        <f>D92&amp;"g"</f>
        <v>91g</v>
      </c>
      <c r="F92" t="s">
        <v>287</v>
      </c>
      <c r="G92" s="4">
        <v>44834</v>
      </c>
      <c r="H92" s="5">
        <v>0.65962962962962968</v>
      </c>
      <c r="I92" t="s">
        <v>9</v>
      </c>
      <c r="J92">
        <v>1.4159999999999999</v>
      </c>
      <c r="K92">
        <v>0.59</v>
      </c>
      <c r="L92">
        <v>2.8698000000000001</v>
      </c>
      <c r="M92" t="s">
        <v>10</v>
      </c>
      <c r="N92" t="s">
        <v>11</v>
      </c>
      <c r="O92">
        <v>1.9630000000000001</v>
      </c>
      <c r="P92">
        <v>397.90140000000002</v>
      </c>
      <c r="Q92">
        <v>1260.9821999999999</v>
      </c>
      <c r="R92" t="s">
        <v>10</v>
      </c>
      <c r="S92" t="s">
        <v>288</v>
      </c>
      <c r="T92" s="4">
        <v>44834</v>
      </c>
      <c r="U92" s="5">
        <v>0.65962962962962968</v>
      </c>
      <c r="V92" t="s">
        <v>13</v>
      </c>
      <c r="W92">
        <v>1.1659999999999999</v>
      </c>
      <c r="X92">
        <v>3622.4739</v>
      </c>
      <c r="Y92">
        <v>189272.37179999999</v>
      </c>
      <c r="Z92" t="s">
        <v>1689</v>
      </c>
      <c r="AA92">
        <v>2.2730000000000001</v>
      </c>
      <c r="AB92">
        <v>100.57559999999999</v>
      </c>
      <c r="AC92">
        <v>0.2135</v>
      </c>
      <c r="AD92" t="s">
        <v>10</v>
      </c>
      <c r="AE92">
        <f>P92*'Run 1 Curve Parameters'!$D$3+'Run 1 Curve Parameters'!$E$3</f>
        <v>1448.6866049387329</v>
      </c>
      <c r="AF92">
        <f>K92*'Run 1 Curve Parameters'!$D$2+'Run 1 Curve Parameters'!$E$2</f>
        <v>-105.17862069428111</v>
      </c>
    </row>
    <row r="93" spans="1:32">
      <c r="A93" s="2">
        <v>92</v>
      </c>
      <c r="B93" s="2" t="s">
        <v>196</v>
      </c>
      <c r="C93" s="2" t="s">
        <v>196</v>
      </c>
      <c r="D93" s="2">
        <v>92</v>
      </c>
      <c r="E93" s="2" t="s">
        <v>196</v>
      </c>
      <c r="F93" t="s">
        <v>289</v>
      </c>
      <c r="G93" s="4">
        <v>44834</v>
      </c>
      <c r="H93" s="5">
        <v>0.6633796296296296</v>
      </c>
      <c r="I93" t="s">
        <v>9</v>
      </c>
      <c r="J93">
        <v>1.4159999999999999</v>
      </c>
      <c r="K93">
        <v>0.3538</v>
      </c>
      <c r="L93">
        <v>1.8482000000000001</v>
      </c>
      <c r="M93" t="s">
        <v>10</v>
      </c>
      <c r="N93" t="s">
        <v>11</v>
      </c>
      <c r="O93">
        <v>1.9630000000000001</v>
      </c>
      <c r="P93">
        <v>123.84</v>
      </c>
      <c r="Q93">
        <v>248.1207</v>
      </c>
      <c r="R93" t="s">
        <v>10</v>
      </c>
      <c r="S93" t="s">
        <v>290</v>
      </c>
      <c r="T93" s="4">
        <v>44834</v>
      </c>
      <c r="U93" s="5">
        <v>0.6633796296296296</v>
      </c>
      <c r="V93" t="s">
        <v>13</v>
      </c>
      <c r="W93">
        <v>1.1659999999999999</v>
      </c>
      <c r="X93">
        <v>3205.6014</v>
      </c>
      <c r="Y93">
        <v>134258.0882</v>
      </c>
      <c r="Z93" t="s">
        <v>1689</v>
      </c>
      <c r="AA93">
        <v>2.2759999999999998</v>
      </c>
      <c r="AB93">
        <v>68.322199999999995</v>
      </c>
      <c r="AC93">
        <v>8.1299999999999997E-2</v>
      </c>
      <c r="AD93" t="s">
        <v>10</v>
      </c>
      <c r="AE93">
        <f>P93*'Run 1 Curve Parameters'!$D$3+'Run 1 Curve Parameters'!$E$3</f>
        <v>305.04922199291605</v>
      </c>
      <c r="AF93">
        <f>K93*'Run 1 Curve Parameters'!$D$2+'Run 1 Curve Parameters'!$E$2</f>
        <v>-106.61681236131025</v>
      </c>
    </row>
    <row r="94" spans="1:32">
      <c r="A94" s="2">
        <v>93</v>
      </c>
      <c r="B94" s="2" t="s">
        <v>238</v>
      </c>
      <c r="C94" s="2" t="s">
        <v>239</v>
      </c>
      <c r="D94" s="2">
        <v>93</v>
      </c>
      <c r="E94" s="3" t="s">
        <v>291</v>
      </c>
      <c r="F94" t="s">
        <v>292</v>
      </c>
      <c r="G94" s="4">
        <v>44834</v>
      </c>
      <c r="H94" s="5">
        <v>0.66711805555555559</v>
      </c>
      <c r="I94" t="s">
        <v>9</v>
      </c>
      <c r="J94">
        <v>1.4059999999999999</v>
      </c>
      <c r="K94">
        <v>0.64839999999999998</v>
      </c>
      <c r="L94">
        <v>3.1223999999999998</v>
      </c>
      <c r="M94" t="s">
        <v>10</v>
      </c>
      <c r="N94" t="s">
        <v>11</v>
      </c>
      <c r="O94">
        <v>1.95</v>
      </c>
      <c r="P94">
        <v>165.88380000000001</v>
      </c>
      <c r="Q94">
        <v>403.50389999999999</v>
      </c>
      <c r="R94" t="s">
        <v>10</v>
      </c>
      <c r="S94" t="s">
        <v>293</v>
      </c>
      <c r="T94" s="4">
        <v>44834</v>
      </c>
      <c r="U94" s="5">
        <v>0.66711805555555559</v>
      </c>
      <c r="V94" t="s">
        <v>13</v>
      </c>
      <c r="W94">
        <v>1.1599999999999999</v>
      </c>
      <c r="X94">
        <v>3809.1478000000002</v>
      </c>
      <c r="Y94">
        <v>216802.8058</v>
      </c>
      <c r="Z94" t="s">
        <v>1689</v>
      </c>
      <c r="AA94">
        <v>2.2599999999999998</v>
      </c>
      <c r="AB94">
        <v>110.3854</v>
      </c>
      <c r="AC94">
        <v>0.25369999999999998</v>
      </c>
      <c r="AD94" t="s">
        <v>10</v>
      </c>
      <c r="AE94">
        <f>P94*'Run 1 Curve Parameters'!$D$3+'Run 1 Curve Parameters'!$E$3</f>
        <v>480.49480243984272</v>
      </c>
      <c r="AF94">
        <f>K94*'Run 1 Curve Parameters'!$D$2+'Run 1 Curve Parameters'!$E$2</f>
        <v>-104.82303054460074</v>
      </c>
    </row>
    <row r="95" spans="1:32">
      <c r="A95" s="2">
        <v>94</v>
      </c>
      <c r="B95" s="2" t="s">
        <v>196</v>
      </c>
      <c r="C95" s="2" t="s">
        <v>196</v>
      </c>
      <c r="D95" s="2">
        <v>94</v>
      </c>
      <c r="E95" s="2" t="s">
        <v>196</v>
      </c>
      <c r="F95" t="s">
        <v>294</v>
      </c>
      <c r="G95" s="4">
        <v>44834</v>
      </c>
      <c r="H95" s="5">
        <v>0.67086805555555562</v>
      </c>
      <c r="I95" t="s">
        <v>9</v>
      </c>
      <c r="J95">
        <v>1.4159999999999999</v>
      </c>
      <c r="K95">
        <v>0.3342</v>
      </c>
      <c r="L95">
        <v>1.7634000000000001</v>
      </c>
      <c r="M95" t="s">
        <v>10</v>
      </c>
      <c r="N95" t="s">
        <v>11</v>
      </c>
      <c r="O95">
        <v>1.96</v>
      </c>
      <c r="P95">
        <v>98.119100000000003</v>
      </c>
      <c r="Q95">
        <v>153.06280000000001</v>
      </c>
      <c r="R95" t="s">
        <v>10</v>
      </c>
      <c r="S95" t="s">
        <v>295</v>
      </c>
      <c r="T95" s="4">
        <v>44834</v>
      </c>
      <c r="U95" s="5">
        <v>0.67086805555555562</v>
      </c>
      <c r="V95" t="s">
        <v>13</v>
      </c>
      <c r="W95">
        <v>1.1659999999999999</v>
      </c>
      <c r="X95">
        <v>3116.7988999999998</v>
      </c>
      <c r="Y95">
        <v>125613.1559</v>
      </c>
      <c r="Z95" t="s">
        <v>1689</v>
      </c>
      <c r="AA95">
        <v>2.2730000000000001</v>
      </c>
      <c r="AB95">
        <v>63.8842</v>
      </c>
      <c r="AC95">
        <v>6.3100000000000003E-2</v>
      </c>
      <c r="AD95" t="s">
        <v>10</v>
      </c>
      <c r="AE95">
        <f>P95*'Run 1 Curve Parameters'!$D$3+'Run 1 Curve Parameters'!$E$3</f>
        <v>197.71786207498872</v>
      </c>
      <c r="AF95">
        <f>K95*'Run 1 Curve Parameters'!$D$2+'Run 1 Curve Parameters'!$E$2</f>
        <v>-106.73615426086052</v>
      </c>
    </row>
    <row r="96" spans="1:32">
      <c r="A96" s="2">
        <v>95</v>
      </c>
      <c r="B96" s="2" t="s">
        <v>275</v>
      </c>
      <c r="C96" s="2" t="s">
        <v>296</v>
      </c>
      <c r="D96" s="2">
        <v>95</v>
      </c>
      <c r="E96" s="3" t="str">
        <f>D96&amp;"g"</f>
        <v>95g</v>
      </c>
      <c r="F96" t="s">
        <v>297</v>
      </c>
      <c r="G96" s="4">
        <v>44834</v>
      </c>
      <c r="H96" s="5">
        <v>0.6746064814814815</v>
      </c>
      <c r="I96" t="s">
        <v>9</v>
      </c>
      <c r="J96">
        <v>1.4159999999999999</v>
      </c>
      <c r="K96">
        <v>0.69040000000000001</v>
      </c>
      <c r="L96">
        <v>3.3041</v>
      </c>
      <c r="M96" t="s">
        <v>10</v>
      </c>
      <c r="N96" t="s">
        <v>11</v>
      </c>
      <c r="O96">
        <v>1.9630000000000001</v>
      </c>
      <c r="P96">
        <v>2352.6851999999999</v>
      </c>
      <c r="Q96">
        <v>8485.3673999999992</v>
      </c>
      <c r="R96" t="s">
        <v>10</v>
      </c>
      <c r="S96" t="s">
        <v>298</v>
      </c>
      <c r="T96" s="4">
        <v>44834</v>
      </c>
      <c r="U96" s="5">
        <v>0.6746064814814815</v>
      </c>
      <c r="V96" t="s">
        <v>13</v>
      </c>
      <c r="W96">
        <v>1.1659999999999999</v>
      </c>
      <c r="X96">
        <v>3475.4697999999999</v>
      </c>
      <c r="Y96">
        <v>167592.3904</v>
      </c>
      <c r="Z96" t="s">
        <v>1689</v>
      </c>
      <c r="AA96">
        <v>2.2629999999999999</v>
      </c>
      <c r="AB96">
        <v>184.5866</v>
      </c>
      <c r="AC96">
        <v>0.55779999999999996</v>
      </c>
      <c r="AD96" t="s">
        <v>10</v>
      </c>
      <c r="AE96">
        <f>P96*'Run 1 Curve Parameters'!$D$3+'Run 1 Curve Parameters'!$E$3</f>
        <v>9605.85076325099</v>
      </c>
      <c r="AF96">
        <f>K96*'Run 1 Curve Parameters'!$D$2+'Run 1 Curve Parameters'!$E$2</f>
        <v>-104.56729790270732</v>
      </c>
    </row>
    <row r="97" spans="1:32">
      <c r="A97" s="2">
        <v>96</v>
      </c>
      <c r="B97" s="2" t="s">
        <v>196</v>
      </c>
      <c r="C97" s="2" t="s">
        <v>196</v>
      </c>
      <c r="D97" s="2">
        <v>96</v>
      </c>
      <c r="E97" s="2" t="s">
        <v>196</v>
      </c>
      <c r="F97" t="s">
        <v>299</v>
      </c>
      <c r="G97" s="4">
        <v>44834</v>
      </c>
      <c r="H97" s="5">
        <v>0.67835648148148142</v>
      </c>
      <c r="I97" t="s">
        <v>9</v>
      </c>
      <c r="J97">
        <v>1.413</v>
      </c>
      <c r="K97">
        <v>0.2888</v>
      </c>
      <c r="L97">
        <v>1.5669999999999999</v>
      </c>
      <c r="M97" t="s">
        <v>10</v>
      </c>
      <c r="N97" t="s">
        <v>11</v>
      </c>
      <c r="O97">
        <v>1.9530000000000001</v>
      </c>
      <c r="P97">
        <v>93.789000000000001</v>
      </c>
      <c r="Q97">
        <v>137.0598</v>
      </c>
      <c r="R97" t="s">
        <v>10</v>
      </c>
      <c r="S97" t="s">
        <v>300</v>
      </c>
      <c r="T97" s="4">
        <v>44834</v>
      </c>
      <c r="U97" s="5">
        <v>0.67835648148148142</v>
      </c>
      <c r="V97" t="s">
        <v>13</v>
      </c>
      <c r="W97">
        <v>1.1659999999999999</v>
      </c>
      <c r="X97">
        <v>2928.4483</v>
      </c>
      <c r="Y97">
        <v>109354.0874</v>
      </c>
      <c r="Z97" t="s">
        <v>1689</v>
      </c>
      <c r="AA97">
        <v>2.266</v>
      </c>
      <c r="AB97">
        <v>58.836399999999998</v>
      </c>
      <c r="AC97">
        <v>4.24E-2</v>
      </c>
      <c r="AD97" t="s">
        <v>10</v>
      </c>
      <c r="AE97">
        <f>P97*'Run 1 Curve Parameters'!$D$3+'Run 1 Curve Parameters'!$E$3</f>
        <v>179.64868402987298</v>
      </c>
      <c r="AF97">
        <f>K97*'Run 1 Curve Parameters'!$D$2+'Run 1 Curve Parameters'!$E$2</f>
        <v>-107.01258906900244</v>
      </c>
    </row>
    <row r="98" spans="1:32">
      <c r="A98" s="2">
        <v>97</v>
      </c>
      <c r="B98" s="2" t="s">
        <v>275</v>
      </c>
      <c r="C98" s="2" t="s">
        <v>301</v>
      </c>
      <c r="D98" s="2">
        <v>97</v>
      </c>
      <c r="E98" s="3" t="str">
        <f>D98&amp;"g"</f>
        <v>97g</v>
      </c>
      <c r="F98" t="s">
        <v>302</v>
      </c>
      <c r="G98" s="4">
        <v>44834</v>
      </c>
      <c r="H98" s="5">
        <v>0.68210648148148145</v>
      </c>
      <c r="I98" t="s">
        <v>9</v>
      </c>
      <c r="J98">
        <v>1.413</v>
      </c>
      <c r="K98">
        <v>0.42199999999999999</v>
      </c>
      <c r="L98">
        <v>2.1432000000000002</v>
      </c>
      <c r="M98" t="s">
        <v>10</v>
      </c>
      <c r="N98" t="s">
        <v>11</v>
      </c>
      <c r="O98">
        <v>1.956</v>
      </c>
      <c r="P98">
        <v>169.6514</v>
      </c>
      <c r="Q98">
        <v>417.428</v>
      </c>
      <c r="R98" t="s">
        <v>10</v>
      </c>
      <c r="S98" t="s">
        <v>303</v>
      </c>
      <c r="T98" s="4">
        <v>44834</v>
      </c>
      <c r="U98" s="5">
        <v>0.68210648148148145</v>
      </c>
      <c r="V98" t="s">
        <v>13</v>
      </c>
      <c r="W98">
        <v>1.1659999999999999</v>
      </c>
      <c r="X98">
        <v>3634.1095999999998</v>
      </c>
      <c r="Y98">
        <v>190988.3903</v>
      </c>
      <c r="Z98" t="s">
        <v>1689</v>
      </c>
      <c r="AA98">
        <v>2.266</v>
      </c>
      <c r="AB98">
        <v>92.371099999999998</v>
      </c>
      <c r="AC98">
        <v>0.17979999999999999</v>
      </c>
      <c r="AD98" t="s">
        <v>10</v>
      </c>
      <c r="AE98">
        <f>P98*'Run 1 Curve Parameters'!$D$3+'Run 1 Curve Parameters'!$E$3</f>
        <v>496.21671075668939</v>
      </c>
      <c r="AF98">
        <f>K98*'Run 1 Curve Parameters'!$D$2+'Run 1 Curve Parameters'!$E$2</f>
        <v>-106.20155126185476</v>
      </c>
    </row>
    <row r="99" spans="1:32">
      <c r="A99" s="2">
        <v>98</v>
      </c>
      <c r="B99" s="2" t="s">
        <v>196</v>
      </c>
      <c r="C99" s="2" t="s">
        <v>196</v>
      </c>
      <c r="D99" s="2">
        <v>98</v>
      </c>
      <c r="E99" s="2" t="s">
        <v>196</v>
      </c>
      <c r="F99" t="s">
        <v>304</v>
      </c>
      <c r="G99" s="4">
        <v>44834</v>
      </c>
      <c r="H99" s="5">
        <v>0.68585648148148148</v>
      </c>
      <c r="I99" t="s">
        <v>9</v>
      </c>
      <c r="J99">
        <v>1.4059999999999999</v>
      </c>
      <c r="K99">
        <v>0.3196</v>
      </c>
      <c r="L99">
        <v>1.7002999999999999</v>
      </c>
      <c r="M99" t="s">
        <v>10</v>
      </c>
      <c r="N99" t="s">
        <v>11</v>
      </c>
      <c r="O99">
        <v>1.94</v>
      </c>
      <c r="P99">
        <v>85.541600000000003</v>
      </c>
      <c r="Q99">
        <v>106.5795</v>
      </c>
      <c r="R99" t="s">
        <v>10</v>
      </c>
      <c r="S99" t="s">
        <v>305</v>
      </c>
      <c r="T99" s="4">
        <v>44834</v>
      </c>
      <c r="U99" s="5">
        <v>0.68585648148148148</v>
      </c>
      <c r="V99" t="s">
        <v>13</v>
      </c>
      <c r="W99">
        <v>1.1559999999999999</v>
      </c>
      <c r="X99">
        <v>2942.9598000000001</v>
      </c>
      <c r="Y99">
        <v>110529.0558</v>
      </c>
      <c r="Z99" t="s">
        <v>1689</v>
      </c>
      <c r="AA99">
        <v>2.2530000000000001</v>
      </c>
      <c r="AB99">
        <v>57.600999999999999</v>
      </c>
      <c r="AC99">
        <v>3.73E-2</v>
      </c>
      <c r="AD99" t="s">
        <v>10</v>
      </c>
      <c r="AE99">
        <f>P99*'Run 1 Curve Parameters'!$D$3+'Run 1 Curve Parameters'!$E$3</f>
        <v>145.23291095089382</v>
      </c>
      <c r="AF99">
        <f>K99*'Run 1 Curve Parameters'!$D$2+'Run 1 Curve Parameters'!$E$2</f>
        <v>-106.8250517982806</v>
      </c>
    </row>
    <row r="100" spans="1:32">
      <c r="A100" s="2">
        <v>99</v>
      </c>
      <c r="B100" s="2" t="s">
        <v>275</v>
      </c>
      <c r="C100" s="2" t="s">
        <v>306</v>
      </c>
      <c r="D100" s="2">
        <v>99</v>
      </c>
      <c r="E100" s="3" t="str">
        <f>D100&amp;"g"</f>
        <v>99g</v>
      </c>
      <c r="F100" t="s">
        <v>307</v>
      </c>
      <c r="G100" s="4">
        <v>44834</v>
      </c>
      <c r="H100" s="5">
        <v>0.6896064814814814</v>
      </c>
      <c r="I100" t="s">
        <v>9</v>
      </c>
      <c r="J100">
        <v>1.4059999999999999</v>
      </c>
      <c r="K100">
        <v>0.89500000000000002</v>
      </c>
      <c r="L100">
        <v>4.1890000000000001</v>
      </c>
      <c r="M100" t="s">
        <v>10</v>
      </c>
      <c r="N100" t="s">
        <v>11</v>
      </c>
      <c r="O100">
        <v>1.946</v>
      </c>
      <c r="P100">
        <v>1616.143</v>
      </c>
      <c r="Q100">
        <v>5763.2942000000003</v>
      </c>
      <c r="R100" t="s">
        <v>10</v>
      </c>
      <c r="S100" t="s">
        <v>308</v>
      </c>
      <c r="T100" s="4">
        <v>44834</v>
      </c>
      <c r="U100" s="5">
        <v>0.6896064814814814</v>
      </c>
      <c r="V100" t="s">
        <v>13</v>
      </c>
      <c r="W100">
        <v>1.1599999999999999</v>
      </c>
      <c r="X100">
        <v>3487.5772000000002</v>
      </c>
      <c r="Y100">
        <v>169377.97469999999</v>
      </c>
      <c r="Z100" t="s">
        <v>1689</v>
      </c>
      <c r="AA100">
        <v>2.246</v>
      </c>
      <c r="AB100">
        <v>139.8733</v>
      </c>
      <c r="AC100">
        <v>0.37459999999999999</v>
      </c>
      <c r="AD100" t="s">
        <v>10</v>
      </c>
      <c r="AE100">
        <f>P100*'Run 1 Curve Parameters'!$D$3+'Run 1 Curve Parameters'!$E$3</f>
        <v>6532.316168312942</v>
      </c>
      <c r="AF100">
        <f>K100*'Run 1 Curve Parameters'!$D$2+'Run 1 Curve Parameters'!$E$2</f>
        <v>-103.32151460434085</v>
      </c>
    </row>
    <row r="101" spans="1:32">
      <c r="A101" s="2">
        <v>100</v>
      </c>
      <c r="B101" s="2" t="s">
        <v>196</v>
      </c>
      <c r="C101" s="2" t="s">
        <v>196</v>
      </c>
      <c r="D101" s="2">
        <v>100</v>
      </c>
      <c r="E101" s="2" t="s">
        <v>196</v>
      </c>
      <c r="F101" t="s">
        <v>309</v>
      </c>
      <c r="G101" s="4">
        <v>44834</v>
      </c>
      <c r="H101" s="5">
        <v>0.69334490740740751</v>
      </c>
      <c r="I101" t="s">
        <v>9</v>
      </c>
      <c r="J101">
        <v>1.4</v>
      </c>
      <c r="K101">
        <v>0.30409999999999998</v>
      </c>
      <c r="L101">
        <v>1.6332</v>
      </c>
      <c r="M101" t="s">
        <v>10</v>
      </c>
      <c r="N101" t="s">
        <v>11</v>
      </c>
      <c r="O101">
        <v>1.9359999999999999</v>
      </c>
      <c r="P101">
        <v>94.534199999999998</v>
      </c>
      <c r="Q101">
        <v>139.81389999999999</v>
      </c>
      <c r="R101" t="s">
        <v>10</v>
      </c>
      <c r="S101" t="s">
        <v>310</v>
      </c>
      <c r="T101" s="4">
        <v>44834</v>
      </c>
      <c r="U101" s="5">
        <v>0.69334490740740751</v>
      </c>
      <c r="V101" t="s">
        <v>13</v>
      </c>
      <c r="W101">
        <v>1.1599999999999999</v>
      </c>
      <c r="X101">
        <v>3087.2948000000001</v>
      </c>
      <c r="Y101">
        <v>122920.7013</v>
      </c>
      <c r="Z101" t="s">
        <v>1689</v>
      </c>
      <c r="AA101">
        <v>2.2429999999999999</v>
      </c>
      <c r="AB101">
        <v>63.846699999999998</v>
      </c>
      <c r="AC101">
        <v>6.2899999999999998E-2</v>
      </c>
      <c r="AD101" t="s">
        <v>10</v>
      </c>
      <c r="AE101">
        <f>P101*'Run 1 Curve Parameters'!$D$3+'Run 1 Curve Parameters'!$E$3</f>
        <v>182.75834696588373</v>
      </c>
      <c r="AF101">
        <f>K101*'Run 1 Curve Parameters'!$D$2+'Run 1 Curve Parameters'!$E$2</f>
        <v>-106.91942932088412</v>
      </c>
    </row>
    <row r="102" spans="1:32">
      <c r="A102" s="2">
        <v>101</v>
      </c>
      <c r="B102" s="2" t="s">
        <v>275</v>
      </c>
      <c r="C102" s="2" t="s">
        <v>311</v>
      </c>
      <c r="D102" s="2">
        <v>101</v>
      </c>
      <c r="E102" s="3" t="str">
        <f>D102&amp;"g"</f>
        <v>101g</v>
      </c>
      <c r="F102" t="s">
        <v>312</v>
      </c>
      <c r="G102" s="4">
        <v>44834</v>
      </c>
      <c r="H102" s="5">
        <v>0.69709490740740743</v>
      </c>
      <c r="I102" t="s">
        <v>9</v>
      </c>
      <c r="J102">
        <v>1.413</v>
      </c>
      <c r="K102">
        <v>548.49390000000005</v>
      </c>
      <c r="L102">
        <v>2372.6750999999999</v>
      </c>
      <c r="M102" t="s">
        <v>10</v>
      </c>
      <c r="N102" t="s">
        <v>11</v>
      </c>
      <c r="O102">
        <v>1.946</v>
      </c>
      <c r="P102">
        <v>649.66539999999998</v>
      </c>
      <c r="Q102">
        <v>2191.4380999999998</v>
      </c>
      <c r="R102" t="s">
        <v>10</v>
      </c>
      <c r="S102" t="s">
        <v>313</v>
      </c>
      <c r="T102" s="4">
        <v>44834</v>
      </c>
      <c r="U102" s="5">
        <v>0.69709490740740743</v>
      </c>
      <c r="V102" t="s">
        <v>13</v>
      </c>
      <c r="W102">
        <v>1.1659999999999999</v>
      </c>
      <c r="X102">
        <v>3508.9117000000001</v>
      </c>
      <c r="Y102">
        <v>172524.36009999999</v>
      </c>
      <c r="Z102" t="s">
        <v>1689</v>
      </c>
      <c r="AA102">
        <v>2.246</v>
      </c>
      <c r="AB102">
        <v>104.9021</v>
      </c>
      <c r="AC102">
        <v>0.23119999999999999</v>
      </c>
      <c r="AD102" t="s">
        <v>10</v>
      </c>
      <c r="AE102">
        <f>P102*'Run 1 Curve Parameters'!$D$3+'Run 1 Curve Parameters'!$E$3</f>
        <v>2499.2786331483621</v>
      </c>
      <c r="AF102">
        <f>K102*'Run 1 Curve Parameters'!$D$2+'Run 1 Curve Parameters'!$E$2</f>
        <v>3230.9383281320102</v>
      </c>
    </row>
    <row r="103" spans="1:32">
      <c r="A103" s="2">
        <v>102</v>
      </c>
      <c r="B103" s="2" t="s">
        <v>196</v>
      </c>
      <c r="C103" s="2" t="s">
        <v>196</v>
      </c>
      <c r="D103" s="2">
        <v>102</v>
      </c>
      <c r="E103" s="2" t="s">
        <v>196</v>
      </c>
      <c r="F103" t="s">
        <v>314</v>
      </c>
      <c r="G103" s="4">
        <v>44834</v>
      </c>
      <c r="H103" s="5">
        <v>0.70084490740740746</v>
      </c>
      <c r="I103" t="s">
        <v>9</v>
      </c>
      <c r="J103">
        <v>1.403</v>
      </c>
      <c r="K103">
        <v>2.6720000000000002</v>
      </c>
      <c r="L103">
        <v>11.8749</v>
      </c>
      <c r="M103" t="s">
        <v>10</v>
      </c>
      <c r="N103" t="s">
        <v>11</v>
      </c>
      <c r="O103">
        <v>1.93</v>
      </c>
      <c r="P103">
        <v>100.218</v>
      </c>
      <c r="Q103">
        <v>160.81979999999999</v>
      </c>
      <c r="R103" t="s">
        <v>10</v>
      </c>
      <c r="S103" t="s">
        <v>315</v>
      </c>
      <c r="T103" s="4">
        <v>44834</v>
      </c>
      <c r="U103" s="5">
        <v>0.70084490740740746</v>
      </c>
      <c r="V103" t="s">
        <v>13</v>
      </c>
      <c r="W103">
        <v>1.1599999999999999</v>
      </c>
      <c r="X103">
        <v>3017.8625999999999</v>
      </c>
      <c r="Y103">
        <v>116788.57399999999</v>
      </c>
      <c r="Z103" t="s">
        <v>1689</v>
      </c>
      <c r="AA103">
        <v>2.2400000000000002</v>
      </c>
      <c r="AB103">
        <v>65.551000000000002</v>
      </c>
      <c r="AC103">
        <v>6.9900000000000004E-2</v>
      </c>
      <c r="AD103" t="s">
        <v>10</v>
      </c>
      <c r="AE103">
        <f>P103*'Run 1 Curve Parameters'!$D$3+'Run 1 Curve Parameters'!$E$3</f>
        <v>206.47641217750214</v>
      </c>
      <c r="AF103">
        <f>K103*'Run 1 Curve Parameters'!$D$2+'Run 1 Curve Parameters'!$E$2</f>
        <v>-92.501588303279078</v>
      </c>
    </row>
    <row r="104" spans="1:32">
      <c r="A104" s="2">
        <v>103</v>
      </c>
      <c r="B104" s="2" t="s">
        <v>275</v>
      </c>
      <c r="C104" s="2" t="s">
        <v>316</v>
      </c>
      <c r="D104" s="2">
        <v>103</v>
      </c>
      <c r="E104" s="3" t="str">
        <f>D104&amp;"g"</f>
        <v>103g</v>
      </c>
      <c r="F104" t="s">
        <v>317</v>
      </c>
      <c r="G104" s="4">
        <v>44834</v>
      </c>
      <c r="H104" s="5">
        <v>0.70459490740740749</v>
      </c>
      <c r="I104" t="s">
        <v>9</v>
      </c>
      <c r="J104">
        <v>1.413</v>
      </c>
      <c r="K104">
        <v>4087.2195999999999</v>
      </c>
      <c r="L104">
        <v>17678.444800000001</v>
      </c>
      <c r="M104" t="s">
        <v>10</v>
      </c>
      <c r="N104" t="s">
        <v>11</v>
      </c>
      <c r="O104">
        <v>1.956</v>
      </c>
      <c r="P104">
        <v>1687.3643999999999</v>
      </c>
      <c r="Q104">
        <v>6026.5105000000003</v>
      </c>
      <c r="R104" t="s">
        <v>10</v>
      </c>
      <c r="S104" t="s">
        <v>318</v>
      </c>
      <c r="T104" s="4">
        <v>44834</v>
      </c>
      <c r="U104" s="5">
        <v>0.70459490740740749</v>
      </c>
      <c r="V104" t="s">
        <v>13</v>
      </c>
      <c r="W104">
        <v>1.17</v>
      </c>
      <c r="X104">
        <v>3605.6822000000002</v>
      </c>
      <c r="Y104">
        <v>186795.9528</v>
      </c>
      <c r="Z104" t="s">
        <v>1689</v>
      </c>
      <c r="AA104">
        <v>2.2530000000000001</v>
      </c>
      <c r="AB104">
        <v>131.7132</v>
      </c>
      <c r="AC104">
        <v>0.34110000000000001</v>
      </c>
      <c r="AD104" t="s">
        <v>10</v>
      </c>
      <c r="AE104">
        <f>P104*'Run 1 Curve Parameters'!$D$3+'Run 1 Curve Parameters'!$E$3</f>
        <v>6829.5176549350526</v>
      </c>
      <c r="AF104">
        <f>K104*'Run 1 Curve Parameters'!$D$2+'Run 1 Curve Parameters'!$E$2</f>
        <v>24777.787666158587</v>
      </c>
    </row>
    <row r="105" spans="1:32">
      <c r="A105" s="2">
        <v>104</v>
      </c>
      <c r="B105" s="2" t="s">
        <v>196</v>
      </c>
      <c r="C105" s="2" t="s">
        <v>196</v>
      </c>
      <c r="D105" s="2">
        <v>104</v>
      </c>
      <c r="E105" s="2" t="s">
        <v>196</v>
      </c>
      <c r="F105" t="s">
        <v>319</v>
      </c>
      <c r="G105" s="4">
        <v>44834</v>
      </c>
      <c r="H105" s="5">
        <v>0.70834490740740741</v>
      </c>
      <c r="I105" t="s">
        <v>9</v>
      </c>
      <c r="J105">
        <v>1.413</v>
      </c>
      <c r="K105">
        <v>0.44900000000000001</v>
      </c>
      <c r="L105">
        <v>2.2599</v>
      </c>
      <c r="M105" t="s">
        <v>10</v>
      </c>
      <c r="N105" t="s">
        <v>11</v>
      </c>
      <c r="O105">
        <v>1.946</v>
      </c>
      <c r="P105">
        <v>84.824600000000004</v>
      </c>
      <c r="Q105">
        <v>103.9297</v>
      </c>
      <c r="R105" t="s">
        <v>10</v>
      </c>
      <c r="S105" t="s">
        <v>320</v>
      </c>
      <c r="T105" s="4">
        <v>44834</v>
      </c>
      <c r="U105" s="5">
        <v>0.70834490740740741</v>
      </c>
      <c r="V105" t="s">
        <v>13</v>
      </c>
      <c r="W105">
        <v>1.1659999999999999</v>
      </c>
      <c r="X105">
        <v>3065.9184</v>
      </c>
      <c r="Y105">
        <v>120969.9559</v>
      </c>
      <c r="Z105" t="s">
        <v>1689</v>
      </c>
      <c r="AA105">
        <v>2.2559999999999998</v>
      </c>
      <c r="AB105">
        <v>56.999099999999999</v>
      </c>
      <c r="AC105">
        <v>3.49E-2</v>
      </c>
      <c r="AD105" t="s">
        <v>10</v>
      </c>
      <c r="AE105">
        <f>P105*'Run 1 Curve Parameters'!$D$3+'Run 1 Curve Parameters'!$E$3</f>
        <v>142.24092447059365</v>
      </c>
      <c r="AF105">
        <f>K105*'Run 1 Curve Parameters'!$D$2+'Run 1 Curve Parameters'!$E$2</f>
        <v>-106.03715170635185</v>
      </c>
    </row>
    <row r="106" spans="1:32">
      <c r="A106" s="2">
        <v>105</v>
      </c>
      <c r="B106" s="2" t="s">
        <v>275</v>
      </c>
      <c r="C106" s="2" t="s">
        <v>321</v>
      </c>
      <c r="D106" s="2">
        <v>105</v>
      </c>
      <c r="E106" s="3" t="str">
        <f>D106&amp;"g"</f>
        <v>105g</v>
      </c>
      <c r="F106" t="s">
        <v>322</v>
      </c>
      <c r="G106" s="4">
        <v>44834</v>
      </c>
      <c r="H106" s="5">
        <v>0.71209490740740744</v>
      </c>
      <c r="I106" t="s">
        <v>9</v>
      </c>
      <c r="J106">
        <v>1.4059999999999999</v>
      </c>
      <c r="K106">
        <v>4.5717999999999996</v>
      </c>
      <c r="L106">
        <v>20.091999999999999</v>
      </c>
      <c r="M106" t="s">
        <v>10</v>
      </c>
      <c r="N106" t="s">
        <v>11</v>
      </c>
      <c r="O106">
        <v>1.946</v>
      </c>
      <c r="P106">
        <v>4591.2830999999996</v>
      </c>
      <c r="Q106">
        <v>16758.6577</v>
      </c>
      <c r="R106" t="s">
        <v>10</v>
      </c>
      <c r="S106" t="s">
        <v>323</v>
      </c>
      <c r="T106" s="4">
        <v>44834</v>
      </c>
      <c r="U106" s="5">
        <v>0.71209490740740744</v>
      </c>
      <c r="V106" t="s">
        <v>13</v>
      </c>
      <c r="W106">
        <v>1.1599999999999999</v>
      </c>
      <c r="X106">
        <v>3469.8719000000001</v>
      </c>
      <c r="Y106">
        <v>166766.81909999999</v>
      </c>
      <c r="Z106" t="s">
        <v>1689</v>
      </c>
      <c r="AA106">
        <v>2.2400000000000002</v>
      </c>
      <c r="AB106">
        <v>211.33359999999999</v>
      </c>
      <c r="AC106">
        <v>0.66749999999999998</v>
      </c>
      <c r="AD106" t="s">
        <v>10</v>
      </c>
      <c r="AE106">
        <f>P106*'Run 1 Curve Parameters'!$D$3+'Run 1 Curve Parameters'!$E$3</f>
        <v>18947.349580027087</v>
      </c>
      <c r="AF106">
        <f>K106*'Run 1 Curve Parameters'!$D$2+'Run 1 Curve Parameters'!$E$2</f>
        <v>-80.933948468300372</v>
      </c>
    </row>
    <row r="107" spans="1:32">
      <c r="A107" s="2">
        <v>106</v>
      </c>
      <c r="B107" s="2" t="s">
        <v>196</v>
      </c>
      <c r="C107" s="2" t="s">
        <v>196</v>
      </c>
      <c r="D107" s="2">
        <v>106</v>
      </c>
      <c r="E107" s="2" t="s">
        <v>196</v>
      </c>
      <c r="F107" t="s">
        <v>324</v>
      </c>
      <c r="G107" s="4">
        <v>44834</v>
      </c>
      <c r="H107" s="5">
        <v>0.71584490740740747</v>
      </c>
      <c r="I107" t="s">
        <v>9</v>
      </c>
      <c r="J107">
        <v>1.413</v>
      </c>
      <c r="K107">
        <v>0.28620000000000001</v>
      </c>
      <c r="L107">
        <v>1.5558000000000001</v>
      </c>
      <c r="M107" t="s">
        <v>10</v>
      </c>
      <c r="N107" t="s">
        <v>11</v>
      </c>
      <c r="O107">
        <v>1.95</v>
      </c>
      <c r="P107">
        <v>140.54409999999999</v>
      </c>
      <c r="Q107">
        <v>309.85480000000001</v>
      </c>
      <c r="R107" t="s">
        <v>10</v>
      </c>
      <c r="S107" t="s">
        <v>325</v>
      </c>
      <c r="T107" s="4">
        <v>44834</v>
      </c>
      <c r="U107" s="5">
        <v>0.71584490740740747</v>
      </c>
      <c r="V107" t="s">
        <v>13</v>
      </c>
      <c r="W107">
        <v>1.1659999999999999</v>
      </c>
      <c r="X107">
        <v>3199.5536999999999</v>
      </c>
      <c r="Y107">
        <v>133625.85329999999</v>
      </c>
      <c r="Z107" t="s">
        <v>1689</v>
      </c>
      <c r="AA107">
        <v>2.2530000000000001</v>
      </c>
      <c r="AB107">
        <v>62.5961</v>
      </c>
      <c r="AC107">
        <v>5.7799999999999997E-2</v>
      </c>
      <c r="AD107" t="s">
        <v>10</v>
      </c>
      <c r="AE107">
        <f>P107*'Run 1 Curve Parameters'!$D$3+'Run 1 Curve Parameters'!$E$3</f>
        <v>374.7541611359884</v>
      </c>
      <c r="AF107">
        <f>K107*'Run 1 Curve Parameters'!$D$2+'Run 1 Curve Parameters'!$E$2</f>
        <v>-107.02842013731012</v>
      </c>
    </row>
    <row r="108" spans="1:32">
      <c r="A108" s="2">
        <v>107</v>
      </c>
      <c r="B108" s="2" t="s">
        <v>275</v>
      </c>
      <c r="C108" s="2" t="s">
        <v>326</v>
      </c>
      <c r="D108" s="2">
        <v>107</v>
      </c>
      <c r="E108" s="3" t="str">
        <f>D108&amp;"g"</f>
        <v>107g</v>
      </c>
      <c r="F108" t="s">
        <v>327</v>
      </c>
      <c r="G108" s="4">
        <v>44834</v>
      </c>
      <c r="H108" s="5">
        <v>0.71959490740740739</v>
      </c>
      <c r="I108" t="s">
        <v>9</v>
      </c>
      <c r="J108">
        <v>1.403</v>
      </c>
      <c r="K108">
        <v>2.2216</v>
      </c>
      <c r="L108">
        <v>9.9268000000000001</v>
      </c>
      <c r="M108" t="s">
        <v>10</v>
      </c>
      <c r="N108" t="s">
        <v>11</v>
      </c>
      <c r="O108">
        <v>1.94</v>
      </c>
      <c r="P108">
        <v>1268.4119000000001</v>
      </c>
      <c r="Q108">
        <v>4478.1682000000001</v>
      </c>
      <c r="R108" t="s">
        <v>10</v>
      </c>
      <c r="S108" t="s">
        <v>328</v>
      </c>
      <c r="T108" s="4">
        <v>44834</v>
      </c>
      <c r="U108" s="5">
        <v>0.71959490740740739</v>
      </c>
      <c r="V108" t="s">
        <v>13</v>
      </c>
      <c r="W108">
        <v>1.1599999999999999</v>
      </c>
      <c r="X108">
        <v>3530.8933999999999</v>
      </c>
      <c r="Y108">
        <v>175766.19380000001</v>
      </c>
      <c r="Z108" t="s">
        <v>1689</v>
      </c>
      <c r="AA108">
        <v>2.2360000000000002</v>
      </c>
      <c r="AB108">
        <v>122.63849999999999</v>
      </c>
      <c r="AC108">
        <v>0.3039</v>
      </c>
      <c r="AD108" t="s">
        <v>10</v>
      </c>
      <c r="AE108">
        <f>P108*'Run 1 Curve Parameters'!$D$3+'Run 1 Curve Parameters'!$E$3</f>
        <v>5081.2607290103988</v>
      </c>
      <c r="AF108">
        <f>K108*'Run 1 Curve Parameters'!$D$2+'Run 1 Curve Parameters'!$E$2</f>
        <v>-95.244016443964625</v>
      </c>
    </row>
    <row r="109" spans="1:32">
      <c r="A109" s="2">
        <v>108</v>
      </c>
      <c r="B109" s="2" t="s">
        <v>196</v>
      </c>
      <c r="C109" s="2" t="s">
        <v>196</v>
      </c>
      <c r="D109" s="2">
        <v>108</v>
      </c>
      <c r="E109" s="2" t="s">
        <v>196</v>
      </c>
      <c r="F109" t="s">
        <v>329</v>
      </c>
      <c r="G109" s="4">
        <v>44834</v>
      </c>
      <c r="H109" s="5">
        <v>0.72334490740740742</v>
      </c>
      <c r="I109" t="s">
        <v>9</v>
      </c>
      <c r="J109">
        <v>1.413</v>
      </c>
      <c r="K109">
        <v>0.30280000000000001</v>
      </c>
      <c r="L109">
        <v>1.6275999999999999</v>
      </c>
      <c r="M109" t="s">
        <v>10</v>
      </c>
      <c r="N109" t="s">
        <v>11</v>
      </c>
      <c r="O109">
        <v>1.9430000000000001</v>
      </c>
      <c r="P109">
        <v>87.810599999999994</v>
      </c>
      <c r="Q109">
        <v>114.9652</v>
      </c>
      <c r="R109" t="s">
        <v>10</v>
      </c>
      <c r="S109" t="s">
        <v>330</v>
      </c>
      <c r="T109" s="4">
        <v>44834</v>
      </c>
      <c r="U109" s="5">
        <v>0.72334490740740742</v>
      </c>
      <c r="V109" t="s">
        <v>13</v>
      </c>
      <c r="W109">
        <v>1.1659999999999999</v>
      </c>
      <c r="X109">
        <v>3089.6084000000001</v>
      </c>
      <c r="Y109">
        <v>123131.8334</v>
      </c>
      <c r="Z109" t="s">
        <v>1689</v>
      </c>
      <c r="AA109">
        <v>2.25</v>
      </c>
      <c r="AB109">
        <v>59.8733</v>
      </c>
      <c r="AC109">
        <v>4.6600000000000003E-2</v>
      </c>
      <c r="AD109" t="s">
        <v>10</v>
      </c>
      <c r="AE109">
        <f>P109*'Run 1 Curve Parameters'!$D$3+'Run 1 Curve Parameters'!$E$3</f>
        <v>154.7012754192358</v>
      </c>
      <c r="AF109">
        <f>K109*'Run 1 Curve Parameters'!$D$2+'Run 1 Curve Parameters'!$E$2</f>
        <v>-106.92734485503797</v>
      </c>
    </row>
    <row r="110" spans="1:32">
      <c r="A110" s="2">
        <v>109</v>
      </c>
      <c r="B110" s="2" t="s">
        <v>275</v>
      </c>
      <c r="C110" s="2" t="s">
        <v>331</v>
      </c>
      <c r="D110" s="2">
        <v>109</v>
      </c>
      <c r="E110" s="3" t="str">
        <f>D110&amp;"g"</f>
        <v>109g</v>
      </c>
      <c r="F110" t="s">
        <v>332</v>
      </c>
      <c r="G110" s="4">
        <v>44834</v>
      </c>
      <c r="H110" s="5">
        <v>0.72710648148148149</v>
      </c>
      <c r="I110" t="s">
        <v>9</v>
      </c>
      <c r="J110">
        <v>1.4059999999999999</v>
      </c>
      <c r="K110">
        <v>18.5288</v>
      </c>
      <c r="L110">
        <v>80.459100000000007</v>
      </c>
      <c r="M110" t="s">
        <v>10</v>
      </c>
      <c r="N110" t="s">
        <v>11</v>
      </c>
      <c r="O110">
        <v>1.9430000000000001</v>
      </c>
      <c r="P110">
        <v>8334.8574000000008</v>
      </c>
      <c r="Q110">
        <v>30593.9591</v>
      </c>
      <c r="R110" t="s">
        <v>10</v>
      </c>
      <c r="S110" t="s">
        <v>333</v>
      </c>
      <c r="T110" s="4">
        <v>44834</v>
      </c>
      <c r="U110" s="5">
        <v>0.72710648148148149</v>
      </c>
      <c r="V110" t="s">
        <v>13</v>
      </c>
      <c r="W110">
        <v>1.163</v>
      </c>
      <c r="X110">
        <v>3289.1756</v>
      </c>
      <c r="Y110">
        <v>143230.1569</v>
      </c>
      <c r="Z110" t="s">
        <v>1689</v>
      </c>
      <c r="AA110">
        <v>2.2360000000000002</v>
      </c>
      <c r="AB110">
        <v>316.03379999999999</v>
      </c>
      <c r="AC110">
        <v>1.0966</v>
      </c>
      <c r="AD110" t="s">
        <v>10</v>
      </c>
      <c r="AE110">
        <f>P110*'Run 1 Curve Parameters'!$D$3+'Run 1 Curve Parameters'!$E$3</f>
        <v>34569.000477655209</v>
      </c>
      <c r="AF110">
        <f>K110*'Run 1 Curve Parameters'!$D$2+'Run 1 Curve Parameters'!$E$2</f>
        <v>4.0484439818510936</v>
      </c>
    </row>
    <row r="111" spans="1:32">
      <c r="A111" s="2">
        <v>110</v>
      </c>
      <c r="B111" s="2" t="s">
        <v>196</v>
      </c>
      <c r="C111" s="2" t="s">
        <v>196</v>
      </c>
      <c r="D111" s="2">
        <v>110</v>
      </c>
      <c r="E111" s="2" t="s">
        <v>196</v>
      </c>
      <c r="F111" t="s">
        <v>334</v>
      </c>
      <c r="G111" s="4">
        <v>44834</v>
      </c>
      <c r="H111" s="5">
        <v>0.73085648148148152</v>
      </c>
      <c r="I111" t="s">
        <v>9</v>
      </c>
      <c r="J111">
        <v>1.403</v>
      </c>
      <c r="K111">
        <v>0.1822</v>
      </c>
      <c r="L111">
        <v>1.1060000000000001</v>
      </c>
      <c r="M111" t="s">
        <v>10</v>
      </c>
      <c r="N111" t="s">
        <v>11</v>
      </c>
      <c r="O111">
        <v>1.9330000000000001</v>
      </c>
      <c r="P111">
        <v>99.157600000000002</v>
      </c>
      <c r="Q111">
        <v>156.9008</v>
      </c>
      <c r="R111" t="s">
        <v>10</v>
      </c>
      <c r="S111" t="s">
        <v>335</v>
      </c>
      <c r="T111" s="4">
        <v>44834</v>
      </c>
      <c r="U111" s="5">
        <v>0.73085648148148152</v>
      </c>
      <c r="V111" t="s">
        <v>13</v>
      </c>
      <c r="W111">
        <v>1.1599999999999999</v>
      </c>
      <c r="X111">
        <v>3163.9519</v>
      </c>
      <c r="Y111">
        <v>130136.666</v>
      </c>
      <c r="Z111" t="s">
        <v>1689</v>
      </c>
      <c r="AA111">
        <v>2.2360000000000002</v>
      </c>
      <c r="AB111">
        <v>63.949599999999997</v>
      </c>
      <c r="AC111">
        <v>6.3299999999999995E-2</v>
      </c>
      <c r="AD111" t="s">
        <v>10</v>
      </c>
      <c r="AE111">
        <f>P111*'Run 1 Curve Parameters'!$D$3+'Run 1 Curve Parameters'!$E$3</f>
        <v>202.05144360886845</v>
      </c>
      <c r="AF111">
        <f>K111*'Run 1 Curve Parameters'!$D$2+'Run 1 Curve Parameters'!$E$2</f>
        <v>-107.66166286961763</v>
      </c>
    </row>
    <row r="112" spans="1:32">
      <c r="A112" s="2">
        <v>111</v>
      </c>
      <c r="B112" s="2" t="s">
        <v>275</v>
      </c>
      <c r="C112" s="2" t="s">
        <v>336</v>
      </c>
      <c r="D112" s="2">
        <v>111</v>
      </c>
      <c r="E112" s="3" t="str">
        <f>D112&amp;"g"</f>
        <v>111g</v>
      </c>
      <c r="F112" t="s">
        <v>337</v>
      </c>
      <c r="G112" s="4">
        <v>44834</v>
      </c>
      <c r="H112" s="5">
        <v>0.73460648148148155</v>
      </c>
      <c r="I112" t="s">
        <v>9</v>
      </c>
      <c r="J112">
        <v>1.4059999999999999</v>
      </c>
      <c r="K112">
        <v>1.1865000000000001</v>
      </c>
      <c r="L112">
        <v>5.4497999999999998</v>
      </c>
      <c r="M112" t="s">
        <v>10</v>
      </c>
      <c r="N112" t="s">
        <v>11</v>
      </c>
      <c r="O112">
        <v>1.9330000000000001</v>
      </c>
      <c r="P112">
        <v>567.46879999999999</v>
      </c>
      <c r="Q112">
        <v>1887.6603</v>
      </c>
      <c r="R112" t="s">
        <v>10</v>
      </c>
      <c r="S112" t="s">
        <v>338</v>
      </c>
      <c r="T112" s="4">
        <v>44834</v>
      </c>
      <c r="U112" s="5">
        <v>0.73460648148148155</v>
      </c>
      <c r="V112" t="s">
        <v>13</v>
      </c>
      <c r="W112">
        <v>1.163</v>
      </c>
      <c r="X112">
        <v>3564.6066999999998</v>
      </c>
      <c r="Y112">
        <v>180738.1893</v>
      </c>
      <c r="Z112" t="s">
        <v>1689</v>
      </c>
      <c r="AA112">
        <v>2.2360000000000002</v>
      </c>
      <c r="AB112">
        <v>105.4024</v>
      </c>
      <c r="AC112">
        <v>0.23330000000000001</v>
      </c>
      <c r="AD112" t="s">
        <v>10</v>
      </c>
      <c r="AE112">
        <f>P112*'Run 1 Curve Parameters'!$D$3+'Run 1 Curve Parameters'!$E$3</f>
        <v>2156.2784714654545</v>
      </c>
      <c r="AF112">
        <f>K112*'Run 1 Curve Parameters'!$D$2+'Run 1 Curve Parameters'!$E$2</f>
        <v>-101.54660829215204</v>
      </c>
    </row>
    <row r="113" spans="1:32">
      <c r="A113" s="2">
        <v>112</v>
      </c>
      <c r="B113" s="2" t="s">
        <v>196</v>
      </c>
      <c r="C113" s="2" t="s">
        <v>196</v>
      </c>
      <c r="D113" s="2">
        <v>112</v>
      </c>
      <c r="E113" s="2" t="s">
        <v>196</v>
      </c>
      <c r="F113" t="s">
        <v>339</v>
      </c>
      <c r="G113" s="4">
        <v>44834</v>
      </c>
      <c r="H113" s="5">
        <v>0.73836805555555562</v>
      </c>
      <c r="I113" t="s">
        <v>9</v>
      </c>
      <c r="J113">
        <v>1.403</v>
      </c>
      <c r="K113">
        <v>0.34320000000000001</v>
      </c>
      <c r="L113">
        <v>1.8023</v>
      </c>
      <c r="M113" t="s">
        <v>10</v>
      </c>
      <c r="N113" t="s">
        <v>11</v>
      </c>
      <c r="O113">
        <v>1.9259999999999999</v>
      </c>
      <c r="P113">
        <v>104.08159999999999</v>
      </c>
      <c r="Q113">
        <v>175.09870000000001</v>
      </c>
      <c r="R113" t="s">
        <v>10</v>
      </c>
      <c r="S113" t="s">
        <v>340</v>
      </c>
      <c r="T113" s="4">
        <v>44834</v>
      </c>
      <c r="U113" s="5">
        <v>0.73836805555555562</v>
      </c>
      <c r="V113" t="s">
        <v>13</v>
      </c>
      <c r="W113">
        <v>1.1599999999999999</v>
      </c>
      <c r="X113">
        <v>3243.4155999999998</v>
      </c>
      <c r="Y113">
        <v>138211.2365</v>
      </c>
      <c r="Z113" t="s">
        <v>1689</v>
      </c>
      <c r="AA113">
        <v>2.23</v>
      </c>
      <c r="AB113">
        <v>68.717100000000002</v>
      </c>
      <c r="AC113">
        <v>8.2900000000000001E-2</v>
      </c>
      <c r="AD113" t="s">
        <v>10</v>
      </c>
      <c r="AE113">
        <f>P113*'Run 1 Curve Parameters'!$D$3+'Run 1 Curve Parameters'!$E$3</f>
        <v>222.59892119464007</v>
      </c>
      <c r="AF113">
        <f>K113*'Run 1 Curve Parameters'!$D$2+'Run 1 Curve Parameters'!$E$2</f>
        <v>-106.68135440902621</v>
      </c>
    </row>
    <row r="114" spans="1:32">
      <c r="A114" s="2">
        <v>113</v>
      </c>
      <c r="B114" s="2" t="s">
        <v>238</v>
      </c>
      <c r="C114" s="2" t="s">
        <v>239</v>
      </c>
      <c r="D114" s="2">
        <v>113</v>
      </c>
      <c r="E114" s="3" t="s">
        <v>341</v>
      </c>
      <c r="F114" t="s">
        <v>342</v>
      </c>
      <c r="G114" s="4">
        <v>44834</v>
      </c>
      <c r="H114" s="5">
        <v>0.74211805555555566</v>
      </c>
      <c r="I114" t="s">
        <v>9</v>
      </c>
      <c r="J114">
        <v>1.4159999999999999</v>
      </c>
      <c r="K114">
        <v>0.67410000000000003</v>
      </c>
      <c r="L114">
        <v>3.2334999999999998</v>
      </c>
      <c r="M114" t="s">
        <v>10</v>
      </c>
      <c r="N114" t="s">
        <v>11</v>
      </c>
      <c r="O114">
        <v>1.9430000000000001</v>
      </c>
      <c r="P114">
        <v>167.69110000000001</v>
      </c>
      <c r="Q114">
        <v>410.18329999999997</v>
      </c>
      <c r="R114" t="s">
        <v>10</v>
      </c>
      <c r="S114" t="s">
        <v>343</v>
      </c>
      <c r="T114" s="4">
        <v>44834</v>
      </c>
      <c r="U114" s="5">
        <v>0.74211805555555566</v>
      </c>
      <c r="V114" t="s">
        <v>13</v>
      </c>
      <c r="W114">
        <v>1.173</v>
      </c>
      <c r="X114">
        <v>3962.3872999999999</v>
      </c>
      <c r="Y114">
        <v>239402.37609999999</v>
      </c>
      <c r="Z114" t="s">
        <v>1689</v>
      </c>
      <c r="AA114">
        <v>2.246</v>
      </c>
      <c r="AB114">
        <v>101.3646</v>
      </c>
      <c r="AC114">
        <v>0.2167</v>
      </c>
      <c r="AD114" t="s">
        <v>10</v>
      </c>
      <c r="AE114">
        <f>P114*'Run 1 Curve Parameters'!$D$3+'Run 1 Curve Parameters'!$E$3</f>
        <v>488.03652791522143</v>
      </c>
      <c r="AF114">
        <f>K114*'Run 1 Curve Parameters'!$D$2+'Run 1 Curve Parameters'!$E$2</f>
        <v>-104.66654652325168</v>
      </c>
    </row>
    <row r="115" spans="1:32">
      <c r="A115" s="2">
        <v>114</v>
      </c>
      <c r="B115" s="2" t="s">
        <v>196</v>
      </c>
      <c r="C115" s="2" t="s">
        <v>196</v>
      </c>
      <c r="D115" s="2">
        <v>114</v>
      </c>
      <c r="E115" s="2" t="s">
        <v>196</v>
      </c>
      <c r="F115" t="s">
        <v>344</v>
      </c>
      <c r="G115" s="4">
        <v>44834</v>
      </c>
      <c r="H115" s="5">
        <v>0.74587962962962961</v>
      </c>
      <c r="I115" t="s">
        <v>9</v>
      </c>
      <c r="J115">
        <v>1.4</v>
      </c>
      <c r="K115">
        <v>0.33460000000000001</v>
      </c>
      <c r="L115">
        <v>1.7650999999999999</v>
      </c>
      <c r="M115" t="s">
        <v>10</v>
      </c>
      <c r="N115" t="s">
        <v>11</v>
      </c>
      <c r="O115">
        <v>1.9259999999999999</v>
      </c>
      <c r="P115">
        <v>95.493899999999996</v>
      </c>
      <c r="Q115">
        <v>143.36070000000001</v>
      </c>
      <c r="R115" t="s">
        <v>10</v>
      </c>
      <c r="S115" t="s">
        <v>345</v>
      </c>
      <c r="T115" s="4">
        <v>44834</v>
      </c>
      <c r="U115" s="5">
        <v>0.74587962962962961</v>
      </c>
      <c r="V115" t="s">
        <v>13</v>
      </c>
      <c r="W115">
        <v>1.1599999999999999</v>
      </c>
      <c r="X115">
        <v>3134.5362</v>
      </c>
      <c r="Y115">
        <v>127270.14969999999</v>
      </c>
      <c r="Z115" t="s">
        <v>1689</v>
      </c>
      <c r="AA115">
        <v>2.23</v>
      </c>
      <c r="AB115">
        <v>64.812600000000003</v>
      </c>
      <c r="AC115">
        <v>6.6900000000000001E-2</v>
      </c>
      <c r="AD115" t="s">
        <v>10</v>
      </c>
      <c r="AE115">
        <f>P115*'Run 1 Curve Parameters'!$D$3+'Run 1 Curve Parameters'!$E$3</f>
        <v>186.76310209160772</v>
      </c>
      <c r="AF115">
        <f>K115*'Run 1 Curve Parameters'!$D$2+'Run 1 Curve Parameters'!$E$2</f>
        <v>-106.73371871189009</v>
      </c>
    </row>
    <row r="116" spans="1:32">
      <c r="A116" s="2">
        <v>115</v>
      </c>
      <c r="B116" s="2" t="s">
        <v>275</v>
      </c>
      <c r="C116" s="2" t="s">
        <v>346</v>
      </c>
      <c r="D116" s="2">
        <v>115</v>
      </c>
      <c r="E116" s="3" t="str">
        <f>D116&amp;"g"</f>
        <v>115g</v>
      </c>
      <c r="F116" t="s">
        <v>347</v>
      </c>
      <c r="G116" s="4">
        <v>44834</v>
      </c>
      <c r="H116" s="5">
        <v>0.74962962962962953</v>
      </c>
      <c r="I116" t="s">
        <v>9</v>
      </c>
      <c r="J116">
        <v>1.41</v>
      </c>
      <c r="K116">
        <v>2677.7959999999998</v>
      </c>
      <c r="L116">
        <v>11582.3766</v>
      </c>
      <c r="M116" t="s">
        <v>10</v>
      </c>
      <c r="N116" t="s">
        <v>11</v>
      </c>
      <c r="O116">
        <v>1.94</v>
      </c>
      <c r="P116">
        <v>1174.7518</v>
      </c>
      <c r="Q116">
        <v>4132.0243</v>
      </c>
      <c r="R116" t="s">
        <v>10</v>
      </c>
      <c r="S116" t="s">
        <v>348</v>
      </c>
      <c r="T116" s="4">
        <v>44834</v>
      </c>
      <c r="U116" s="5">
        <v>0.74962962962962953</v>
      </c>
      <c r="V116" t="s">
        <v>13</v>
      </c>
      <c r="W116">
        <v>1.17</v>
      </c>
      <c r="X116">
        <v>3581.9983000000002</v>
      </c>
      <c r="Y116">
        <v>183303.0808</v>
      </c>
      <c r="Z116" t="s">
        <v>1689</v>
      </c>
      <c r="AA116">
        <v>2.2330000000000001</v>
      </c>
      <c r="AB116">
        <v>117.958</v>
      </c>
      <c r="AC116">
        <v>0.28470000000000001</v>
      </c>
      <c r="AD116" t="s">
        <v>10</v>
      </c>
      <c r="AE116">
        <f>P116*'Run 1 Curve Parameters'!$D$3+'Run 1 Curve Parameters'!$E$3</f>
        <v>4690.4242534963587</v>
      </c>
      <c r="AF116">
        <f>K116*'Run 1 Curve Parameters'!$D$2+'Run 1 Curve Parameters'!$E$2</f>
        <v>16195.987171517525</v>
      </c>
    </row>
    <row r="117" spans="1:32">
      <c r="A117" s="2">
        <v>116</v>
      </c>
      <c r="B117" s="2" t="s">
        <v>196</v>
      </c>
      <c r="C117" s="2" t="s">
        <v>196</v>
      </c>
      <c r="D117" s="2">
        <v>116</v>
      </c>
      <c r="E117" s="2" t="s">
        <v>196</v>
      </c>
      <c r="F117" t="s">
        <v>349</v>
      </c>
      <c r="G117" s="4">
        <v>44834</v>
      </c>
      <c r="H117" s="5">
        <v>0.75337962962962957</v>
      </c>
      <c r="I117" t="s">
        <v>9</v>
      </c>
      <c r="J117">
        <v>1.413</v>
      </c>
      <c r="K117">
        <v>3.2326999999999999</v>
      </c>
      <c r="L117">
        <v>14.3001</v>
      </c>
      <c r="M117" t="s">
        <v>10</v>
      </c>
      <c r="N117" t="s">
        <v>11</v>
      </c>
      <c r="O117">
        <v>1.9330000000000001</v>
      </c>
      <c r="P117">
        <v>96.129000000000005</v>
      </c>
      <c r="Q117">
        <v>145.7079</v>
      </c>
      <c r="R117" t="s">
        <v>10</v>
      </c>
      <c r="S117" t="s">
        <v>350</v>
      </c>
      <c r="T117" s="4">
        <v>44834</v>
      </c>
      <c r="U117" s="5">
        <v>0.75337962962962957</v>
      </c>
      <c r="V117" t="s">
        <v>13</v>
      </c>
      <c r="W117">
        <v>1.1659999999999999</v>
      </c>
      <c r="X117">
        <v>3135.7644</v>
      </c>
      <c r="Y117">
        <v>127389.836</v>
      </c>
      <c r="Z117" t="s">
        <v>1689</v>
      </c>
      <c r="AA117">
        <v>2.2360000000000002</v>
      </c>
      <c r="AB117">
        <v>61.144799999999996</v>
      </c>
      <c r="AC117">
        <v>5.1900000000000002E-2</v>
      </c>
      <c r="AD117" t="s">
        <v>10</v>
      </c>
      <c r="AE117">
        <f>P117*'Run 1 Curve Parameters'!$D$3+'Run 1 Curve Parameters'!$E$3</f>
        <v>189.41332609947204</v>
      </c>
      <c r="AF117">
        <f>K117*'Run 1 Curve Parameters'!$D$2+'Run 1 Curve Parameters'!$E$2</f>
        <v>-89.087557534002016</v>
      </c>
    </row>
    <row r="118" spans="1:32">
      <c r="A118" s="2">
        <v>117</v>
      </c>
      <c r="B118" s="2" t="s">
        <v>351</v>
      </c>
      <c r="C118" s="2" t="s">
        <v>352</v>
      </c>
      <c r="D118" s="2">
        <v>117</v>
      </c>
      <c r="E118" s="3" t="str">
        <f>D118&amp;"g"</f>
        <v>117g</v>
      </c>
      <c r="F118" t="s">
        <v>353</v>
      </c>
      <c r="G118" s="4">
        <v>44834</v>
      </c>
      <c r="H118" s="5">
        <v>0.7571296296296296</v>
      </c>
      <c r="I118" t="s">
        <v>9</v>
      </c>
      <c r="J118">
        <v>1.413</v>
      </c>
      <c r="K118">
        <v>0.6794</v>
      </c>
      <c r="L118">
        <v>3.2565</v>
      </c>
      <c r="M118" t="s">
        <v>10</v>
      </c>
      <c r="N118" t="s">
        <v>11</v>
      </c>
      <c r="O118">
        <v>1.94</v>
      </c>
      <c r="P118">
        <v>710.04020000000003</v>
      </c>
      <c r="Q118">
        <v>2414.5680000000002</v>
      </c>
      <c r="R118" t="s">
        <v>10</v>
      </c>
      <c r="S118" t="s">
        <v>354</v>
      </c>
      <c r="T118" s="4">
        <v>44834</v>
      </c>
      <c r="U118" s="5">
        <v>0.7571296296296296</v>
      </c>
      <c r="V118" t="s">
        <v>13</v>
      </c>
      <c r="W118">
        <v>1.17</v>
      </c>
      <c r="X118">
        <v>3672.9647</v>
      </c>
      <c r="Y118">
        <v>196718.69200000001</v>
      </c>
      <c r="Z118" t="s">
        <v>1689</v>
      </c>
      <c r="AA118">
        <v>2.2360000000000002</v>
      </c>
      <c r="AB118">
        <v>106.7004</v>
      </c>
      <c r="AC118">
        <v>0.23860000000000001</v>
      </c>
      <c r="AD118" t="s">
        <v>10</v>
      </c>
      <c r="AE118">
        <f>P118*'Run 1 Curve Parameters'!$D$3+'Run 1 Curve Parameters'!$E$3</f>
        <v>2751.2180827311095</v>
      </c>
      <c r="AF118">
        <f>K118*'Run 1 Curve Parameters'!$D$2+'Run 1 Curve Parameters'!$E$2</f>
        <v>-104.63427549939369</v>
      </c>
    </row>
    <row r="119" spans="1:32">
      <c r="A119" s="2">
        <v>118</v>
      </c>
      <c r="B119" s="2" t="s">
        <v>196</v>
      </c>
      <c r="C119" s="2" t="s">
        <v>196</v>
      </c>
      <c r="D119" s="2">
        <v>118</v>
      </c>
      <c r="E119" s="2" t="s">
        <v>196</v>
      </c>
      <c r="F119" t="s">
        <v>355</v>
      </c>
      <c r="G119" s="4">
        <v>44834</v>
      </c>
      <c r="H119" s="5">
        <v>0.76087962962962974</v>
      </c>
      <c r="I119" t="s">
        <v>9</v>
      </c>
      <c r="J119">
        <v>1.403</v>
      </c>
      <c r="K119">
        <v>0.36320000000000002</v>
      </c>
      <c r="L119">
        <v>1.8888</v>
      </c>
      <c r="M119" t="s">
        <v>10</v>
      </c>
      <c r="N119" t="s">
        <v>11</v>
      </c>
      <c r="O119">
        <v>1.9259999999999999</v>
      </c>
      <c r="P119">
        <v>109.6718</v>
      </c>
      <c r="Q119">
        <v>195.7586</v>
      </c>
      <c r="R119" t="s">
        <v>10</v>
      </c>
      <c r="S119" t="s">
        <v>356</v>
      </c>
      <c r="T119" s="4">
        <v>44834</v>
      </c>
      <c r="U119" s="5">
        <v>0.76087962962962974</v>
      </c>
      <c r="V119" t="s">
        <v>13</v>
      </c>
      <c r="W119">
        <v>1.1599999999999999</v>
      </c>
      <c r="X119">
        <v>3388.6268</v>
      </c>
      <c r="Y119">
        <v>155270.52100000001</v>
      </c>
      <c r="Z119" t="s">
        <v>1689</v>
      </c>
      <c r="AA119">
        <v>2.226</v>
      </c>
      <c r="AB119">
        <v>73.786799999999999</v>
      </c>
      <c r="AC119">
        <v>0.1037</v>
      </c>
      <c r="AD119" t="s">
        <v>10</v>
      </c>
      <c r="AE119">
        <f>P119*'Run 1 Curve Parameters'!$D$3+'Run 1 Curve Parameters'!$E$3</f>
        <v>245.92640072347456</v>
      </c>
      <c r="AF119">
        <f>K119*'Run 1 Curve Parameters'!$D$2+'Run 1 Curve Parameters'!$E$2</f>
        <v>-106.55957696050554</v>
      </c>
    </row>
    <row r="120" spans="1:32">
      <c r="A120" s="2">
        <v>119</v>
      </c>
      <c r="B120" s="2" t="s">
        <v>351</v>
      </c>
      <c r="C120" s="2" t="s">
        <v>357</v>
      </c>
      <c r="D120" s="2">
        <v>119</v>
      </c>
      <c r="E120" s="3" t="str">
        <f>D120&amp;"g"</f>
        <v>119g</v>
      </c>
      <c r="F120" t="s">
        <v>358</v>
      </c>
      <c r="G120" s="4">
        <v>44834</v>
      </c>
      <c r="H120" s="5">
        <v>0.76462962962962966</v>
      </c>
      <c r="I120" t="s">
        <v>9</v>
      </c>
      <c r="J120">
        <v>1.413</v>
      </c>
      <c r="K120">
        <v>1.8442000000000001</v>
      </c>
      <c r="L120">
        <v>8.2944999999999993</v>
      </c>
      <c r="M120" t="s">
        <v>10</v>
      </c>
      <c r="N120" t="s">
        <v>11</v>
      </c>
      <c r="O120">
        <v>1.94</v>
      </c>
      <c r="P120">
        <v>273.59969999999998</v>
      </c>
      <c r="Q120">
        <v>801.59460000000001</v>
      </c>
      <c r="R120" t="s">
        <v>10</v>
      </c>
      <c r="S120" t="s">
        <v>359</v>
      </c>
      <c r="T120" s="4">
        <v>44834</v>
      </c>
      <c r="U120" s="5">
        <v>0.76462962962962966</v>
      </c>
      <c r="V120" t="s">
        <v>13</v>
      </c>
      <c r="W120">
        <v>1.17</v>
      </c>
      <c r="X120">
        <v>3711.2926000000002</v>
      </c>
      <c r="Y120">
        <v>202371.24290000001</v>
      </c>
      <c r="Z120" t="s">
        <v>1689</v>
      </c>
      <c r="AA120">
        <v>2.2360000000000002</v>
      </c>
      <c r="AB120">
        <v>93.364999999999995</v>
      </c>
      <c r="AC120">
        <v>0.18390000000000001</v>
      </c>
      <c r="AD120" t="s">
        <v>10</v>
      </c>
      <c r="AE120">
        <f>P120*'Run 1 Curve Parameters'!$D$3+'Run 1 Curve Parameters'!$E$3</f>
        <v>929.98506257006625</v>
      </c>
      <c r="AF120">
        <f>K120*'Run 1 Curve Parameters'!$D$2+'Run 1 Curve Parameters'!$E$2</f>
        <v>-97.541956897549724</v>
      </c>
    </row>
    <row r="121" spans="1:32">
      <c r="A121" s="2">
        <v>120</v>
      </c>
      <c r="B121" s="2" t="s">
        <v>196</v>
      </c>
      <c r="C121" s="2" t="s">
        <v>196</v>
      </c>
      <c r="D121" s="2">
        <v>120</v>
      </c>
      <c r="E121" s="2" t="s">
        <v>196</v>
      </c>
      <c r="F121" t="s">
        <v>360</v>
      </c>
      <c r="G121" s="4">
        <v>44834</v>
      </c>
      <c r="H121" s="5">
        <v>0.76837962962962969</v>
      </c>
      <c r="I121" t="s">
        <v>9</v>
      </c>
      <c r="J121">
        <v>1.403</v>
      </c>
      <c r="K121">
        <v>0.31209999999999999</v>
      </c>
      <c r="L121">
        <v>1.6677999999999999</v>
      </c>
      <c r="M121" t="s">
        <v>10</v>
      </c>
      <c r="N121" t="s">
        <v>11</v>
      </c>
      <c r="O121">
        <v>1.9259999999999999</v>
      </c>
      <c r="P121">
        <v>88.677099999999996</v>
      </c>
      <c r="Q121">
        <v>118.1675</v>
      </c>
      <c r="R121" t="s">
        <v>10</v>
      </c>
      <c r="S121" t="s">
        <v>361</v>
      </c>
      <c r="T121" s="4">
        <v>44834</v>
      </c>
      <c r="U121" s="5">
        <v>0.76837962962962969</v>
      </c>
      <c r="V121" t="s">
        <v>13</v>
      </c>
      <c r="W121">
        <v>1.1599999999999999</v>
      </c>
      <c r="X121">
        <v>3067.4756000000002</v>
      </c>
      <c r="Y121">
        <v>121112.0612</v>
      </c>
      <c r="Z121" t="s">
        <v>1689</v>
      </c>
      <c r="AA121">
        <v>2.226</v>
      </c>
      <c r="AB121">
        <v>58.494399999999999</v>
      </c>
      <c r="AC121">
        <v>4.1000000000000002E-2</v>
      </c>
      <c r="AD121" t="s">
        <v>10</v>
      </c>
      <c r="AE121">
        <f>P121*'Run 1 Curve Parameters'!$D$3+'Run 1 Curve Parameters'!$E$3</f>
        <v>158.31711403176041</v>
      </c>
      <c r="AF121">
        <f>K121*'Run 1 Curve Parameters'!$D$2+'Run 1 Curve Parameters'!$E$2</f>
        <v>-106.87071834147585</v>
      </c>
    </row>
    <row r="122" spans="1:32">
      <c r="A122" s="2">
        <v>121</v>
      </c>
      <c r="B122" s="2" t="s">
        <v>351</v>
      </c>
      <c r="C122" s="2" t="s">
        <v>362</v>
      </c>
      <c r="D122" s="2">
        <v>121</v>
      </c>
      <c r="E122" s="3" t="str">
        <f>D122&amp;"g"</f>
        <v>121g</v>
      </c>
      <c r="F122" t="s">
        <v>363</v>
      </c>
      <c r="G122" s="4">
        <v>44834</v>
      </c>
      <c r="H122" s="5">
        <v>0.7721527777777778</v>
      </c>
      <c r="I122" t="s">
        <v>9</v>
      </c>
      <c r="J122">
        <v>1.41</v>
      </c>
      <c r="K122">
        <v>1205.9154000000001</v>
      </c>
      <c r="L122">
        <v>5216.1682000000001</v>
      </c>
      <c r="M122" t="s">
        <v>10</v>
      </c>
      <c r="N122" t="s">
        <v>11</v>
      </c>
      <c r="O122">
        <v>1.9359999999999999</v>
      </c>
      <c r="P122">
        <v>1325.6215999999999</v>
      </c>
      <c r="Q122">
        <v>4689.6008000000002</v>
      </c>
      <c r="R122" t="s">
        <v>10</v>
      </c>
      <c r="S122" t="s">
        <v>364</v>
      </c>
      <c r="T122" s="4">
        <v>44834</v>
      </c>
      <c r="U122" s="5">
        <v>0.7721527777777778</v>
      </c>
      <c r="V122" t="s">
        <v>13</v>
      </c>
      <c r="W122">
        <v>1.1659999999999999</v>
      </c>
      <c r="X122">
        <v>3542.5673999999999</v>
      </c>
      <c r="Y122">
        <v>177487.86079999999</v>
      </c>
      <c r="Z122" t="s">
        <v>1689</v>
      </c>
      <c r="AA122">
        <v>2.23</v>
      </c>
      <c r="AB122">
        <v>125.46639999999999</v>
      </c>
      <c r="AC122">
        <v>0.3155</v>
      </c>
      <c r="AD122" t="s">
        <v>10</v>
      </c>
      <c r="AE122">
        <f>P122*'Run 1 Curve Parameters'!$D$3+'Run 1 Curve Parameters'!$E$3</f>
        <v>5319.9924569630221</v>
      </c>
      <c r="AF122">
        <f>K122*'Run 1 Curve Parameters'!$D$2+'Run 1 Curve Parameters'!$E$2</f>
        <v>7233.8939717636822</v>
      </c>
    </row>
    <row r="123" spans="1:32">
      <c r="A123" s="2">
        <v>122</v>
      </c>
      <c r="B123" s="2" t="s">
        <v>196</v>
      </c>
      <c r="C123" s="2" t="s">
        <v>196</v>
      </c>
      <c r="D123" s="2">
        <v>122</v>
      </c>
      <c r="E123" s="2" t="s">
        <v>196</v>
      </c>
      <c r="F123" t="s">
        <v>365</v>
      </c>
      <c r="G123" s="4">
        <v>44834</v>
      </c>
      <c r="H123" s="5">
        <v>0.77590277777777772</v>
      </c>
      <c r="I123" t="s">
        <v>9</v>
      </c>
      <c r="J123">
        <v>1.413</v>
      </c>
      <c r="K123">
        <v>4.1955999999999998</v>
      </c>
      <c r="L123">
        <v>18.4648</v>
      </c>
      <c r="M123" t="s">
        <v>10</v>
      </c>
      <c r="N123" t="s">
        <v>11</v>
      </c>
      <c r="O123">
        <v>1.9330000000000001</v>
      </c>
      <c r="P123">
        <v>99.674899999999994</v>
      </c>
      <c r="Q123">
        <v>158.8126</v>
      </c>
      <c r="R123" t="s">
        <v>10</v>
      </c>
      <c r="S123" t="s">
        <v>366</v>
      </c>
      <c r="T123" s="4">
        <v>44834</v>
      </c>
      <c r="U123" s="5">
        <v>0.77590277777777772</v>
      </c>
      <c r="V123" t="s">
        <v>13</v>
      </c>
      <c r="W123">
        <v>1.1659999999999999</v>
      </c>
      <c r="X123">
        <v>3223.2325999999998</v>
      </c>
      <c r="Y123">
        <v>136101.27799999999</v>
      </c>
      <c r="Z123" t="s">
        <v>1689</v>
      </c>
      <c r="AA123">
        <v>2.2330000000000001</v>
      </c>
      <c r="AB123">
        <v>63.108400000000003</v>
      </c>
      <c r="AC123">
        <v>5.9900000000000002E-2</v>
      </c>
      <c r="AD123" t="s">
        <v>10</v>
      </c>
      <c r="AE123">
        <f>P123*'Run 1 Curve Parameters'!$D$3+'Run 1 Curve Parameters'!$E$3</f>
        <v>204.21009717408361</v>
      </c>
      <c r="AF123">
        <f>K123*'Run 1 Curve Parameters'!$D$2+'Run 1 Curve Parameters'!$E$2</f>
        <v>-83.224582274974225</v>
      </c>
    </row>
    <row r="124" spans="1:32">
      <c r="A124" s="2">
        <v>123</v>
      </c>
      <c r="B124" s="2" t="s">
        <v>351</v>
      </c>
      <c r="C124" s="2" t="s">
        <v>367</v>
      </c>
      <c r="D124" s="2">
        <v>123</v>
      </c>
      <c r="E124" s="3" t="str">
        <f>D124&amp;"g"</f>
        <v>123g</v>
      </c>
      <c r="F124" t="s">
        <v>368</v>
      </c>
      <c r="G124" s="4">
        <v>44834</v>
      </c>
      <c r="H124" s="5">
        <v>0.77965277777777775</v>
      </c>
      <c r="I124" t="s">
        <v>9</v>
      </c>
      <c r="J124">
        <v>1.41</v>
      </c>
      <c r="K124">
        <v>1.0426</v>
      </c>
      <c r="L124">
        <v>4.8273999999999999</v>
      </c>
      <c r="M124" t="s">
        <v>10</v>
      </c>
      <c r="N124" t="s">
        <v>11</v>
      </c>
      <c r="O124">
        <v>1.94</v>
      </c>
      <c r="P124">
        <v>1103.796</v>
      </c>
      <c r="Q124">
        <v>3869.7896000000001</v>
      </c>
      <c r="R124" t="s">
        <v>10</v>
      </c>
      <c r="S124" t="s">
        <v>369</v>
      </c>
      <c r="T124" s="4">
        <v>44834</v>
      </c>
      <c r="U124" s="5">
        <v>0.77965277777777775</v>
      </c>
      <c r="V124" t="s">
        <v>13</v>
      </c>
      <c r="W124">
        <v>1.1659999999999999</v>
      </c>
      <c r="X124">
        <v>3681.9848000000002</v>
      </c>
      <c r="Y124">
        <v>198048.9651</v>
      </c>
      <c r="Z124" t="s">
        <v>1689</v>
      </c>
      <c r="AA124">
        <v>2.2330000000000001</v>
      </c>
      <c r="AB124">
        <v>121.34990000000001</v>
      </c>
      <c r="AC124">
        <v>0.29859999999999998</v>
      </c>
      <c r="AD124" t="s">
        <v>10</v>
      </c>
      <c r="AE124">
        <f>P124*'Run 1 Curve Parameters'!$D$3+'Run 1 Curve Parameters'!$E$3</f>
        <v>4394.3310954783856</v>
      </c>
      <c r="AF124">
        <f>K124*'Run 1 Curve Parameters'!$D$2+'Run 1 Curve Parameters'!$E$2</f>
        <v>-102.42279703425828</v>
      </c>
    </row>
    <row r="125" spans="1:32">
      <c r="A125" s="2">
        <v>124</v>
      </c>
      <c r="B125" s="2" t="s">
        <v>196</v>
      </c>
      <c r="C125" s="2" t="s">
        <v>196</v>
      </c>
      <c r="D125" s="2">
        <v>124</v>
      </c>
      <c r="E125" s="2" t="s">
        <v>196</v>
      </c>
      <c r="F125" t="s">
        <v>370</v>
      </c>
      <c r="G125" s="4">
        <v>44834</v>
      </c>
      <c r="H125" s="5">
        <v>0.78341435185185182</v>
      </c>
      <c r="I125" t="s">
        <v>9</v>
      </c>
      <c r="J125">
        <v>1.41</v>
      </c>
      <c r="K125">
        <v>0.30099999999999999</v>
      </c>
      <c r="L125">
        <v>1.6197999999999999</v>
      </c>
      <c r="M125" t="s">
        <v>10</v>
      </c>
      <c r="N125" t="s">
        <v>11</v>
      </c>
      <c r="O125">
        <v>1.9330000000000001</v>
      </c>
      <c r="P125">
        <v>92.791799999999995</v>
      </c>
      <c r="Q125">
        <v>133.37440000000001</v>
      </c>
      <c r="R125" t="s">
        <v>10</v>
      </c>
      <c r="S125" t="s">
        <v>371</v>
      </c>
      <c r="T125" s="4">
        <v>44834</v>
      </c>
      <c r="U125" s="5">
        <v>0.78341435185185182</v>
      </c>
      <c r="V125" t="s">
        <v>13</v>
      </c>
      <c r="W125">
        <v>1.1659999999999999</v>
      </c>
      <c r="X125">
        <v>3135.4263999999998</v>
      </c>
      <c r="Y125">
        <v>127356.89840000001</v>
      </c>
      <c r="Z125" t="s">
        <v>1689</v>
      </c>
      <c r="AA125">
        <v>2.2330000000000001</v>
      </c>
      <c r="AB125">
        <v>59.715800000000002</v>
      </c>
      <c r="AC125">
        <v>4.5999999999999999E-2</v>
      </c>
      <c r="AD125" t="s">
        <v>10</v>
      </c>
      <c r="AE125">
        <f>P125*'Run 1 Curve Parameters'!$D$3+'Run 1 Curve Parameters'!$E$3</f>
        <v>175.48744425559767</v>
      </c>
      <c r="AF125">
        <f>K125*'Run 1 Curve Parameters'!$D$2+'Run 1 Curve Parameters'!$E$2</f>
        <v>-106.93830482540483</v>
      </c>
    </row>
    <row r="126" spans="1:32">
      <c r="A126" s="2">
        <v>125</v>
      </c>
      <c r="B126" s="2" t="s">
        <v>351</v>
      </c>
      <c r="C126" s="2" t="s">
        <v>372</v>
      </c>
      <c r="D126" s="2">
        <v>125</v>
      </c>
      <c r="E126" s="3" t="str">
        <f>D126&amp;"g"</f>
        <v>125g</v>
      </c>
      <c r="F126" t="s">
        <v>373</v>
      </c>
      <c r="G126" s="4">
        <v>44834</v>
      </c>
      <c r="H126" s="5">
        <v>0.78716435185185185</v>
      </c>
      <c r="I126" t="s">
        <v>9</v>
      </c>
      <c r="J126">
        <v>1.413</v>
      </c>
      <c r="K126">
        <v>0.96099999999999997</v>
      </c>
      <c r="L126">
        <v>4.4744999999999999</v>
      </c>
      <c r="M126" t="s">
        <v>10</v>
      </c>
      <c r="N126" t="s">
        <v>11</v>
      </c>
      <c r="O126">
        <v>1.9359999999999999</v>
      </c>
      <c r="P126">
        <v>589.43119999999999</v>
      </c>
      <c r="Q126">
        <v>1968.8277</v>
      </c>
      <c r="R126" t="s">
        <v>10</v>
      </c>
      <c r="S126" t="s">
        <v>374</v>
      </c>
      <c r="T126" s="4">
        <v>44834</v>
      </c>
      <c r="U126" s="5">
        <v>0.78716435185185185</v>
      </c>
      <c r="V126" t="s">
        <v>13</v>
      </c>
      <c r="W126">
        <v>1.17</v>
      </c>
      <c r="X126">
        <v>3656.0241999999998</v>
      </c>
      <c r="Y126">
        <v>194220.32819999999</v>
      </c>
      <c r="Z126" t="s">
        <v>1689</v>
      </c>
      <c r="AA126">
        <v>2.2330000000000001</v>
      </c>
      <c r="AB126">
        <v>101.4971</v>
      </c>
      <c r="AC126">
        <v>0.21729999999999999</v>
      </c>
      <c r="AD126" t="s">
        <v>10</v>
      </c>
      <c r="AE126">
        <f>P126*'Run 1 Curve Parameters'!$D$3+'Run 1 Curve Parameters'!$E$3</f>
        <v>2247.9258966745833</v>
      </c>
      <c r="AF126">
        <f>K126*'Run 1 Curve Parameters'!$D$2+'Run 1 Curve Parameters'!$E$2</f>
        <v>-102.91964902422262</v>
      </c>
    </row>
    <row r="127" spans="1:32">
      <c r="A127" s="2">
        <v>126</v>
      </c>
      <c r="B127" s="2" t="s">
        <v>196</v>
      </c>
      <c r="C127" s="2" t="s">
        <v>196</v>
      </c>
      <c r="D127" s="2">
        <v>126</v>
      </c>
      <c r="E127" s="2" t="s">
        <v>196</v>
      </c>
      <c r="F127" t="s">
        <v>375</v>
      </c>
      <c r="G127" s="4">
        <v>44834</v>
      </c>
      <c r="H127" s="5">
        <v>0.79091435185185188</v>
      </c>
      <c r="I127" t="s">
        <v>9</v>
      </c>
      <c r="J127">
        <v>1.41</v>
      </c>
      <c r="K127">
        <v>0.3332</v>
      </c>
      <c r="L127">
        <v>1.7591000000000001</v>
      </c>
      <c r="M127" t="s">
        <v>10</v>
      </c>
      <c r="N127" t="s">
        <v>11</v>
      </c>
      <c r="O127">
        <v>1.9330000000000001</v>
      </c>
      <c r="P127">
        <v>93.672899999999998</v>
      </c>
      <c r="Q127">
        <v>136.63079999999999</v>
      </c>
      <c r="R127" t="s">
        <v>10</v>
      </c>
      <c r="S127" t="s">
        <v>376</v>
      </c>
      <c r="T127" s="4">
        <v>44834</v>
      </c>
      <c r="U127" s="5">
        <v>0.79091435185185188</v>
      </c>
      <c r="V127" t="s">
        <v>13</v>
      </c>
      <c r="W127">
        <v>1.1659999999999999</v>
      </c>
      <c r="X127">
        <v>3217.0382</v>
      </c>
      <c r="Y127">
        <v>135453.70689999999</v>
      </c>
      <c r="Z127" t="s">
        <v>1689</v>
      </c>
      <c r="AA127">
        <v>2.2360000000000002</v>
      </c>
      <c r="AB127">
        <v>60.805999999999997</v>
      </c>
      <c r="AC127">
        <v>5.0500000000000003E-2</v>
      </c>
      <c r="AD127" t="s">
        <v>10</v>
      </c>
      <c r="AE127">
        <f>P127*'Run 1 Curve Parameters'!$D$3+'Run 1 Curve Parameters'!$E$3</f>
        <v>179.16420755795821</v>
      </c>
      <c r="AF127">
        <f>K127*'Run 1 Curve Parameters'!$D$2+'Run 1 Curve Parameters'!$E$2</f>
        <v>-106.74224313328655</v>
      </c>
    </row>
    <row r="128" spans="1:32">
      <c r="A128" s="2">
        <v>127</v>
      </c>
      <c r="B128" s="2" t="s">
        <v>351</v>
      </c>
      <c r="C128" s="2" t="s">
        <v>377</v>
      </c>
      <c r="D128" s="2">
        <v>127</v>
      </c>
      <c r="E128" s="3" t="str">
        <f>D128&amp;"g"</f>
        <v>127g</v>
      </c>
      <c r="F128" t="s">
        <v>378</v>
      </c>
      <c r="G128" s="4">
        <v>44834</v>
      </c>
      <c r="H128" s="5">
        <v>0.79467592592592595</v>
      </c>
      <c r="I128" t="s">
        <v>9</v>
      </c>
      <c r="J128">
        <v>1.413</v>
      </c>
      <c r="K128">
        <v>1.8360000000000001</v>
      </c>
      <c r="L128">
        <v>8.2590000000000003</v>
      </c>
      <c r="M128" t="s">
        <v>10</v>
      </c>
      <c r="N128" t="s">
        <v>11</v>
      </c>
      <c r="O128">
        <v>1.9430000000000001</v>
      </c>
      <c r="P128">
        <v>2231.4546</v>
      </c>
      <c r="Q128">
        <v>8037.3298999999997</v>
      </c>
      <c r="R128" t="s">
        <v>10</v>
      </c>
      <c r="S128" t="s">
        <v>379</v>
      </c>
      <c r="T128" s="4">
        <v>44834</v>
      </c>
      <c r="U128" s="5">
        <v>0.79467592592592595</v>
      </c>
      <c r="V128" t="s">
        <v>13</v>
      </c>
      <c r="W128">
        <v>1.1659999999999999</v>
      </c>
      <c r="X128">
        <v>3606.0726</v>
      </c>
      <c r="Y128">
        <v>186853.52849999999</v>
      </c>
      <c r="Z128" t="s">
        <v>1689</v>
      </c>
      <c r="AA128">
        <v>2.23</v>
      </c>
      <c r="AB128">
        <v>147.3049</v>
      </c>
      <c r="AC128">
        <v>0.40500000000000003</v>
      </c>
      <c r="AD128" t="s">
        <v>10</v>
      </c>
      <c r="AE128">
        <f>P128*'Run 1 Curve Parameters'!$D$3+'Run 1 Curve Parameters'!$E$3</f>
        <v>9099.9646876600782</v>
      </c>
      <c r="AF128">
        <f>K128*'Run 1 Curve Parameters'!$D$2+'Run 1 Curve Parameters'!$E$2</f>
        <v>-97.591885651443192</v>
      </c>
    </row>
    <row r="129" spans="1:32">
      <c r="A129" s="2">
        <v>128</v>
      </c>
      <c r="B129" s="2" t="s">
        <v>196</v>
      </c>
      <c r="C129" s="2" t="s">
        <v>196</v>
      </c>
      <c r="D129" s="2">
        <v>128</v>
      </c>
      <c r="E129" s="2" t="s">
        <v>196</v>
      </c>
      <c r="F129" t="s">
        <v>380</v>
      </c>
      <c r="G129" s="4">
        <v>44834</v>
      </c>
      <c r="H129" s="5">
        <v>0.79843750000000002</v>
      </c>
      <c r="I129" t="s">
        <v>9</v>
      </c>
      <c r="J129">
        <v>1.3959999999999999</v>
      </c>
      <c r="K129">
        <v>0.30659999999999998</v>
      </c>
      <c r="L129">
        <v>1.6439999999999999</v>
      </c>
      <c r="M129" t="s">
        <v>10</v>
      </c>
      <c r="N129" t="s">
        <v>11</v>
      </c>
      <c r="O129">
        <v>1.92</v>
      </c>
      <c r="P129">
        <v>110.5505</v>
      </c>
      <c r="Q129">
        <v>199.0061</v>
      </c>
      <c r="R129" t="s">
        <v>10</v>
      </c>
      <c r="S129" t="s">
        <v>381</v>
      </c>
      <c r="T129" s="4">
        <v>44834</v>
      </c>
      <c r="U129" s="5">
        <v>0.79843750000000002</v>
      </c>
      <c r="V129" t="s">
        <v>13</v>
      </c>
      <c r="W129">
        <v>1.1599999999999999</v>
      </c>
      <c r="X129">
        <v>3183.6487999999999</v>
      </c>
      <c r="Y129">
        <v>132056.09959999999</v>
      </c>
      <c r="Z129" t="s">
        <v>1689</v>
      </c>
      <c r="AA129">
        <v>2.2200000000000002</v>
      </c>
      <c r="AB129">
        <v>66.239500000000007</v>
      </c>
      <c r="AC129">
        <v>7.2700000000000001E-2</v>
      </c>
      <c r="AD129" t="s">
        <v>10</v>
      </c>
      <c r="AE129">
        <f>P129*'Run 1 Curve Parameters'!$D$3+'Run 1 Curve Parameters'!$E$3</f>
        <v>249.59314900832783</v>
      </c>
      <c r="AF129">
        <f>K129*'Run 1 Curve Parameters'!$D$2+'Run 1 Curve Parameters'!$E$2</f>
        <v>-106.90420713981904</v>
      </c>
    </row>
    <row r="130" spans="1:32">
      <c r="A130" s="2">
        <v>129</v>
      </c>
      <c r="B130" s="2" t="s">
        <v>351</v>
      </c>
      <c r="C130" s="2" t="s">
        <v>382</v>
      </c>
      <c r="D130" s="2">
        <v>129</v>
      </c>
      <c r="E130" s="3" t="str">
        <f>D130&amp;"g"</f>
        <v>129g</v>
      </c>
      <c r="F130" t="s">
        <v>383</v>
      </c>
      <c r="G130" s="4">
        <v>44834</v>
      </c>
      <c r="H130" s="5">
        <v>0.80219907407407398</v>
      </c>
      <c r="I130" t="s">
        <v>9</v>
      </c>
      <c r="J130">
        <v>1.4</v>
      </c>
      <c r="K130">
        <v>0.79379999999999995</v>
      </c>
      <c r="L130">
        <v>3.7513000000000001</v>
      </c>
      <c r="M130" t="s">
        <v>10</v>
      </c>
      <c r="N130" t="s">
        <v>11</v>
      </c>
      <c r="O130">
        <v>1.9330000000000001</v>
      </c>
      <c r="P130">
        <v>2626.7595999999999</v>
      </c>
      <c r="Q130">
        <v>9498.2769000000008</v>
      </c>
      <c r="R130" t="s">
        <v>10</v>
      </c>
      <c r="S130" t="s">
        <v>384</v>
      </c>
      <c r="T130" s="4">
        <v>44834</v>
      </c>
      <c r="U130" s="5">
        <v>0.80219907407407398</v>
      </c>
      <c r="V130" t="s">
        <v>13</v>
      </c>
      <c r="W130">
        <v>1.1599999999999999</v>
      </c>
      <c r="X130">
        <v>3512.9405999999999</v>
      </c>
      <c r="Y130">
        <v>173118.5373</v>
      </c>
      <c r="Z130" t="s">
        <v>1689</v>
      </c>
      <c r="AA130">
        <v>2.2200000000000002</v>
      </c>
      <c r="AB130">
        <v>179.09800000000001</v>
      </c>
      <c r="AC130">
        <v>0.5353</v>
      </c>
      <c r="AD130" t="s">
        <v>10</v>
      </c>
      <c r="AE130">
        <f>P130*'Run 1 Curve Parameters'!$D$3+'Run 1 Curve Parameters'!$E$3</f>
        <v>10749.542394208303</v>
      </c>
      <c r="AF130">
        <f>K130*'Run 1 Curve Parameters'!$D$2+'Run 1 Curve Parameters'!$E$2</f>
        <v>-103.93770849385545</v>
      </c>
    </row>
    <row r="131" spans="1:32">
      <c r="A131" s="2">
        <v>130</v>
      </c>
      <c r="B131" s="2" t="s">
        <v>196</v>
      </c>
      <c r="C131" s="2" t="s">
        <v>196</v>
      </c>
      <c r="D131" s="2">
        <v>130</v>
      </c>
      <c r="E131" s="2" t="s">
        <v>196</v>
      </c>
      <c r="F131" t="s">
        <v>385</v>
      </c>
      <c r="G131" s="4">
        <v>44834</v>
      </c>
      <c r="H131" s="5">
        <v>0.80596064814814816</v>
      </c>
      <c r="I131" t="s">
        <v>9</v>
      </c>
      <c r="J131">
        <v>1.4059999999999999</v>
      </c>
      <c r="K131">
        <v>0.26989999999999997</v>
      </c>
      <c r="L131">
        <v>1.4853000000000001</v>
      </c>
      <c r="M131" t="s">
        <v>10</v>
      </c>
      <c r="N131" t="s">
        <v>11</v>
      </c>
      <c r="O131">
        <v>1.9259999999999999</v>
      </c>
      <c r="P131">
        <v>90.578400000000002</v>
      </c>
      <c r="Q131">
        <v>125.1943</v>
      </c>
      <c r="R131" t="s">
        <v>10</v>
      </c>
      <c r="S131" t="s">
        <v>386</v>
      </c>
      <c r="T131" s="4">
        <v>44834</v>
      </c>
      <c r="U131" s="5">
        <v>0.80596064814814816</v>
      </c>
      <c r="V131" t="s">
        <v>13</v>
      </c>
      <c r="W131">
        <v>1.1659999999999999</v>
      </c>
      <c r="X131">
        <v>2982.3503999999998</v>
      </c>
      <c r="Y131">
        <v>113741.4427</v>
      </c>
      <c r="Z131" t="s">
        <v>1689</v>
      </c>
      <c r="AA131">
        <v>2.226</v>
      </c>
      <c r="AB131">
        <v>58.827500000000001</v>
      </c>
      <c r="AC131">
        <v>4.24E-2</v>
      </c>
      <c r="AD131" t="s">
        <v>10</v>
      </c>
      <c r="AE131">
        <f>P131*'Run 1 Curve Parameters'!$D$3+'Run 1 Curve Parameters'!$E$3</f>
        <v>166.2510943595077</v>
      </c>
      <c r="AF131">
        <f>K131*'Run 1 Curve Parameters'!$D$2+'Run 1 Curve Parameters'!$E$2</f>
        <v>-107.12766875785448</v>
      </c>
    </row>
    <row r="132" spans="1:32">
      <c r="A132" s="2">
        <v>131</v>
      </c>
      <c r="B132" s="2" t="s">
        <v>351</v>
      </c>
      <c r="C132" s="2" t="s">
        <v>387</v>
      </c>
      <c r="D132" s="2">
        <v>131</v>
      </c>
      <c r="E132" s="3" t="str">
        <f>D132&amp;"g"</f>
        <v>131g</v>
      </c>
      <c r="F132" t="s">
        <v>388</v>
      </c>
      <c r="G132" s="4">
        <v>44834</v>
      </c>
      <c r="H132" s="5">
        <v>0.80972222222222223</v>
      </c>
      <c r="I132" t="s">
        <v>9</v>
      </c>
      <c r="J132">
        <v>1.4159999999999999</v>
      </c>
      <c r="K132">
        <v>47.128999999999998</v>
      </c>
      <c r="L132">
        <v>204.16120000000001</v>
      </c>
      <c r="M132" t="s">
        <v>10</v>
      </c>
      <c r="N132" t="s">
        <v>11</v>
      </c>
      <c r="O132">
        <v>1.94</v>
      </c>
      <c r="P132">
        <v>813.298</v>
      </c>
      <c r="Q132">
        <v>2796.1826999999998</v>
      </c>
      <c r="R132" t="s">
        <v>10</v>
      </c>
      <c r="S132" t="s">
        <v>389</v>
      </c>
      <c r="T132" s="4">
        <v>44834</v>
      </c>
      <c r="U132" s="5">
        <v>0.80972222222222223</v>
      </c>
      <c r="V132" t="s">
        <v>13</v>
      </c>
      <c r="W132">
        <v>1.17</v>
      </c>
      <c r="X132">
        <v>3690.8892000000001</v>
      </c>
      <c r="Y132">
        <v>199362.17490000001</v>
      </c>
      <c r="Z132" t="s">
        <v>1689</v>
      </c>
      <c r="AA132">
        <v>2.2360000000000002</v>
      </c>
      <c r="AB132">
        <v>107.1527</v>
      </c>
      <c r="AC132">
        <v>0.2404</v>
      </c>
      <c r="AD132" t="s">
        <v>10</v>
      </c>
      <c r="AE132">
        <f>P132*'Run 1 Curve Parameters'!$D$3+'Run 1 Curve Parameters'!$E$3</f>
        <v>3182.1050305491626</v>
      </c>
      <c r="AF132">
        <f>K132*'Run 1 Curve Parameters'!$D$2+'Run 1 Curve Parameters'!$E$2</f>
        <v>178.19141314089825</v>
      </c>
    </row>
    <row r="133" spans="1:32">
      <c r="A133" s="2">
        <v>132</v>
      </c>
      <c r="B133" s="2" t="s">
        <v>196</v>
      </c>
      <c r="C133" s="2" t="s">
        <v>196</v>
      </c>
      <c r="D133" s="2">
        <v>132</v>
      </c>
      <c r="E133" s="2" t="s">
        <v>196</v>
      </c>
      <c r="F133" t="s">
        <v>390</v>
      </c>
      <c r="G133" s="4">
        <v>44834</v>
      </c>
      <c r="H133" s="5">
        <v>0.81347222222222226</v>
      </c>
      <c r="I133" t="s">
        <v>9</v>
      </c>
      <c r="J133">
        <v>1.4</v>
      </c>
      <c r="K133">
        <v>0.40100000000000002</v>
      </c>
      <c r="L133">
        <v>2.0522999999999998</v>
      </c>
      <c r="M133" t="s">
        <v>10</v>
      </c>
      <c r="N133" t="s">
        <v>11</v>
      </c>
      <c r="O133">
        <v>1.923</v>
      </c>
      <c r="P133">
        <v>90.281099999999995</v>
      </c>
      <c r="Q133">
        <v>124.0955</v>
      </c>
      <c r="R133" t="s">
        <v>10</v>
      </c>
      <c r="S133" t="s">
        <v>391</v>
      </c>
      <c r="T133" s="4">
        <v>44834</v>
      </c>
      <c r="U133" s="5">
        <v>0.81347222222222226</v>
      </c>
      <c r="V133" t="s">
        <v>13</v>
      </c>
      <c r="W133">
        <v>1.1599999999999999</v>
      </c>
      <c r="X133">
        <v>3042.5218</v>
      </c>
      <c r="Y133">
        <v>118904.4614</v>
      </c>
      <c r="Z133" t="s">
        <v>1689</v>
      </c>
      <c r="AA133">
        <v>2.2229999999999999</v>
      </c>
      <c r="AB133">
        <v>56.662199999999999</v>
      </c>
      <c r="AC133">
        <v>3.3500000000000002E-2</v>
      </c>
      <c r="AD133" t="s">
        <v>10</v>
      </c>
      <c r="AE133">
        <f>P133*'Run 1 Curve Parameters'!$D$3+'Run 1 Curve Parameters'!$E$3</f>
        <v>165.01048406579326</v>
      </c>
      <c r="AF133">
        <f>K133*'Run 1 Curve Parameters'!$D$2+'Run 1 Curve Parameters'!$E$2</f>
        <v>-106.32941758280147</v>
      </c>
    </row>
    <row r="134" spans="1:32">
      <c r="A134" s="2">
        <v>133</v>
      </c>
      <c r="B134" s="2" t="s">
        <v>238</v>
      </c>
      <c r="C134" s="2" t="s">
        <v>239</v>
      </c>
      <c r="D134" s="2">
        <v>133</v>
      </c>
      <c r="E134" s="3" t="s">
        <v>392</v>
      </c>
      <c r="F134" t="s">
        <v>393</v>
      </c>
      <c r="G134" s="4">
        <v>44834</v>
      </c>
      <c r="H134" s="5">
        <v>0.81723379629629633</v>
      </c>
      <c r="I134" t="s">
        <v>9</v>
      </c>
      <c r="J134">
        <v>1.413</v>
      </c>
      <c r="K134">
        <v>0.67200000000000004</v>
      </c>
      <c r="L134">
        <v>3.2244999999999999</v>
      </c>
      <c r="M134" t="s">
        <v>10</v>
      </c>
      <c r="N134" t="s">
        <v>11</v>
      </c>
      <c r="O134">
        <v>1.9359999999999999</v>
      </c>
      <c r="P134">
        <v>171.39240000000001</v>
      </c>
      <c r="Q134">
        <v>423.8623</v>
      </c>
      <c r="R134" t="s">
        <v>10</v>
      </c>
      <c r="S134" t="s">
        <v>394</v>
      </c>
      <c r="T134" s="4">
        <v>44834</v>
      </c>
      <c r="U134" s="5">
        <v>0.81723379629629633</v>
      </c>
      <c r="V134" t="s">
        <v>13</v>
      </c>
      <c r="W134">
        <v>1.17</v>
      </c>
      <c r="X134">
        <v>3987.2734</v>
      </c>
      <c r="Y134">
        <v>243072.5471</v>
      </c>
      <c r="Z134" t="s">
        <v>1689</v>
      </c>
      <c r="AA134">
        <v>2.2400000000000002</v>
      </c>
      <c r="AB134">
        <v>104.8708</v>
      </c>
      <c r="AC134">
        <v>0.2311</v>
      </c>
      <c r="AD134" t="s">
        <v>10</v>
      </c>
      <c r="AE134">
        <f>P134*'Run 1 Curve Parameters'!$D$3+'Run 1 Curve Parameters'!$E$3</f>
        <v>503.48177137342952</v>
      </c>
      <c r="AF134">
        <f>K134*'Run 1 Curve Parameters'!$D$2+'Run 1 Curve Parameters'!$E$2</f>
        <v>-104.67933315534634</v>
      </c>
    </row>
    <row r="135" spans="1:32">
      <c r="A135" s="2">
        <v>134</v>
      </c>
      <c r="B135" s="2" t="s">
        <v>196</v>
      </c>
      <c r="C135" s="2" t="s">
        <v>196</v>
      </c>
      <c r="D135" s="2">
        <v>134</v>
      </c>
      <c r="E135" s="2" t="s">
        <v>196</v>
      </c>
      <c r="F135" t="s">
        <v>395</v>
      </c>
      <c r="G135" s="4">
        <v>44834</v>
      </c>
      <c r="H135" s="5">
        <v>0.8209953703703704</v>
      </c>
      <c r="I135" t="s">
        <v>9</v>
      </c>
      <c r="J135">
        <v>1.4</v>
      </c>
      <c r="K135">
        <v>0.37219999999999998</v>
      </c>
      <c r="L135">
        <v>1.9278</v>
      </c>
      <c r="M135" t="s">
        <v>10</v>
      </c>
      <c r="N135" t="s">
        <v>11</v>
      </c>
      <c r="O135">
        <v>1.923</v>
      </c>
      <c r="P135">
        <v>105.7916</v>
      </c>
      <c r="Q135">
        <v>181.41839999999999</v>
      </c>
      <c r="R135" t="s">
        <v>10</v>
      </c>
      <c r="S135" t="s">
        <v>396</v>
      </c>
      <c r="T135" s="4">
        <v>44834</v>
      </c>
      <c r="U135" s="5">
        <v>0.8209953703703704</v>
      </c>
      <c r="V135" t="s">
        <v>13</v>
      </c>
      <c r="W135">
        <v>1.1599999999999999</v>
      </c>
      <c r="X135">
        <v>3278.9423999999999</v>
      </c>
      <c r="Y135">
        <v>142076.3861</v>
      </c>
      <c r="Z135" t="s">
        <v>1689</v>
      </c>
      <c r="AA135">
        <v>2.2229999999999999</v>
      </c>
      <c r="AB135">
        <v>65.483000000000004</v>
      </c>
      <c r="AC135">
        <v>6.9599999999999995E-2</v>
      </c>
      <c r="AD135" t="s">
        <v>10</v>
      </c>
      <c r="AE135">
        <f>P135*'Run 1 Curve Parameters'!$D$3+'Run 1 Curve Parameters'!$E$3</f>
        <v>229.73462116857786</v>
      </c>
      <c r="AF135">
        <f>K135*'Run 1 Curve Parameters'!$D$2+'Run 1 Curve Parameters'!$E$2</f>
        <v>-106.50477710867123</v>
      </c>
    </row>
    <row r="136" spans="1:32">
      <c r="A136" s="2">
        <v>135</v>
      </c>
      <c r="B136" s="2" t="s">
        <v>351</v>
      </c>
      <c r="C136" s="2" t="s">
        <v>397</v>
      </c>
      <c r="D136" s="2">
        <v>135</v>
      </c>
      <c r="E136" s="3" t="str">
        <f>D136&amp;"g"</f>
        <v>135g</v>
      </c>
      <c r="F136" t="s">
        <v>398</v>
      </c>
      <c r="G136" s="4">
        <v>44834</v>
      </c>
      <c r="H136" s="5">
        <v>0.82474537037037043</v>
      </c>
      <c r="I136" t="s">
        <v>9</v>
      </c>
      <c r="J136">
        <v>1.4</v>
      </c>
      <c r="K136">
        <v>0.4471</v>
      </c>
      <c r="L136">
        <v>2.2517</v>
      </c>
      <c r="M136" t="s">
        <v>10</v>
      </c>
      <c r="N136" t="s">
        <v>11</v>
      </c>
      <c r="O136">
        <v>1.923</v>
      </c>
      <c r="P136">
        <v>267.108</v>
      </c>
      <c r="Q136">
        <v>777.60289999999998</v>
      </c>
      <c r="R136" t="s">
        <v>10</v>
      </c>
      <c r="S136" t="s">
        <v>399</v>
      </c>
      <c r="T136" s="4">
        <v>44834</v>
      </c>
      <c r="U136" s="5">
        <v>0.82474537037037043</v>
      </c>
      <c r="V136" t="s">
        <v>13</v>
      </c>
      <c r="W136">
        <v>1.1599999999999999</v>
      </c>
      <c r="X136">
        <v>3534.9996999999998</v>
      </c>
      <c r="Y136">
        <v>176371.78580000001</v>
      </c>
      <c r="Z136" t="s">
        <v>1689</v>
      </c>
      <c r="AA136">
        <v>2.2229999999999999</v>
      </c>
      <c r="AB136">
        <v>90.054400000000001</v>
      </c>
      <c r="AC136">
        <v>0.1704</v>
      </c>
      <c r="AD136" t="s">
        <v>10</v>
      </c>
      <c r="AE136">
        <f>P136*'Run 1 Curve Parameters'!$D$3+'Run 1 Curve Parameters'!$E$3</f>
        <v>902.89569209005958</v>
      </c>
      <c r="AF136">
        <f>K136*'Run 1 Curve Parameters'!$D$2+'Run 1 Curve Parameters'!$E$2</f>
        <v>-106.04872056396131</v>
      </c>
    </row>
    <row r="137" spans="1:32">
      <c r="A137" s="2">
        <v>136</v>
      </c>
      <c r="B137" s="2" t="s">
        <v>196</v>
      </c>
      <c r="C137" s="2" t="s">
        <v>196</v>
      </c>
      <c r="D137" s="2">
        <v>136</v>
      </c>
      <c r="E137" s="2" t="s">
        <v>196</v>
      </c>
      <c r="F137" t="s">
        <v>400</v>
      </c>
      <c r="G137" s="4">
        <v>44834</v>
      </c>
      <c r="H137" s="5">
        <v>0.82849537037037047</v>
      </c>
      <c r="I137" t="s">
        <v>9</v>
      </c>
      <c r="J137">
        <v>1.403</v>
      </c>
      <c r="K137">
        <v>0.30499999999999999</v>
      </c>
      <c r="L137">
        <v>1.6371</v>
      </c>
      <c r="M137" t="s">
        <v>10</v>
      </c>
      <c r="N137" t="s">
        <v>11</v>
      </c>
      <c r="O137">
        <v>1.9259999999999999</v>
      </c>
      <c r="P137">
        <v>85.256</v>
      </c>
      <c r="Q137">
        <v>105.524</v>
      </c>
      <c r="R137" t="s">
        <v>10</v>
      </c>
      <c r="S137" t="s">
        <v>401</v>
      </c>
      <c r="T137" s="4">
        <v>44834</v>
      </c>
      <c r="U137" s="5">
        <v>0.82849537037037047</v>
      </c>
      <c r="V137" t="s">
        <v>13</v>
      </c>
      <c r="W137">
        <v>1.1599999999999999</v>
      </c>
      <c r="X137">
        <v>2986.0608000000002</v>
      </c>
      <c r="Y137">
        <v>114059.8143</v>
      </c>
      <c r="Z137" t="s">
        <v>1689</v>
      </c>
      <c r="AA137">
        <v>2.2229999999999999</v>
      </c>
      <c r="AB137">
        <v>56.217399999999998</v>
      </c>
      <c r="AC137">
        <v>3.1699999999999999E-2</v>
      </c>
      <c r="AD137" t="s">
        <v>10</v>
      </c>
      <c r="AE137">
        <f>P137*'Run 1 Curve Parameters'!$D$3+'Run 1 Curve Parameters'!$E$3</f>
        <v>144.0411238675274</v>
      </c>
      <c r="AF137">
        <f>K137*'Run 1 Curve Parameters'!$D$2+'Run 1 Curve Parameters'!$E$2</f>
        <v>-106.91394933570069</v>
      </c>
    </row>
    <row r="138" spans="1:32">
      <c r="A138" s="2">
        <v>137</v>
      </c>
      <c r="B138" s="2" t="s">
        <v>351</v>
      </c>
      <c r="C138" s="2" t="s">
        <v>402</v>
      </c>
      <c r="D138" s="2">
        <v>137</v>
      </c>
      <c r="E138" s="3" t="str">
        <f>D138&amp;"g"</f>
        <v>137g</v>
      </c>
      <c r="F138" t="s">
        <v>403</v>
      </c>
      <c r="G138" s="4">
        <v>44834</v>
      </c>
      <c r="H138" s="5">
        <v>0.83225694444444442</v>
      </c>
      <c r="I138" t="s">
        <v>9</v>
      </c>
      <c r="J138">
        <v>1.3460000000000001</v>
      </c>
      <c r="K138">
        <v>9963.3988000000008</v>
      </c>
      <c r="L138">
        <v>43094.216699999997</v>
      </c>
      <c r="M138" t="s">
        <v>10</v>
      </c>
      <c r="N138" t="s">
        <v>11</v>
      </c>
      <c r="O138">
        <v>1.93</v>
      </c>
      <c r="P138">
        <v>14908.221799999999</v>
      </c>
      <c r="Q138">
        <v>54887.447200000002</v>
      </c>
      <c r="R138" t="s">
        <v>10</v>
      </c>
      <c r="S138" t="s">
        <v>404</v>
      </c>
      <c r="T138" s="4">
        <v>44834</v>
      </c>
      <c r="U138" s="5">
        <v>0.83225694444444442</v>
      </c>
      <c r="V138" t="s">
        <v>13</v>
      </c>
      <c r="W138">
        <v>1.1599999999999999</v>
      </c>
      <c r="X138">
        <v>2430.9096</v>
      </c>
      <c r="Y138">
        <v>74404.669500000004</v>
      </c>
      <c r="Z138" t="s">
        <v>1689</v>
      </c>
      <c r="AA138">
        <v>2.2229999999999999</v>
      </c>
      <c r="AB138">
        <v>191.46019999999999</v>
      </c>
      <c r="AC138">
        <v>0.58599999999999997</v>
      </c>
      <c r="AD138" t="s">
        <v>10</v>
      </c>
      <c r="AE138">
        <f>P138*'Run 1 Curve Parameters'!$D$3+'Run 1 Curve Parameters'!$E$3</f>
        <v>61999.150289212754</v>
      </c>
      <c r="AF138">
        <f>K138*'Run 1 Curve Parameters'!$D$2+'Run 1 Curve Parameters'!$E$2</f>
        <v>60557.093167470986</v>
      </c>
    </row>
    <row r="139" spans="1:32">
      <c r="A139" s="2">
        <v>138</v>
      </c>
      <c r="B139" s="2" t="s">
        <v>196</v>
      </c>
      <c r="C139" s="2" t="s">
        <v>196</v>
      </c>
      <c r="D139" s="2">
        <v>138</v>
      </c>
      <c r="E139" s="2" t="s">
        <v>196</v>
      </c>
      <c r="F139" t="s">
        <v>405</v>
      </c>
      <c r="G139" s="4">
        <v>44834</v>
      </c>
      <c r="H139" s="5">
        <v>0.83601851851851849</v>
      </c>
      <c r="I139" t="s">
        <v>9</v>
      </c>
      <c r="J139">
        <v>1.4159999999999999</v>
      </c>
      <c r="K139">
        <v>10.8249</v>
      </c>
      <c r="L139">
        <v>47.137999999999998</v>
      </c>
      <c r="M139" t="s">
        <v>10</v>
      </c>
      <c r="N139" t="s">
        <v>11</v>
      </c>
      <c r="O139">
        <v>1.9359999999999999</v>
      </c>
      <c r="P139">
        <v>103.54989999999999</v>
      </c>
      <c r="Q139">
        <v>173.1336</v>
      </c>
      <c r="R139" t="s">
        <v>10</v>
      </c>
      <c r="S139" t="s">
        <v>406</v>
      </c>
      <c r="T139" s="4">
        <v>44834</v>
      </c>
      <c r="U139" s="5">
        <v>0.83601851851851849</v>
      </c>
      <c r="V139" t="s">
        <v>13</v>
      </c>
      <c r="W139">
        <v>1.17</v>
      </c>
      <c r="X139">
        <v>3244.4418000000001</v>
      </c>
      <c r="Y139">
        <v>138318.51689999999</v>
      </c>
      <c r="Z139" t="s">
        <v>1689</v>
      </c>
      <c r="AA139">
        <v>2.2360000000000002</v>
      </c>
      <c r="AB139">
        <v>63.0852</v>
      </c>
      <c r="AC139">
        <v>5.9799999999999999E-2</v>
      </c>
      <c r="AD139" t="s">
        <v>10</v>
      </c>
      <c r="AE139">
        <f>P139*'Run 1 Curve Parameters'!$D$3+'Run 1 Curve Parameters'!$E$3</f>
        <v>220.38017752438117</v>
      </c>
      <c r="AF139">
        <f>K139*'Run 1 Curve Parameters'!$D$2+'Run 1 Curve Parameters'!$E$2</f>
        <v>-42.859620301069441</v>
      </c>
    </row>
    <row r="140" spans="1:32">
      <c r="A140" s="2">
        <v>139</v>
      </c>
      <c r="B140" s="2" t="s">
        <v>351</v>
      </c>
      <c r="C140" s="2" t="s">
        <v>407</v>
      </c>
      <c r="D140" s="2">
        <v>139</v>
      </c>
      <c r="E140" s="3" t="str">
        <f>D140&amp;"g"</f>
        <v>139g</v>
      </c>
      <c r="F140" t="s">
        <v>408</v>
      </c>
      <c r="G140" s="4">
        <v>44834</v>
      </c>
      <c r="H140" s="5">
        <v>0.83976851851851853</v>
      </c>
      <c r="I140" t="s">
        <v>9</v>
      </c>
      <c r="J140">
        <v>1.413</v>
      </c>
      <c r="K140">
        <v>526.89499999999998</v>
      </c>
      <c r="L140">
        <v>2279.2550999999999</v>
      </c>
      <c r="M140" t="s">
        <v>10</v>
      </c>
      <c r="N140" t="s">
        <v>11</v>
      </c>
      <c r="O140">
        <v>1.946</v>
      </c>
      <c r="P140">
        <v>2120.5052000000001</v>
      </c>
      <c r="Q140">
        <v>7627.2889999999998</v>
      </c>
      <c r="R140" t="s">
        <v>10</v>
      </c>
      <c r="S140" t="s">
        <v>409</v>
      </c>
      <c r="T140" s="4">
        <v>44834</v>
      </c>
      <c r="U140" s="5">
        <v>0.83976851851851853</v>
      </c>
      <c r="V140" t="s">
        <v>13</v>
      </c>
      <c r="W140">
        <v>1.17</v>
      </c>
      <c r="X140">
        <v>3611.2689</v>
      </c>
      <c r="Y140">
        <v>187619.87239999999</v>
      </c>
      <c r="Z140" t="s">
        <v>1689</v>
      </c>
      <c r="AA140">
        <v>2.2360000000000002</v>
      </c>
      <c r="AB140">
        <v>145.32640000000001</v>
      </c>
      <c r="AC140">
        <v>0.39689999999999998</v>
      </c>
      <c r="AD140" t="s">
        <v>10</v>
      </c>
      <c r="AE140">
        <f>P140*'Run 1 Curve Parameters'!$D$3+'Run 1 Curve Parameters'!$E$3</f>
        <v>8636.9812779007734</v>
      </c>
      <c r="AF140">
        <f>K140*'Run 1 Curve Parameters'!$D$2+'Run 1 Curve Parameters'!$E$2</f>
        <v>3099.4253814893518</v>
      </c>
    </row>
    <row r="141" spans="1:32">
      <c r="A141" s="2">
        <v>140</v>
      </c>
      <c r="B141" s="2" t="s">
        <v>196</v>
      </c>
      <c r="C141" s="2" t="s">
        <v>196</v>
      </c>
      <c r="D141" s="2">
        <v>140</v>
      </c>
      <c r="E141" s="2" t="s">
        <v>196</v>
      </c>
      <c r="F141" t="s">
        <v>410</v>
      </c>
      <c r="G141" s="4">
        <v>44834</v>
      </c>
      <c r="H141" s="5">
        <v>0.8435300925925926</v>
      </c>
      <c r="I141" t="s">
        <v>9</v>
      </c>
      <c r="J141">
        <v>1.413</v>
      </c>
      <c r="K141">
        <v>0.62680000000000002</v>
      </c>
      <c r="L141">
        <v>3.0289999999999999</v>
      </c>
      <c r="M141" t="s">
        <v>10</v>
      </c>
      <c r="N141" t="s">
        <v>11</v>
      </c>
      <c r="O141">
        <v>1.9359999999999999</v>
      </c>
      <c r="P141">
        <v>87.037999999999997</v>
      </c>
      <c r="Q141">
        <v>112.1099</v>
      </c>
      <c r="R141" t="s">
        <v>10</v>
      </c>
      <c r="S141" t="s">
        <v>411</v>
      </c>
      <c r="T141" s="4">
        <v>44834</v>
      </c>
      <c r="U141" s="5">
        <v>0.8435300925925926</v>
      </c>
      <c r="V141" t="s">
        <v>13</v>
      </c>
      <c r="W141">
        <v>1.1659999999999999</v>
      </c>
      <c r="X141">
        <v>3045.2206000000001</v>
      </c>
      <c r="Y141">
        <v>119136.0325</v>
      </c>
      <c r="Z141" t="s">
        <v>1689</v>
      </c>
      <c r="AA141">
        <v>2.2400000000000002</v>
      </c>
      <c r="AB141">
        <v>55.3735</v>
      </c>
      <c r="AC141">
        <v>2.8199999999999999E-2</v>
      </c>
      <c r="AD141" t="s">
        <v>10</v>
      </c>
      <c r="AE141">
        <f>P141*'Run 1 Curve Parameters'!$D$3+'Run 1 Curve Parameters'!$E$3</f>
        <v>151.47727436668356</v>
      </c>
      <c r="AF141">
        <f>K141*'Run 1 Curve Parameters'!$D$2+'Run 1 Curve Parameters'!$E$2</f>
        <v>-104.95455018900307</v>
      </c>
    </row>
    <row r="142" spans="1:32">
      <c r="A142" s="2">
        <v>141</v>
      </c>
      <c r="B142" s="2" t="s">
        <v>351</v>
      </c>
      <c r="C142" s="2" t="s">
        <v>412</v>
      </c>
      <c r="D142" s="2">
        <v>141</v>
      </c>
      <c r="E142" s="3" t="str">
        <f>D142&amp;"g"</f>
        <v>141g</v>
      </c>
      <c r="F142" t="s">
        <v>413</v>
      </c>
      <c r="G142" s="4">
        <v>44834</v>
      </c>
      <c r="H142" s="5">
        <v>0.84728009259259263</v>
      </c>
      <c r="I142" t="s">
        <v>9</v>
      </c>
      <c r="J142">
        <v>1.4059999999999999</v>
      </c>
      <c r="K142">
        <v>3.5175999999999998</v>
      </c>
      <c r="L142">
        <v>15.532299999999999</v>
      </c>
      <c r="M142" t="s">
        <v>10</v>
      </c>
      <c r="N142" t="s">
        <v>11</v>
      </c>
      <c r="O142">
        <v>1.9330000000000001</v>
      </c>
      <c r="P142">
        <v>1968.2285999999999</v>
      </c>
      <c r="Q142">
        <v>7064.5132999999996</v>
      </c>
      <c r="R142" t="s">
        <v>10</v>
      </c>
      <c r="S142" t="s">
        <v>414</v>
      </c>
      <c r="T142" s="4">
        <v>44834</v>
      </c>
      <c r="U142" s="5">
        <v>0.84728009259259263</v>
      </c>
      <c r="V142" t="s">
        <v>13</v>
      </c>
      <c r="W142">
        <v>1.163</v>
      </c>
      <c r="X142">
        <v>3559.6831000000002</v>
      </c>
      <c r="Y142">
        <v>180012.06289999999</v>
      </c>
      <c r="Z142" t="s">
        <v>1689</v>
      </c>
      <c r="AA142">
        <v>2.2229999999999999</v>
      </c>
      <c r="AB142">
        <v>141.16040000000001</v>
      </c>
      <c r="AC142">
        <v>0.37980000000000003</v>
      </c>
      <c r="AD142" t="s">
        <v>10</v>
      </c>
      <c r="AE142">
        <f>P142*'Run 1 Curve Parameters'!$D$3+'Run 1 Curve Parameters'!$E$3</f>
        <v>8001.5426050052583</v>
      </c>
      <c r="AF142">
        <f>K142*'Run 1 Curve Parameters'!$D$2+'Run 1 Curve Parameters'!$E$2</f>
        <v>-87.352837779825038</v>
      </c>
    </row>
    <row r="143" spans="1:32">
      <c r="A143" s="2">
        <v>142</v>
      </c>
      <c r="B143" s="2" t="s">
        <v>196</v>
      </c>
      <c r="C143" s="2" t="s">
        <v>196</v>
      </c>
      <c r="D143" s="2">
        <v>142</v>
      </c>
      <c r="E143" s="2" t="s">
        <v>196</v>
      </c>
      <c r="F143" t="s">
        <v>415</v>
      </c>
      <c r="G143" s="4">
        <v>44834</v>
      </c>
      <c r="H143" s="5">
        <v>0.8510416666666667</v>
      </c>
      <c r="I143" t="s">
        <v>9</v>
      </c>
      <c r="J143">
        <v>1.41</v>
      </c>
      <c r="K143">
        <v>0.31</v>
      </c>
      <c r="L143">
        <v>1.6587000000000001</v>
      </c>
      <c r="M143" t="s">
        <v>10</v>
      </c>
      <c r="N143" t="s">
        <v>11</v>
      </c>
      <c r="O143">
        <v>1.9359999999999999</v>
      </c>
      <c r="P143">
        <v>93.693600000000004</v>
      </c>
      <c r="Q143">
        <v>136.7073</v>
      </c>
      <c r="R143" t="s">
        <v>10</v>
      </c>
      <c r="S143" t="s">
        <v>416</v>
      </c>
      <c r="T143" s="4">
        <v>44834</v>
      </c>
      <c r="U143" s="5">
        <v>0.8510416666666667</v>
      </c>
      <c r="V143" t="s">
        <v>13</v>
      </c>
      <c r="W143">
        <v>1.1659999999999999</v>
      </c>
      <c r="X143">
        <v>3187.5605999999998</v>
      </c>
      <c r="Y143">
        <v>132437.29870000001</v>
      </c>
      <c r="Z143" t="s">
        <v>1689</v>
      </c>
      <c r="AA143">
        <v>2.2360000000000002</v>
      </c>
      <c r="AB143">
        <v>59.162300000000002</v>
      </c>
      <c r="AC143">
        <v>4.3700000000000003E-2</v>
      </c>
      <c r="AD143" t="s">
        <v>10</v>
      </c>
      <c r="AE143">
        <f>P143*'Run 1 Curve Parameters'!$D$3+'Run 1 Curve Parameters'!$E$3</f>
        <v>179.25058708395858</v>
      </c>
      <c r="AF143">
        <f>K143*'Run 1 Curve Parameters'!$D$2+'Run 1 Curve Parameters'!$E$2</f>
        <v>-106.88350497357052</v>
      </c>
    </row>
    <row r="144" spans="1:32">
      <c r="A144" s="2">
        <v>143</v>
      </c>
      <c r="B144" s="2" t="s">
        <v>196</v>
      </c>
      <c r="C144" s="2" t="s">
        <v>196</v>
      </c>
      <c r="D144" s="2">
        <v>143</v>
      </c>
      <c r="E144" s="3" t="s">
        <v>196</v>
      </c>
      <c r="F144" t="s">
        <v>417</v>
      </c>
      <c r="G144" s="4">
        <v>44834</v>
      </c>
      <c r="H144" s="5">
        <v>0.85479166666666673</v>
      </c>
      <c r="I144" t="s">
        <v>9</v>
      </c>
      <c r="J144">
        <v>1.4059999999999999</v>
      </c>
      <c r="K144">
        <v>0.33979999999999999</v>
      </c>
      <c r="L144">
        <v>1.7876000000000001</v>
      </c>
      <c r="M144" t="s">
        <v>10</v>
      </c>
      <c r="N144" t="s">
        <v>11</v>
      </c>
      <c r="O144">
        <v>1.9259999999999999</v>
      </c>
      <c r="P144">
        <v>88.807500000000005</v>
      </c>
      <c r="Q144">
        <v>118.6495</v>
      </c>
      <c r="R144" t="s">
        <v>10</v>
      </c>
      <c r="S144" t="s">
        <v>418</v>
      </c>
      <c r="T144" s="4">
        <v>44834</v>
      </c>
      <c r="U144" s="5">
        <v>0.85479166666666673</v>
      </c>
      <c r="V144" t="s">
        <v>13</v>
      </c>
      <c r="W144">
        <v>1.1659999999999999</v>
      </c>
      <c r="X144">
        <v>2989.6300999999999</v>
      </c>
      <c r="Y144">
        <v>114366.0788</v>
      </c>
      <c r="Z144" t="s">
        <v>1689</v>
      </c>
      <c r="AA144">
        <v>2.23</v>
      </c>
      <c r="AB144">
        <v>55.6798</v>
      </c>
      <c r="AC144">
        <v>2.9499999999999998E-2</v>
      </c>
      <c r="AD144" t="s">
        <v>10</v>
      </c>
      <c r="AE144">
        <f>P144*'Run 1 Curve Parameters'!$D$3+'Run 1 Curve Parameters'!$E$3</f>
        <v>158.86126331632272</v>
      </c>
      <c r="AF144">
        <f>K144*'Run 1 Curve Parameters'!$D$2+'Run 1 Curve Parameters'!$E$2</f>
        <v>-106.70205657527472</v>
      </c>
    </row>
    <row r="145" spans="1:32">
      <c r="A145" s="2">
        <v>144</v>
      </c>
      <c r="B145" s="2" t="s">
        <v>196</v>
      </c>
      <c r="C145" s="2" t="s">
        <v>196</v>
      </c>
      <c r="D145" s="2">
        <v>144</v>
      </c>
      <c r="E145" s="2" t="s">
        <v>196</v>
      </c>
      <c r="F145" t="s">
        <v>419</v>
      </c>
      <c r="G145" s="4">
        <v>44834</v>
      </c>
      <c r="H145" s="5">
        <v>0.8585532407407408</v>
      </c>
      <c r="I145" t="s">
        <v>9</v>
      </c>
      <c r="J145">
        <v>1.403</v>
      </c>
      <c r="K145">
        <v>0.36199999999999999</v>
      </c>
      <c r="L145">
        <v>1.8835999999999999</v>
      </c>
      <c r="M145" t="s">
        <v>10</v>
      </c>
      <c r="N145" t="s">
        <v>11</v>
      </c>
      <c r="O145">
        <v>1.923</v>
      </c>
      <c r="P145">
        <v>96.3172</v>
      </c>
      <c r="Q145">
        <v>146.4034</v>
      </c>
      <c r="R145" t="s">
        <v>10</v>
      </c>
      <c r="S145" t="s">
        <v>420</v>
      </c>
      <c r="T145" s="4">
        <v>44834</v>
      </c>
      <c r="U145" s="5">
        <v>0.8585532407407408</v>
      </c>
      <c r="V145" t="s">
        <v>13</v>
      </c>
      <c r="W145">
        <v>1.1599999999999999</v>
      </c>
      <c r="X145">
        <v>3137.8733999999999</v>
      </c>
      <c r="Y145">
        <v>127595.35490000001</v>
      </c>
      <c r="Z145" t="s">
        <v>1689</v>
      </c>
      <c r="AA145">
        <v>2.2229999999999999</v>
      </c>
      <c r="AB145">
        <v>61.548099999999998</v>
      </c>
      <c r="AC145">
        <v>5.3499999999999999E-2</v>
      </c>
      <c r="AD145" t="s">
        <v>10</v>
      </c>
      <c r="AE145">
        <f>P145*'Run 1 Curve Parameters'!$D$3+'Run 1 Curve Parameters'!$E$3</f>
        <v>190.19867038900128</v>
      </c>
      <c r="AF145">
        <f>K145*'Run 1 Curve Parameters'!$D$2+'Run 1 Curve Parameters'!$E$2</f>
        <v>-106.56688360741677</v>
      </c>
    </row>
    <row r="146" spans="1:32">
      <c r="A146" s="2">
        <v>145</v>
      </c>
      <c r="B146" s="2" t="s">
        <v>351</v>
      </c>
      <c r="C146" s="2" t="s">
        <v>421</v>
      </c>
      <c r="D146" s="2">
        <v>145</v>
      </c>
      <c r="E146" s="3" t="str">
        <f>D146&amp;"g"</f>
        <v>145g</v>
      </c>
      <c r="F146" t="s">
        <v>422</v>
      </c>
      <c r="G146" s="4">
        <v>44834</v>
      </c>
      <c r="H146" s="5">
        <v>0.86230324074074083</v>
      </c>
      <c r="I146" t="s">
        <v>9</v>
      </c>
      <c r="J146">
        <v>1.403</v>
      </c>
      <c r="K146">
        <v>16.141400000000001</v>
      </c>
      <c r="L146">
        <v>70.132999999999996</v>
      </c>
      <c r="M146" t="s">
        <v>10</v>
      </c>
      <c r="N146" t="s">
        <v>11</v>
      </c>
      <c r="O146">
        <v>1.93</v>
      </c>
      <c r="P146">
        <v>1613.5147999999999</v>
      </c>
      <c r="Q146">
        <v>5753.5811000000003</v>
      </c>
      <c r="R146" t="s">
        <v>10</v>
      </c>
      <c r="S146" t="s">
        <v>423</v>
      </c>
      <c r="T146" s="4">
        <v>44834</v>
      </c>
      <c r="U146" s="5">
        <v>0.86230324074074083</v>
      </c>
      <c r="V146" t="s">
        <v>13</v>
      </c>
      <c r="W146">
        <v>1.1599999999999999</v>
      </c>
      <c r="X146">
        <v>3581.84</v>
      </c>
      <c r="Y146">
        <v>183279.73490000001</v>
      </c>
      <c r="Z146" t="s">
        <v>1689</v>
      </c>
      <c r="AA146">
        <v>2.2229999999999999</v>
      </c>
      <c r="AB146">
        <v>135.345</v>
      </c>
      <c r="AC146">
        <v>0.35599999999999998</v>
      </c>
      <c r="AD146" t="s">
        <v>10</v>
      </c>
      <c r="AE146">
        <f>P146*'Run 1 Curve Parameters'!$D$3+'Run 1 Curve Parameters'!$E$3</f>
        <v>6521.3488895576766</v>
      </c>
      <c r="AF146">
        <f>K146*'Run 1 Curve Parameters'!$D$2+'Run 1 Curve Parameters'!$E$2</f>
        <v>-10.488130048061606</v>
      </c>
    </row>
    <row r="147" spans="1:32">
      <c r="A147" s="2">
        <v>146</v>
      </c>
      <c r="B147" s="2" t="s">
        <v>196</v>
      </c>
      <c r="C147" s="2" t="s">
        <v>196</v>
      </c>
      <c r="D147" s="2">
        <v>146</v>
      </c>
      <c r="E147" s="2" t="s">
        <v>196</v>
      </c>
      <c r="F147" t="s">
        <v>424</v>
      </c>
      <c r="G147" s="4">
        <v>44834</v>
      </c>
      <c r="H147" s="5">
        <v>0.86605324074074075</v>
      </c>
      <c r="I147" t="s">
        <v>9</v>
      </c>
      <c r="J147">
        <v>1.4</v>
      </c>
      <c r="K147">
        <v>0.32019999999999998</v>
      </c>
      <c r="L147">
        <v>1.7029000000000001</v>
      </c>
      <c r="M147" t="s">
        <v>10</v>
      </c>
      <c r="N147" t="s">
        <v>11</v>
      </c>
      <c r="O147">
        <v>1.92</v>
      </c>
      <c r="P147">
        <v>98.841099999999997</v>
      </c>
      <c r="Q147">
        <v>155.7311</v>
      </c>
      <c r="R147" t="s">
        <v>10</v>
      </c>
      <c r="S147" t="s">
        <v>425</v>
      </c>
      <c r="T147" s="4">
        <v>44834</v>
      </c>
      <c r="U147" s="5">
        <v>0.86605324074074075</v>
      </c>
      <c r="V147" t="s">
        <v>13</v>
      </c>
      <c r="W147">
        <v>1.1559999999999999</v>
      </c>
      <c r="X147">
        <v>3130.9207000000001</v>
      </c>
      <c r="Y147">
        <v>126917.82460000001</v>
      </c>
      <c r="Z147" t="s">
        <v>1689</v>
      </c>
      <c r="AA147">
        <v>2.2200000000000002</v>
      </c>
      <c r="AB147">
        <v>62.468200000000003</v>
      </c>
      <c r="AC147">
        <v>5.7299999999999997E-2</v>
      </c>
      <c r="AD147" t="s">
        <v>10</v>
      </c>
      <c r="AE147">
        <f>P147*'Run 1 Curve Parameters'!$D$3+'Run 1 Curve Parameters'!$E$3</f>
        <v>200.73071317509573</v>
      </c>
      <c r="AF147">
        <f>K147*'Run 1 Curve Parameters'!$D$2+'Run 1 Curve Parameters'!$E$2</f>
        <v>-106.82139847482499</v>
      </c>
    </row>
    <row r="148" spans="1:32">
      <c r="A148" s="2">
        <v>147</v>
      </c>
      <c r="B148" s="2" t="s">
        <v>426</v>
      </c>
      <c r="C148" s="2" t="s">
        <v>427</v>
      </c>
      <c r="D148" s="2">
        <v>147</v>
      </c>
      <c r="E148" s="3" t="str">
        <f>D148&amp;"g"</f>
        <v>147g</v>
      </c>
      <c r="F148" t="s">
        <v>428</v>
      </c>
      <c r="G148" s="4">
        <v>44834</v>
      </c>
      <c r="H148" s="5">
        <v>0.86980324074074078</v>
      </c>
      <c r="I148" t="s">
        <v>9</v>
      </c>
      <c r="J148">
        <v>1.4</v>
      </c>
      <c r="K148">
        <v>0.87260000000000004</v>
      </c>
      <c r="L148">
        <v>4.0921000000000003</v>
      </c>
      <c r="M148" t="s">
        <v>10</v>
      </c>
      <c r="N148" t="s">
        <v>11</v>
      </c>
      <c r="O148">
        <v>1.923</v>
      </c>
      <c r="P148">
        <v>13759.162</v>
      </c>
      <c r="Q148">
        <v>50640.813600000001</v>
      </c>
      <c r="R148" t="s">
        <v>10</v>
      </c>
      <c r="S148" t="s">
        <v>429</v>
      </c>
      <c r="T148" s="4">
        <v>44834</v>
      </c>
      <c r="U148" s="5">
        <v>0.86980324074074078</v>
      </c>
      <c r="V148" t="s">
        <v>13</v>
      </c>
      <c r="W148">
        <v>1.1559999999999999</v>
      </c>
      <c r="X148">
        <v>2963.2647999999999</v>
      </c>
      <c r="Y148">
        <v>112173.113</v>
      </c>
      <c r="Z148" t="s">
        <v>1689</v>
      </c>
      <c r="AA148">
        <v>2.2160000000000002</v>
      </c>
      <c r="AB148">
        <v>310.66300000000001</v>
      </c>
      <c r="AC148">
        <v>1.0746</v>
      </c>
      <c r="AD148" t="s">
        <v>10</v>
      </c>
      <c r="AE148">
        <f>P148*'Run 1 Curve Parameters'!$D$3+'Run 1 Curve Parameters'!$E$3</f>
        <v>57204.211116749051</v>
      </c>
      <c r="AF148">
        <f>K148*'Run 1 Curve Parameters'!$D$2+'Run 1 Curve Parameters'!$E$2</f>
        <v>-103.457905346684</v>
      </c>
    </row>
    <row r="149" spans="1:32">
      <c r="A149" s="2">
        <v>148</v>
      </c>
      <c r="B149" s="2" t="s">
        <v>196</v>
      </c>
      <c r="C149" s="2" t="s">
        <v>196</v>
      </c>
      <c r="D149" s="2">
        <v>148</v>
      </c>
      <c r="E149" s="2" t="s">
        <v>196</v>
      </c>
      <c r="F149" t="s">
        <v>430</v>
      </c>
      <c r="G149" s="4">
        <v>44834</v>
      </c>
      <c r="H149" s="5">
        <v>0.87355324074074081</v>
      </c>
      <c r="I149" t="s">
        <v>9</v>
      </c>
      <c r="J149">
        <v>0</v>
      </c>
      <c r="K149">
        <v>0</v>
      </c>
      <c r="L149">
        <v>0</v>
      </c>
      <c r="M149" t="s">
        <v>10</v>
      </c>
      <c r="N149" t="s">
        <v>11</v>
      </c>
      <c r="O149">
        <v>1.923</v>
      </c>
      <c r="P149">
        <v>145.83940000000001</v>
      </c>
      <c r="Q149">
        <v>329.42489999999998</v>
      </c>
      <c r="R149" t="s">
        <v>10</v>
      </c>
      <c r="S149" t="s">
        <v>431</v>
      </c>
      <c r="T149" s="4">
        <v>44834</v>
      </c>
      <c r="U149" s="5">
        <v>0.87355324074074081</v>
      </c>
      <c r="V149" t="s">
        <v>13</v>
      </c>
      <c r="W149">
        <v>1.1599999999999999</v>
      </c>
      <c r="X149">
        <v>3160.8555999999999</v>
      </c>
      <c r="Y149">
        <v>129834.93610000001</v>
      </c>
      <c r="Z149" t="s">
        <v>1689</v>
      </c>
      <c r="AA149">
        <v>2.2229999999999999</v>
      </c>
      <c r="AB149">
        <v>65.1768</v>
      </c>
      <c r="AC149">
        <v>6.8400000000000002E-2</v>
      </c>
      <c r="AD149" t="s">
        <v>10</v>
      </c>
      <c r="AE149">
        <f>P149*'Run 1 Curve Parameters'!$D$3+'Run 1 Curve Parameters'!$E$3</f>
        <v>396.85104538861572</v>
      </c>
      <c r="AF149">
        <f>K149*'Run 1 Curve Parameters'!$D$2+'Run 1 Curve Parameters'!$E$2</f>
        <v>-108.77105542564095</v>
      </c>
    </row>
    <row r="150" spans="1:32">
      <c r="A150" s="2">
        <v>149</v>
      </c>
      <c r="B150" s="2" t="s">
        <v>426</v>
      </c>
      <c r="C150" s="2" t="s">
        <v>432</v>
      </c>
      <c r="D150" s="2">
        <v>149</v>
      </c>
      <c r="E150" s="3" t="str">
        <f>D150&amp;"g"</f>
        <v>149g</v>
      </c>
      <c r="F150" t="s">
        <v>433</v>
      </c>
      <c r="G150" s="4">
        <v>44834</v>
      </c>
      <c r="H150" s="5">
        <v>0.87731481481481488</v>
      </c>
      <c r="I150" t="s">
        <v>9</v>
      </c>
      <c r="J150">
        <v>1.403</v>
      </c>
      <c r="K150">
        <v>0.96519999999999995</v>
      </c>
      <c r="L150">
        <v>4.4926000000000004</v>
      </c>
      <c r="M150" t="s">
        <v>10</v>
      </c>
      <c r="N150" t="s">
        <v>11</v>
      </c>
      <c r="O150">
        <v>1.9359999999999999</v>
      </c>
      <c r="P150">
        <v>2891.9812000000002</v>
      </c>
      <c r="Q150">
        <v>10478.468699999999</v>
      </c>
      <c r="R150" t="s">
        <v>10</v>
      </c>
      <c r="S150" t="s">
        <v>434</v>
      </c>
      <c r="T150" s="4">
        <v>44834</v>
      </c>
      <c r="U150" s="5">
        <v>0.87731481481481488</v>
      </c>
      <c r="V150" t="s">
        <v>13</v>
      </c>
      <c r="W150">
        <v>1.163</v>
      </c>
      <c r="X150">
        <v>3523.7716</v>
      </c>
      <c r="Y150">
        <v>174715.87969999999</v>
      </c>
      <c r="Z150" t="s">
        <v>1689</v>
      </c>
      <c r="AA150">
        <v>2.2229999999999999</v>
      </c>
      <c r="AB150">
        <v>165.38630000000001</v>
      </c>
      <c r="AC150">
        <v>0.47910000000000003</v>
      </c>
      <c r="AD150" t="s">
        <v>10</v>
      </c>
      <c r="AE150">
        <f>P150*'Run 1 Curve Parameters'!$D$3+'Run 1 Curve Parameters'!$E$3</f>
        <v>11856.291963920426</v>
      </c>
      <c r="AF150">
        <f>K150*'Run 1 Curve Parameters'!$D$2+'Run 1 Curve Parameters'!$E$2</f>
        <v>-102.89407576003329</v>
      </c>
    </row>
    <row r="151" spans="1:32">
      <c r="A151" s="2">
        <v>150</v>
      </c>
      <c r="B151" s="2" t="s">
        <v>196</v>
      </c>
      <c r="C151" s="2" t="s">
        <v>196</v>
      </c>
      <c r="D151" s="2">
        <v>150</v>
      </c>
      <c r="E151" s="2" t="s">
        <v>196</v>
      </c>
      <c r="F151" t="s">
        <v>435</v>
      </c>
      <c r="G151" s="4">
        <v>44834</v>
      </c>
      <c r="H151" s="5">
        <v>0.88106481481481491</v>
      </c>
      <c r="I151" t="s">
        <v>9</v>
      </c>
      <c r="J151">
        <v>1.4</v>
      </c>
      <c r="K151">
        <v>0.25359999999999999</v>
      </c>
      <c r="L151">
        <v>1.4148000000000001</v>
      </c>
      <c r="M151" t="s">
        <v>10</v>
      </c>
      <c r="N151" t="s">
        <v>11</v>
      </c>
      <c r="O151">
        <v>1.923</v>
      </c>
      <c r="P151">
        <v>95.236999999999995</v>
      </c>
      <c r="Q151">
        <v>142.41130000000001</v>
      </c>
      <c r="R151" t="s">
        <v>10</v>
      </c>
      <c r="S151" t="s">
        <v>436</v>
      </c>
      <c r="T151" s="4">
        <v>44834</v>
      </c>
      <c r="U151" s="5">
        <v>0.88106481481481491</v>
      </c>
      <c r="V151" t="s">
        <v>13</v>
      </c>
      <c r="W151">
        <v>1.1599999999999999</v>
      </c>
      <c r="X151">
        <v>3134.1822999999999</v>
      </c>
      <c r="Y151">
        <v>127235.6627</v>
      </c>
      <c r="Z151" t="s">
        <v>1689</v>
      </c>
      <c r="AA151">
        <v>2.2229999999999999</v>
      </c>
      <c r="AB151">
        <v>60.101799999999997</v>
      </c>
      <c r="AC151">
        <v>4.7600000000000003E-2</v>
      </c>
      <c r="AD151" t="s">
        <v>10</v>
      </c>
      <c r="AE151">
        <f>P151*'Run 1 Curve Parameters'!$D$3+'Run 1 Curve Parameters'!$E$3</f>
        <v>185.69107792593252</v>
      </c>
      <c r="AF151">
        <f>K151*'Run 1 Curve Parameters'!$D$2+'Run 1 Curve Parameters'!$E$2</f>
        <v>-107.22691737839882</v>
      </c>
    </row>
    <row r="152" spans="1:32">
      <c r="A152" s="2">
        <v>151</v>
      </c>
      <c r="B152" s="2" t="s">
        <v>426</v>
      </c>
      <c r="C152" s="2" t="s">
        <v>437</v>
      </c>
      <c r="D152" s="2">
        <v>151</v>
      </c>
      <c r="E152" s="3" t="str">
        <f>D152&amp;"g"</f>
        <v>151g</v>
      </c>
      <c r="F152" t="s">
        <v>438</v>
      </c>
      <c r="G152" s="4">
        <v>44834</v>
      </c>
      <c r="H152" s="5">
        <v>0.88481481481481483</v>
      </c>
      <c r="I152" t="s">
        <v>9</v>
      </c>
      <c r="J152">
        <v>1.41</v>
      </c>
      <c r="K152">
        <v>0.47760000000000002</v>
      </c>
      <c r="L152">
        <v>2.3835999999999999</v>
      </c>
      <c r="M152" t="s">
        <v>10</v>
      </c>
      <c r="N152" t="s">
        <v>11</v>
      </c>
      <c r="O152">
        <v>1.9359999999999999</v>
      </c>
      <c r="P152">
        <v>167.21850000000001</v>
      </c>
      <c r="Q152">
        <v>408.4366</v>
      </c>
      <c r="R152" t="s">
        <v>10</v>
      </c>
      <c r="S152" t="s">
        <v>439</v>
      </c>
      <c r="T152" s="4">
        <v>44834</v>
      </c>
      <c r="U152" s="5">
        <v>0.88481481481481483</v>
      </c>
      <c r="V152" t="s">
        <v>13</v>
      </c>
      <c r="W152">
        <v>1.17</v>
      </c>
      <c r="X152">
        <v>3699.2514999999999</v>
      </c>
      <c r="Y152">
        <v>200595.43650000001</v>
      </c>
      <c r="Z152" t="s">
        <v>1689</v>
      </c>
      <c r="AA152">
        <v>2.2360000000000002</v>
      </c>
      <c r="AB152">
        <v>87.525400000000005</v>
      </c>
      <c r="AC152">
        <v>0.16</v>
      </c>
      <c r="AD152" t="s">
        <v>10</v>
      </c>
      <c r="AE152">
        <f>P152*'Run 1 Curve Parameters'!$D$3+'Run 1 Curve Parameters'!$E$3</f>
        <v>486.06440405107935</v>
      </c>
      <c r="AF152">
        <f>K152*'Run 1 Curve Parameters'!$D$2+'Run 1 Curve Parameters'!$E$2</f>
        <v>-105.86300995496728</v>
      </c>
    </row>
    <row r="153" spans="1:32">
      <c r="A153" s="2">
        <v>152</v>
      </c>
      <c r="B153" s="2" t="s">
        <v>196</v>
      </c>
      <c r="C153" s="2" t="s">
        <v>196</v>
      </c>
      <c r="D153" s="2">
        <v>152</v>
      </c>
      <c r="E153" s="2" t="s">
        <v>196</v>
      </c>
      <c r="F153" t="s">
        <v>440</v>
      </c>
      <c r="G153" s="4">
        <v>44834</v>
      </c>
      <c r="H153" s="5">
        <v>0.88857638888888879</v>
      </c>
      <c r="I153" t="s">
        <v>9</v>
      </c>
      <c r="J153">
        <v>1.4</v>
      </c>
      <c r="K153">
        <v>0.31480000000000002</v>
      </c>
      <c r="L153">
        <v>1.6795</v>
      </c>
      <c r="M153" t="s">
        <v>10</v>
      </c>
      <c r="N153" t="s">
        <v>11</v>
      </c>
      <c r="O153">
        <v>1.92</v>
      </c>
      <c r="P153">
        <v>84.498599999999996</v>
      </c>
      <c r="Q153">
        <v>102.72490000000001</v>
      </c>
      <c r="R153" t="s">
        <v>10</v>
      </c>
      <c r="S153" t="s">
        <v>441</v>
      </c>
      <c r="T153" s="4">
        <v>44834</v>
      </c>
      <c r="U153" s="5">
        <v>0.88857638888888879</v>
      </c>
      <c r="V153" t="s">
        <v>13</v>
      </c>
      <c r="W153">
        <v>1.1599999999999999</v>
      </c>
      <c r="X153">
        <v>2983.4794999999999</v>
      </c>
      <c r="Y153">
        <v>113838.3253</v>
      </c>
      <c r="Z153" t="s">
        <v>1689</v>
      </c>
      <c r="AA153">
        <v>2.2200000000000002</v>
      </c>
      <c r="AB153">
        <v>55.719499999999996</v>
      </c>
      <c r="AC153">
        <v>2.9600000000000001E-2</v>
      </c>
      <c r="AD153" t="s">
        <v>10</v>
      </c>
      <c r="AE153">
        <f>P153*'Run 1 Curve Parameters'!$D$3+'Run 1 Curve Parameters'!$E$3</f>
        <v>140.88055125918794</v>
      </c>
      <c r="AF153">
        <f>K153*'Run 1 Curve Parameters'!$D$2+'Run 1 Curve Parameters'!$E$2</f>
        <v>-106.85427838592557</v>
      </c>
    </row>
    <row r="154" spans="1:32">
      <c r="A154" s="2">
        <v>153</v>
      </c>
      <c r="B154" s="2" t="s">
        <v>238</v>
      </c>
      <c r="C154" s="2" t="s">
        <v>239</v>
      </c>
      <c r="D154" s="2">
        <v>153</v>
      </c>
      <c r="E154" s="3" t="s">
        <v>442</v>
      </c>
      <c r="F154" t="s">
        <v>443</v>
      </c>
      <c r="G154" s="4">
        <v>44834</v>
      </c>
      <c r="H154" s="5">
        <v>0.89232638888888882</v>
      </c>
      <c r="I154" t="s">
        <v>9</v>
      </c>
      <c r="J154">
        <v>1.4059999999999999</v>
      </c>
      <c r="K154">
        <v>0.69750000000000001</v>
      </c>
      <c r="L154">
        <v>3.3348</v>
      </c>
      <c r="M154" t="s">
        <v>10</v>
      </c>
      <c r="N154" t="s">
        <v>11</v>
      </c>
      <c r="O154">
        <v>1.9259999999999999</v>
      </c>
      <c r="P154">
        <v>167.56700000000001</v>
      </c>
      <c r="Q154">
        <v>409.72460000000001</v>
      </c>
      <c r="R154" t="s">
        <v>10</v>
      </c>
      <c r="S154" t="s">
        <v>444</v>
      </c>
      <c r="T154" s="4">
        <v>44834</v>
      </c>
      <c r="U154" s="5">
        <v>0.89232638888888882</v>
      </c>
      <c r="V154" t="s">
        <v>13</v>
      </c>
      <c r="W154">
        <v>1.163</v>
      </c>
      <c r="X154">
        <v>3917.2282</v>
      </c>
      <c r="Y154">
        <v>232742.36840000001</v>
      </c>
      <c r="Z154" t="s">
        <v>1689</v>
      </c>
      <c r="AA154">
        <v>2.226</v>
      </c>
      <c r="AB154">
        <v>106.0934</v>
      </c>
      <c r="AC154">
        <v>0.2361</v>
      </c>
      <c r="AD154" t="s">
        <v>10</v>
      </c>
      <c r="AE154">
        <f>P154*'Run 1 Curve Parameters'!$D$3+'Run 1 Curve Parameters'!$E$3</f>
        <v>487.5186680516158</v>
      </c>
      <c r="AF154">
        <f>K154*'Run 1 Curve Parameters'!$D$2+'Run 1 Curve Parameters'!$E$2</f>
        <v>-104.5240669084825</v>
      </c>
    </row>
    <row r="155" spans="1:32">
      <c r="A155" s="2">
        <v>154</v>
      </c>
      <c r="B155" s="2" t="s">
        <v>196</v>
      </c>
      <c r="C155" s="2" t="s">
        <v>196</v>
      </c>
      <c r="D155" s="2">
        <v>154</v>
      </c>
      <c r="E155" s="2" t="s">
        <v>196</v>
      </c>
      <c r="F155" t="s">
        <v>445</v>
      </c>
      <c r="G155" s="4">
        <v>44834</v>
      </c>
      <c r="H155" s="5">
        <v>0.89608796296296289</v>
      </c>
      <c r="I155" t="s">
        <v>9</v>
      </c>
      <c r="J155">
        <v>1.4059999999999999</v>
      </c>
      <c r="K155">
        <v>0.3775</v>
      </c>
      <c r="L155">
        <v>1.9507000000000001</v>
      </c>
      <c r="M155" t="s">
        <v>10</v>
      </c>
      <c r="N155" t="s">
        <v>11</v>
      </c>
      <c r="O155">
        <v>1.9259999999999999</v>
      </c>
      <c r="P155">
        <v>106.2534</v>
      </c>
      <c r="Q155">
        <v>183.1251</v>
      </c>
      <c r="R155" t="s">
        <v>10</v>
      </c>
      <c r="S155" t="s">
        <v>446</v>
      </c>
      <c r="T155" s="4">
        <v>44834</v>
      </c>
      <c r="U155" s="5">
        <v>0.89608796296296289</v>
      </c>
      <c r="V155" t="s">
        <v>13</v>
      </c>
      <c r="W155">
        <v>1.1659999999999999</v>
      </c>
      <c r="X155">
        <v>3207.7118</v>
      </c>
      <c r="Y155">
        <v>134478.71230000001</v>
      </c>
      <c r="Z155" t="s">
        <v>1689</v>
      </c>
      <c r="AA155">
        <v>2.2229999999999999</v>
      </c>
      <c r="AB155">
        <v>67.9114</v>
      </c>
      <c r="AC155">
        <v>7.9600000000000004E-2</v>
      </c>
      <c r="AD155" t="s">
        <v>10</v>
      </c>
      <c r="AE155">
        <f>P155*'Run 1 Curve Parameters'!$D$3+'Run 1 Curve Parameters'!$E$3</f>
        <v>231.66167745393716</v>
      </c>
      <c r="AF155">
        <f>K155*'Run 1 Curve Parameters'!$D$2+'Run 1 Curve Parameters'!$E$2</f>
        <v>-106.47250608481326</v>
      </c>
    </row>
    <row r="156" spans="1:32">
      <c r="A156" s="2">
        <v>155</v>
      </c>
      <c r="B156" s="2" t="s">
        <v>426</v>
      </c>
      <c r="C156" s="2" t="s">
        <v>447</v>
      </c>
      <c r="D156" s="2">
        <v>155</v>
      </c>
      <c r="E156" s="3" t="str">
        <f>D156&amp;"g"</f>
        <v>155g</v>
      </c>
      <c r="F156" t="s">
        <v>448</v>
      </c>
      <c r="G156" s="4">
        <v>44834</v>
      </c>
      <c r="H156" s="5">
        <v>0.89984953703703707</v>
      </c>
      <c r="I156" t="s">
        <v>9</v>
      </c>
      <c r="J156">
        <v>1.413</v>
      </c>
      <c r="K156">
        <v>1.3964000000000001</v>
      </c>
      <c r="L156">
        <v>6.3577000000000004</v>
      </c>
      <c r="M156" t="s">
        <v>10</v>
      </c>
      <c r="N156" t="s">
        <v>11</v>
      </c>
      <c r="O156">
        <v>1.94</v>
      </c>
      <c r="P156">
        <v>892.11199999999997</v>
      </c>
      <c r="Q156">
        <v>3087.4591999999998</v>
      </c>
      <c r="R156" t="s">
        <v>10</v>
      </c>
      <c r="S156" t="s">
        <v>449</v>
      </c>
      <c r="T156" s="4">
        <v>44834</v>
      </c>
      <c r="U156" s="5">
        <v>0.89984953703703707</v>
      </c>
      <c r="V156" t="s">
        <v>13</v>
      </c>
      <c r="W156">
        <v>1.17</v>
      </c>
      <c r="X156">
        <v>3704.5309999999999</v>
      </c>
      <c r="Y156">
        <v>201374.05059999999</v>
      </c>
      <c r="Z156" t="s">
        <v>1689</v>
      </c>
      <c r="AA156">
        <v>2.2360000000000002</v>
      </c>
      <c r="AB156">
        <v>111.2281</v>
      </c>
      <c r="AC156">
        <v>0.2571</v>
      </c>
      <c r="AD156" t="s">
        <v>10</v>
      </c>
      <c r="AE156">
        <f>P156*'Run 1 Curve Parameters'!$D$3+'Run 1 Curve Parameters'!$E$3</f>
        <v>3510.98985964035</v>
      </c>
      <c r="AF156">
        <f>K156*'Run 1 Curve Parameters'!$D$2+'Run 1 Curve Parameters'!$E$2</f>
        <v>-100.26855396992758</v>
      </c>
    </row>
    <row r="157" spans="1:32">
      <c r="A157" s="2">
        <v>156</v>
      </c>
      <c r="B157" s="2" t="s">
        <v>196</v>
      </c>
      <c r="C157" s="2" t="s">
        <v>196</v>
      </c>
      <c r="D157" s="2">
        <v>156</v>
      </c>
      <c r="E157" s="2" t="s">
        <v>196</v>
      </c>
      <c r="F157" t="s">
        <v>450</v>
      </c>
      <c r="G157" s="4">
        <v>44834</v>
      </c>
      <c r="H157" s="5">
        <v>0.90359953703703699</v>
      </c>
      <c r="I157" t="s">
        <v>9</v>
      </c>
      <c r="J157">
        <v>1.403</v>
      </c>
      <c r="K157">
        <v>0.33710000000000001</v>
      </c>
      <c r="L157">
        <v>1.776</v>
      </c>
      <c r="M157" t="s">
        <v>10</v>
      </c>
      <c r="N157" t="s">
        <v>11</v>
      </c>
      <c r="O157">
        <v>1.9259999999999999</v>
      </c>
      <c r="P157">
        <v>94.999700000000004</v>
      </c>
      <c r="Q157">
        <v>141.5343</v>
      </c>
      <c r="R157" t="s">
        <v>10</v>
      </c>
      <c r="S157" t="s">
        <v>451</v>
      </c>
      <c r="T157" s="4">
        <v>44834</v>
      </c>
      <c r="U157" s="5">
        <v>0.90359953703703699</v>
      </c>
      <c r="V157" t="s">
        <v>13</v>
      </c>
      <c r="W157">
        <v>1.163</v>
      </c>
      <c r="X157">
        <v>3108.0118000000002</v>
      </c>
      <c r="Y157">
        <v>124811.2718</v>
      </c>
      <c r="Z157" t="s">
        <v>1689</v>
      </c>
      <c r="AA157">
        <v>2.23</v>
      </c>
      <c r="AB157">
        <v>61.224499999999999</v>
      </c>
      <c r="AC157">
        <v>5.2200000000000003E-2</v>
      </c>
      <c r="AD157" t="s">
        <v>10</v>
      </c>
      <c r="AE157">
        <f>P157*'Run 1 Curve Parameters'!$D$3+'Run 1 Curve Parameters'!$E$3</f>
        <v>184.70084306990015</v>
      </c>
      <c r="AF157">
        <f>K157*'Run 1 Curve Parameters'!$D$2+'Run 1 Curve Parameters'!$E$2</f>
        <v>-106.71849653082501</v>
      </c>
    </row>
    <row r="158" spans="1:32">
      <c r="A158" s="2">
        <v>157</v>
      </c>
      <c r="B158" s="2" t="s">
        <v>426</v>
      </c>
      <c r="C158" s="2" t="s">
        <v>452</v>
      </c>
      <c r="D158" s="2">
        <v>157</v>
      </c>
      <c r="E158" s="3" t="str">
        <f>D158&amp;"g"</f>
        <v>157g</v>
      </c>
      <c r="F158" t="s">
        <v>453</v>
      </c>
      <c r="G158" s="4">
        <v>44834</v>
      </c>
      <c r="H158" s="5">
        <v>0.90736111111111117</v>
      </c>
      <c r="I158" t="s">
        <v>9</v>
      </c>
      <c r="J158">
        <v>1.4059999999999999</v>
      </c>
      <c r="K158">
        <v>422.1524</v>
      </c>
      <c r="L158">
        <v>1826.2202</v>
      </c>
      <c r="M158" t="s">
        <v>10</v>
      </c>
      <c r="N158" t="s">
        <v>11</v>
      </c>
      <c r="O158">
        <v>1.9359999999999999</v>
      </c>
      <c r="P158">
        <v>3690.0115000000001</v>
      </c>
      <c r="Q158">
        <v>13427.786400000001</v>
      </c>
      <c r="R158" t="s">
        <v>10</v>
      </c>
      <c r="S158" t="s">
        <v>454</v>
      </c>
      <c r="T158" s="4">
        <v>44834</v>
      </c>
      <c r="U158" s="5">
        <v>0.90736111111111117</v>
      </c>
      <c r="V158" t="s">
        <v>13</v>
      </c>
      <c r="W158">
        <v>1.163</v>
      </c>
      <c r="X158">
        <v>3436.4463999999998</v>
      </c>
      <c r="Y158">
        <v>161837.26809999999</v>
      </c>
      <c r="Z158" t="s">
        <v>1689</v>
      </c>
      <c r="AA158">
        <v>2.2229999999999999</v>
      </c>
      <c r="AB158">
        <v>170.40029999999999</v>
      </c>
      <c r="AC158">
        <v>0.49969999999999998</v>
      </c>
      <c r="AD158" t="s">
        <v>10</v>
      </c>
      <c r="AE158">
        <f>P158*'Run 1 Curve Parameters'!$D$3+'Run 1 Curve Parameters'!$E$3</f>
        <v>15186.411724687412</v>
      </c>
      <c r="AF158">
        <f>K158*'Run 1 Curve Parameters'!$D$2+'Run 1 Curve Parameters'!$E$2</f>
        <v>2461.6610525182809</v>
      </c>
    </row>
    <row r="159" spans="1:32">
      <c r="A159" s="2">
        <v>158</v>
      </c>
      <c r="B159" s="2" t="s">
        <v>196</v>
      </c>
      <c r="C159" s="2" t="s">
        <v>196</v>
      </c>
      <c r="D159" s="2">
        <v>158</v>
      </c>
      <c r="E159" s="2" t="s">
        <v>196</v>
      </c>
      <c r="F159" t="s">
        <v>455</v>
      </c>
      <c r="G159" s="4">
        <v>44834</v>
      </c>
      <c r="H159" s="5">
        <v>0.91112268518518524</v>
      </c>
      <c r="I159" t="s">
        <v>9</v>
      </c>
      <c r="J159">
        <v>1.4</v>
      </c>
      <c r="K159">
        <v>0.49630000000000002</v>
      </c>
      <c r="L159">
        <v>2.4645000000000001</v>
      </c>
      <c r="M159" t="s">
        <v>10</v>
      </c>
      <c r="N159" t="s">
        <v>11</v>
      </c>
      <c r="O159">
        <v>1.923</v>
      </c>
      <c r="P159">
        <v>116.1146</v>
      </c>
      <c r="Q159">
        <v>219.56960000000001</v>
      </c>
      <c r="R159" t="s">
        <v>10</v>
      </c>
      <c r="S159" t="s">
        <v>456</v>
      </c>
      <c r="T159" s="4">
        <v>44834</v>
      </c>
      <c r="U159" s="5">
        <v>0.91112268518518524</v>
      </c>
      <c r="V159" t="s">
        <v>13</v>
      </c>
      <c r="W159">
        <v>1.1599999999999999</v>
      </c>
      <c r="X159">
        <v>3356.0144</v>
      </c>
      <c r="Y159">
        <v>151115.29670000001</v>
      </c>
      <c r="Z159" t="s">
        <v>1689</v>
      </c>
      <c r="AA159">
        <v>2.2229999999999999</v>
      </c>
      <c r="AB159">
        <v>68.928399999999996</v>
      </c>
      <c r="AC159">
        <v>8.3799999999999999E-2</v>
      </c>
      <c r="AD159" t="s">
        <v>10</v>
      </c>
      <c r="AE159">
        <f>P159*'Run 1 Curve Parameters'!$D$3+'Run 1 Curve Parameters'!$E$3</f>
        <v>272.81171522177056</v>
      </c>
      <c r="AF159">
        <f>K159*'Run 1 Curve Parameters'!$D$2+'Run 1 Curve Parameters'!$E$2</f>
        <v>-105.74914804060046</v>
      </c>
    </row>
    <row r="160" spans="1:32">
      <c r="A160" s="2">
        <v>159</v>
      </c>
      <c r="B160" s="2" t="s">
        <v>426</v>
      </c>
      <c r="C160" s="2" t="s">
        <v>457</v>
      </c>
      <c r="D160" s="2">
        <v>159</v>
      </c>
      <c r="E160" s="3" t="str">
        <f>D160&amp;"g"</f>
        <v>159g</v>
      </c>
      <c r="F160" t="s">
        <v>458</v>
      </c>
      <c r="G160" s="4">
        <v>44834</v>
      </c>
      <c r="H160" s="5">
        <v>0.9148842592592592</v>
      </c>
      <c r="I160" t="s">
        <v>9</v>
      </c>
      <c r="J160">
        <v>1.413</v>
      </c>
      <c r="K160">
        <v>2.2660999999999998</v>
      </c>
      <c r="L160">
        <v>10.119300000000001</v>
      </c>
      <c r="M160" t="s">
        <v>10</v>
      </c>
      <c r="N160" t="s">
        <v>11</v>
      </c>
      <c r="O160">
        <v>1.9330000000000001</v>
      </c>
      <c r="P160">
        <v>325.68380000000002</v>
      </c>
      <c r="Q160">
        <v>994.08420000000001</v>
      </c>
      <c r="R160" t="s">
        <v>10</v>
      </c>
      <c r="S160" t="s">
        <v>459</v>
      </c>
      <c r="T160" s="4">
        <v>44834</v>
      </c>
      <c r="U160" s="5">
        <v>0.9148842592592592</v>
      </c>
      <c r="V160" t="s">
        <v>13</v>
      </c>
      <c r="W160">
        <v>1.17</v>
      </c>
      <c r="X160">
        <v>3473.9186</v>
      </c>
      <c r="Y160">
        <v>167363.6214</v>
      </c>
      <c r="Z160" t="s">
        <v>1689</v>
      </c>
      <c r="AA160">
        <v>2.2330000000000001</v>
      </c>
      <c r="AB160">
        <v>89.429599999999994</v>
      </c>
      <c r="AC160">
        <v>0.1678</v>
      </c>
      <c r="AD160" t="s">
        <v>10</v>
      </c>
      <c r="AE160">
        <f>P160*'Run 1 Curve Parameters'!$D$3+'Run 1 Curve Parameters'!$E$3</f>
        <v>1147.3280514663072</v>
      </c>
      <c r="AF160">
        <f>K160*'Run 1 Curve Parameters'!$D$2+'Run 1 Curve Parameters'!$E$2</f>
        <v>-94.973061621006138</v>
      </c>
    </row>
    <row r="161" spans="1:32">
      <c r="A161" s="2">
        <v>160</v>
      </c>
      <c r="B161" s="2" t="s">
        <v>196</v>
      </c>
      <c r="C161" s="2" t="s">
        <v>196</v>
      </c>
      <c r="D161" s="2">
        <v>160</v>
      </c>
      <c r="E161" s="2" t="s">
        <v>196</v>
      </c>
      <c r="F161" t="s">
        <v>460</v>
      </c>
      <c r="G161" s="4">
        <v>44834</v>
      </c>
      <c r="H161" s="5">
        <v>0.91863425925925923</v>
      </c>
      <c r="I161" t="s">
        <v>9</v>
      </c>
      <c r="J161">
        <v>1.4</v>
      </c>
      <c r="K161">
        <v>0.31319999999999998</v>
      </c>
      <c r="L161">
        <v>1.6726000000000001</v>
      </c>
      <c r="M161" t="s">
        <v>10</v>
      </c>
      <c r="N161" t="s">
        <v>11</v>
      </c>
      <c r="O161">
        <v>1.923</v>
      </c>
      <c r="P161">
        <v>94.052999999999997</v>
      </c>
      <c r="Q161">
        <v>138.03550000000001</v>
      </c>
      <c r="R161" t="s">
        <v>10</v>
      </c>
      <c r="S161" t="s">
        <v>461</v>
      </c>
      <c r="T161" s="4">
        <v>44834</v>
      </c>
      <c r="U161" s="5">
        <v>0.91863425925925923</v>
      </c>
      <c r="V161" t="s">
        <v>13</v>
      </c>
      <c r="W161">
        <v>1.1599999999999999</v>
      </c>
      <c r="X161">
        <v>2956.5486000000001</v>
      </c>
      <c r="Y161">
        <v>111629.31510000001</v>
      </c>
      <c r="Z161" t="s">
        <v>1689</v>
      </c>
      <c r="AA161">
        <v>2.226</v>
      </c>
      <c r="AB161">
        <v>60.892400000000002</v>
      </c>
      <c r="AC161">
        <v>5.0799999999999998E-2</v>
      </c>
      <c r="AD161" t="s">
        <v>10</v>
      </c>
      <c r="AE161">
        <f>P161*'Run 1 Curve Parameters'!$D$3+'Run 1 Curve Parameters'!$E$3</f>
        <v>180.75033595567385</v>
      </c>
      <c r="AF161">
        <f>K161*'Run 1 Curve Parameters'!$D$2+'Run 1 Curve Parameters'!$E$2</f>
        <v>-106.86402058180721</v>
      </c>
    </row>
    <row r="162" spans="1:32">
      <c r="A162" s="2">
        <v>161</v>
      </c>
      <c r="B162" s="2" t="s">
        <v>426</v>
      </c>
      <c r="C162" s="2" t="s">
        <v>462</v>
      </c>
      <c r="D162" s="2">
        <v>161</v>
      </c>
      <c r="E162" s="3" t="str">
        <f>D162&amp;"g"</f>
        <v>161g</v>
      </c>
      <c r="F162" t="s">
        <v>463</v>
      </c>
      <c r="G162" s="4">
        <v>44834</v>
      </c>
      <c r="H162" s="5">
        <v>0.92238425925925915</v>
      </c>
      <c r="I162" t="s">
        <v>9</v>
      </c>
      <c r="J162">
        <v>1.403</v>
      </c>
      <c r="K162">
        <v>19.695499999999999</v>
      </c>
      <c r="L162">
        <v>85.505300000000005</v>
      </c>
      <c r="M162" t="s">
        <v>10</v>
      </c>
      <c r="N162" t="s">
        <v>11</v>
      </c>
      <c r="O162">
        <v>1.9330000000000001</v>
      </c>
      <c r="P162">
        <v>1997.5934</v>
      </c>
      <c r="Q162">
        <v>7173.0382</v>
      </c>
      <c r="R162" t="s">
        <v>10</v>
      </c>
      <c r="S162" t="s">
        <v>464</v>
      </c>
      <c r="T162" s="4">
        <v>44834</v>
      </c>
      <c r="U162" s="5">
        <v>0.92238425925925915</v>
      </c>
      <c r="V162" t="s">
        <v>13</v>
      </c>
      <c r="W162">
        <v>1.1599999999999999</v>
      </c>
      <c r="X162">
        <v>3407.1786000000002</v>
      </c>
      <c r="Y162">
        <v>157751.7444</v>
      </c>
      <c r="Z162" t="s">
        <v>1689</v>
      </c>
      <c r="AA162">
        <v>2.2229999999999999</v>
      </c>
      <c r="AB162">
        <v>146.3528</v>
      </c>
      <c r="AC162">
        <v>0.40110000000000001</v>
      </c>
      <c r="AD162" t="s">
        <v>10</v>
      </c>
      <c r="AE162">
        <f>P162*'Run 1 Curve Parameters'!$D$3+'Run 1 Curve Parameters'!$E$3</f>
        <v>8124.0796825460102</v>
      </c>
      <c r="AF162">
        <f>K162*'Run 1 Curve Parameters'!$D$2+'Run 1 Curve Parameters'!$E$2</f>
        <v>11.152331441304526</v>
      </c>
    </row>
    <row r="163" spans="1:32">
      <c r="A163" s="2">
        <v>162</v>
      </c>
      <c r="B163" s="2" t="s">
        <v>196</v>
      </c>
      <c r="C163" s="2" t="s">
        <v>196</v>
      </c>
      <c r="D163" s="2">
        <v>162</v>
      </c>
      <c r="E163" s="2" t="s">
        <v>196</v>
      </c>
      <c r="F163" t="s">
        <v>465</v>
      </c>
      <c r="G163" s="4">
        <v>44834</v>
      </c>
      <c r="H163" s="5">
        <v>0.9261342592592593</v>
      </c>
      <c r="I163" t="s">
        <v>9</v>
      </c>
      <c r="J163">
        <v>1.4</v>
      </c>
      <c r="K163">
        <v>0.37069999999999997</v>
      </c>
      <c r="L163">
        <v>1.9213</v>
      </c>
      <c r="M163" t="s">
        <v>10</v>
      </c>
      <c r="N163" t="s">
        <v>11</v>
      </c>
      <c r="O163">
        <v>1.9259999999999999</v>
      </c>
      <c r="P163">
        <v>104.6272</v>
      </c>
      <c r="Q163">
        <v>177.11510000000001</v>
      </c>
      <c r="R163" t="s">
        <v>10</v>
      </c>
      <c r="S163" t="s">
        <v>466</v>
      </c>
      <c r="T163" s="4">
        <v>44834</v>
      </c>
      <c r="U163" s="5">
        <v>0.9261342592592593</v>
      </c>
      <c r="V163" t="s">
        <v>13</v>
      </c>
      <c r="W163">
        <v>1.1599999999999999</v>
      </c>
      <c r="X163">
        <v>3025.2372999999998</v>
      </c>
      <c r="Y163">
        <v>117421.3615</v>
      </c>
      <c r="Z163" t="s">
        <v>1689</v>
      </c>
      <c r="AA163">
        <v>2.2330000000000001</v>
      </c>
      <c r="AB163">
        <v>66.245400000000004</v>
      </c>
      <c r="AC163">
        <v>7.2800000000000004E-2</v>
      </c>
      <c r="AD163" t="s">
        <v>10</v>
      </c>
      <c r="AE163">
        <f>P163*'Run 1 Curve Parameters'!$D$3+'Run 1 Curve Parameters'!$E$3</f>
        <v>224.87566850796202</v>
      </c>
      <c r="AF163">
        <f>K163*'Run 1 Curve Parameters'!$D$2+'Run 1 Curve Parameters'!$E$2</f>
        <v>-106.51391041731029</v>
      </c>
    </row>
    <row r="164" spans="1:32">
      <c r="A164" s="2">
        <v>163</v>
      </c>
      <c r="B164" s="2" t="s">
        <v>426</v>
      </c>
      <c r="C164" s="2" t="s">
        <v>467</v>
      </c>
      <c r="D164" s="2">
        <v>163</v>
      </c>
      <c r="E164" s="3" t="str">
        <f>D164&amp;"g"</f>
        <v>163g</v>
      </c>
      <c r="F164" t="s">
        <v>468</v>
      </c>
      <c r="G164" s="4">
        <v>44834</v>
      </c>
      <c r="H164" s="5">
        <v>0.92989583333333325</v>
      </c>
      <c r="I164" t="s">
        <v>9</v>
      </c>
      <c r="J164">
        <v>1.413</v>
      </c>
      <c r="K164">
        <v>3.2315999999999998</v>
      </c>
      <c r="L164">
        <v>14.295299999999999</v>
      </c>
      <c r="M164" t="s">
        <v>10</v>
      </c>
      <c r="N164" t="s">
        <v>11</v>
      </c>
      <c r="O164">
        <v>1.94</v>
      </c>
      <c r="P164">
        <v>1525.8155999999999</v>
      </c>
      <c r="Q164">
        <v>5429.4670999999998</v>
      </c>
      <c r="R164" t="s">
        <v>10</v>
      </c>
      <c r="S164" t="s">
        <v>469</v>
      </c>
      <c r="T164" s="4">
        <v>44834</v>
      </c>
      <c r="U164" s="5">
        <v>0.92989583333333325</v>
      </c>
      <c r="V164" t="s">
        <v>13</v>
      </c>
      <c r="W164">
        <v>1.17</v>
      </c>
      <c r="X164">
        <v>3301.4899</v>
      </c>
      <c r="Y164">
        <v>144618.56709999999</v>
      </c>
      <c r="Z164" t="s">
        <v>1689</v>
      </c>
      <c r="AA164">
        <v>2.2330000000000001</v>
      </c>
      <c r="AB164">
        <v>130.9479</v>
      </c>
      <c r="AC164">
        <v>0.33800000000000002</v>
      </c>
      <c r="AD164" t="s">
        <v>10</v>
      </c>
      <c r="AE164">
        <f>P164*'Run 1 Curve Parameters'!$D$3+'Run 1 Curve Parameters'!$E$3</f>
        <v>6155.3867964849496</v>
      </c>
      <c r="AF164">
        <f>K164*'Run 1 Curve Parameters'!$D$2+'Run 1 Curve Parameters'!$E$2</f>
        <v>-89.094255293670656</v>
      </c>
    </row>
    <row r="165" spans="1:32">
      <c r="A165" s="2">
        <v>164</v>
      </c>
      <c r="B165" s="2" t="s">
        <v>196</v>
      </c>
      <c r="C165" s="2" t="s">
        <v>196</v>
      </c>
      <c r="D165" s="2">
        <v>164</v>
      </c>
      <c r="E165" s="2" t="s">
        <v>196</v>
      </c>
      <c r="F165" t="s">
        <v>470</v>
      </c>
      <c r="G165" s="4">
        <v>44834</v>
      </c>
      <c r="H165" s="5">
        <v>0.93364583333333329</v>
      </c>
      <c r="I165" t="s">
        <v>9</v>
      </c>
      <c r="J165">
        <v>1.403</v>
      </c>
      <c r="K165">
        <v>0.30370000000000003</v>
      </c>
      <c r="L165">
        <v>1.6315</v>
      </c>
      <c r="M165" t="s">
        <v>10</v>
      </c>
      <c r="N165" t="s">
        <v>11</v>
      </c>
      <c r="O165">
        <v>1.923</v>
      </c>
      <c r="P165">
        <v>91.423299999999998</v>
      </c>
      <c r="Q165">
        <v>128.3168</v>
      </c>
      <c r="R165" t="s">
        <v>10</v>
      </c>
      <c r="S165" t="s">
        <v>471</v>
      </c>
      <c r="T165" s="4">
        <v>44834</v>
      </c>
      <c r="U165" s="5">
        <v>0.93364583333333329</v>
      </c>
      <c r="V165" t="s">
        <v>13</v>
      </c>
      <c r="W165">
        <v>1.1599999999999999</v>
      </c>
      <c r="X165">
        <v>2922.5115000000001</v>
      </c>
      <c r="Y165">
        <v>108873.39599999999</v>
      </c>
      <c r="Z165" t="s">
        <v>1689</v>
      </c>
      <c r="AA165">
        <v>2.226</v>
      </c>
      <c r="AB165">
        <v>61.750999999999998</v>
      </c>
      <c r="AC165">
        <v>5.4300000000000001E-2</v>
      </c>
      <c r="AD165" t="s">
        <v>10</v>
      </c>
      <c r="AE165">
        <f>P165*'Run 1 Curve Parameters'!$D$3+'Run 1 Curve Parameters'!$E$3</f>
        <v>169.77679781446676</v>
      </c>
      <c r="AF165">
        <f>K165*'Run 1 Curve Parameters'!$D$2+'Run 1 Curve Parameters'!$E$2</f>
        <v>-106.92186486985453</v>
      </c>
    </row>
    <row r="166" spans="1:32">
      <c r="A166" s="2">
        <v>165</v>
      </c>
      <c r="B166" s="2" t="s">
        <v>426</v>
      </c>
      <c r="C166" s="2" t="s">
        <v>472</v>
      </c>
      <c r="D166" s="2">
        <v>165</v>
      </c>
      <c r="E166" s="3" t="str">
        <f>D166&amp;"g"</f>
        <v>165g</v>
      </c>
      <c r="F166" t="s">
        <v>473</v>
      </c>
      <c r="G166" s="4">
        <v>44834</v>
      </c>
      <c r="H166" s="5">
        <v>0.93740740740740736</v>
      </c>
      <c r="I166" t="s">
        <v>9</v>
      </c>
      <c r="J166">
        <v>1.4</v>
      </c>
      <c r="K166">
        <v>0.51119999999999999</v>
      </c>
      <c r="L166">
        <v>2.5289999999999999</v>
      </c>
      <c r="M166" t="s">
        <v>10</v>
      </c>
      <c r="N166" t="s">
        <v>11</v>
      </c>
      <c r="O166">
        <v>1.93</v>
      </c>
      <c r="P166">
        <v>2287.7910999999999</v>
      </c>
      <c r="Q166">
        <v>8245.5352999999996</v>
      </c>
      <c r="R166" t="s">
        <v>10</v>
      </c>
      <c r="S166" t="s">
        <v>474</v>
      </c>
      <c r="T166" s="4">
        <v>44834</v>
      </c>
      <c r="U166" s="5">
        <v>0.93740740740740736</v>
      </c>
      <c r="V166" t="s">
        <v>13</v>
      </c>
      <c r="W166">
        <v>1.1599999999999999</v>
      </c>
      <c r="X166">
        <v>3365.1194</v>
      </c>
      <c r="Y166">
        <v>152229.31520000001</v>
      </c>
      <c r="Z166" t="s">
        <v>1689</v>
      </c>
      <c r="AA166">
        <v>2.2200000000000002</v>
      </c>
      <c r="AB166">
        <v>152.98599999999999</v>
      </c>
      <c r="AC166">
        <v>0.42830000000000001</v>
      </c>
      <c r="AD166" t="s">
        <v>10</v>
      </c>
      <c r="AE166">
        <f>P166*'Run 1 Curve Parameters'!$D$3+'Run 1 Curve Parameters'!$E$3</f>
        <v>9335.0526184096343</v>
      </c>
      <c r="AF166">
        <f>K166*'Run 1 Curve Parameters'!$D$2+'Run 1 Curve Parameters'!$E$2</f>
        <v>-105.65842384145256</v>
      </c>
    </row>
    <row r="167" spans="1:32">
      <c r="A167" s="2">
        <v>166</v>
      </c>
      <c r="B167" s="2" t="s">
        <v>196</v>
      </c>
      <c r="C167" s="2" t="s">
        <v>196</v>
      </c>
      <c r="D167" s="2">
        <v>166</v>
      </c>
      <c r="E167" s="2" t="s">
        <v>196</v>
      </c>
      <c r="F167" t="s">
        <v>475</v>
      </c>
      <c r="G167" s="4">
        <v>44834</v>
      </c>
      <c r="H167" s="5">
        <v>0.94116898148148154</v>
      </c>
      <c r="I167" t="s">
        <v>9</v>
      </c>
      <c r="J167">
        <v>1.4059999999999999</v>
      </c>
      <c r="K167">
        <v>0.2928</v>
      </c>
      <c r="L167">
        <v>1.5843</v>
      </c>
      <c r="M167" t="s">
        <v>10</v>
      </c>
      <c r="N167" t="s">
        <v>11</v>
      </c>
      <c r="O167">
        <v>1.9259999999999999</v>
      </c>
      <c r="P167">
        <v>100.732</v>
      </c>
      <c r="Q167">
        <v>162.71940000000001</v>
      </c>
      <c r="R167" t="s">
        <v>10</v>
      </c>
      <c r="S167" t="s">
        <v>476</v>
      </c>
      <c r="T167" s="4">
        <v>44834</v>
      </c>
      <c r="U167" s="5">
        <v>0.94116898148148154</v>
      </c>
      <c r="V167" t="s">
        <v>13</v>
      </c>
      <c r="W167">
        <v>1.1659999999999999</v>
      </c>
      <c r="X167">
        <v>2939.1732000000002</v>
      </c>
      <c r="Y167">
        <v>110222.4621</v>
      </c>
      <c r="Z167" t="s">
        <v>1689</v>
      </c>
      <c r="AA167">
        <v>2.226</v>
      </c>
      <c r="AB167">
        <v>65.436700000000002</v>
      </c>
      <c r="AC167">
        <v>6.9400000000000003E-2</v>
      </c>
      <c r="AD167" t="s">
        <v>10</v>
      </c>
      <c r="AE167">
        <f>P167*'Run 1 Curve Parameters'!$D$3+'Run 1 Curve Parameters'!$E$3</f>
        <v>208.62129509364479</v>
      </c>
      <c r="AF167">
        <f>K167*'Run 1 Curve Parameters'!$D$2+'Run 1 Curve Parameters'!$E$2</f>
        <v>-106.98823357929831</v>
      </c>
    </row>
    <row r="168" spans="1:32">
      <c r="A168" s="2">
        <v>167</v>
      </c>
      <c r="B168" s="2" t="s">
        <v>426</v>
      </c>
      <c r="C168" s="2" t="s">
        <v>477</v>
      </c>
      <c r="D168" s="2">
        <v>167</v>
      </c>
      <c r="E168" s="3" t="str">
        <f>D168&amp;"g"</f>
        <v>167g</v>
      </c>
      <c r="F168" t="s">
        <v>478</v>
      </c>
      <c r="G168" s="4">
        <v>44834</v>
      </c>
      <c r="H168" s="5">
        <v>0.94491898148148146</v>
      </c>
      <c r="I168" t="s">
        <v>9</v>
      </c>
      <c r="J168">
        <v>1.4</v>
      </c>
      <c r="K168">
        <v>0.53100000000000003</v>
      </c>
      <c r="L168">
        <v>2.6145999999999998</v>
      </c>
      <c r="M168" t="s">
        <v>10</v>
      </c>
      <c r="N168" t="s">
        <v>11</v>
      </c>
      <c r="O168">
        <v>1.923</v>
      </c>
      <c r="P168">
        <v>234.7516</v>
      </c>
      <c r="Q168">
        <v>658.02189999999996</v>
      </c>
      <c r="R168" t="s">
        <v>10</v>
      </c>
      <c r="S168" t="s">
        <v>479</v>
      </c>
      <c r="T168" s="4">
        <v>44834</v>
      </c>
      <c r="U168" s="5">
        <v>0.94491898148148146</v>
      </c>
      <c r="V168" t="s">
        <v>13</v>
      </c>
      <c r="W168">
        <v>1.1599999999999999</v>
      </c>
      <c r="X168">
        <v>3446.9458</v>
      </c>
      <c r="Y168">
        <v>163385.7065</v>
      </c>
      <c r="Z168" t="s">
        <v>1689</v>
      </c>
      <c r="AA168">
        <v>2.2229999999999999</v>
      </c>
      <c r="AB168">
        <v>94.541200000000003</v>
      </c>
      <c r="AC168">
        <v>0.18870000000000001</v>
      </c>
      <c r="AD168" t="s">
        <v>10</v>
      </c>
      <c r="AE168">
        <f>P168*'Run 1 Curve Parameters'!$D$3+'Run 1 Curve Parameters'!$E$3</f>
        <v>767.87489522648059</v>
      </c>
      <c r="AF168">
        <f>K168*'Run 1 Curve Parameters'!$D$2+'Run 1 Curve Parameters'!$E$2</f>
        <v>-105.5378641674171</v>
      </c>
    </row>
    <row r="169" spans="1:32">
      <c r="A169" s="2">
        <v>168</v>
      </c>
      <c r="B169" s="2" t="s">
        <v>196</v>
      </c>
      <c r="C169" s="2" t="s">
        <v>196</v>
      </c>
      <c r="D169" s="2">
        <v>168</v>
      </c>
      <c r="E169" s="2" t="s">
        <v>196</v>
      </c>
      <c r="F169" t="s">
        <v>480</v>
      </c>
      <c r="G169" s="4">
        <v>44834</v>
      </c>
      <c r="H169" s="5">
        <v>0.94866898148148149</v>
      </c>
      <c r="I169" t="s">
        <v>9</v>
      </c>
      <c r="J169">
        <v>1.41</v>
      </c>
      <c r="K169">
        <v>0.33279999999999998</v>
      </c>
      <c r="L169">
        <v>1.7574000000000001</v>
      </c>
      <c r="M169" t="s">
        <v>10</v>
      </c>
      <c r="N169" t="s">
        <v>11</v>
      </c>
      <c r="O169">
        <v>1.9359999999999999</v>
      </c>
      <c r="P169">
        <v>91.051400000000001</v>
      </c>
      <c r="Q169">
        <v>126.94240000000001</v>
      </c>
      <c r="R169" t="s">
        <v>10</v>
      </c>
      <c r="S169" t="s">
        <v>481</v>
      </c>
      <c r="T169" s="4">
        <v>44834</v>
      </c>
      <c r="U169" s="5">
        <v>0.94866898148148149</v>
      </c>
      <c r="V169" t="s">
        <v>13</v>
      </c>
      <c r="W169">
        <v>1.1659999999999999</v>
      </c>
      <c r="X169">
        <v>3018.91</v>
      </c>
      <c r="Y169">
        <v>116878.4463</v>
      </c>
      <c r="Z169" t="s">
        <v>1689</v>
      </c>
      <c r="AA169">
        <v>2.2360000000000002</v>
      </c>
      <c r="AB169">
        <v>58.785200000000003</v>
      </c>
      <c r="AC169">
        <v>4.2200000000000001E-2</v>
      </c>
      <c r="AD169" t="s">
        <v>10</v>
      </c>
      <c r="AE169">
        <f>P169*'Run 1 Curve Parameters'!$D$3+'Run 1 Curve Parameters'!$E$3</f>
        <v>168.22488739323438</v>
      </c>
      <c r="AF169">
        <f>K169*'Run 1 Curve Parameters'!$D$2+'Run 1 Curve Parameters'!$E$2</f>
        <v>-106.74467868225696</v>
      </c>
    </row>
    <row r="170" spans="1:32">
      <c r="A170" s="2">
        <v>169</v>
      </c>
      <c r="B170" s="2" t="s">
        <v>426</v>
      </c>
      <c r="C170" s="2" t="s">
        <v>482</v>
      </c>
      <c r="D170" s="2">
        <v>169</v>
      </c>
      <c r="E170" s="3" t="str">
        <f>D170&amp;"g"</f>
        <v>169g</v>
      </c>
      <c r="F170" t="s">
        <v>483</v>
      </c>
      <c r="G170" s="4">
        <v>44834</v>
      </c>
      <c r="H170" s="5">
        <v>0.95243055555555556</v>
      </c>
      <c r="I170" t="s">
        <v>9</v>
      </c>
      <c r="J170">
        <v>1.413</v>
      </c>
      <c r="K170">
        <v>0.81320000000000003</v>
      </c>
      <c r="L170">
        <v>3.8351999999999999</v>
      </c>
      <c r="M170" t="s">
        <v>10</v>
      </c>
      <c r="N170" t="s">
        <v>11</v>
      </c>
      <c r="O170">
        <v>1.9359999999999999</v>
      </c>
      <c r="P170">
        <v>344.18740000000003</v>
      </c>
      <c r="Q170">
        <v>1062.4688000000001</v>
      </c>
      <c r="R170" t="s">
        <v>10</v>
      </c>
      <c r="S170" t="s">
        <v>484</v>
      </c>
      <c r="T170" s="4">
        <v>44834</v>
      </c>
      <c r="U170" s="5">
        <v>0.95243055555555556</v>
      </c>
      <c r="V170" t="s">
        <v>13</v>
      </c>
      <c r="W170">
        <v>1.17</v>
      </c>
      <c r="X170">
        <v>3511.9459999999999</v>
      </c>
      <c r="Y170">
        <v>172971.85490000001</v>
      </c>
      <c r="Z170" t="s">
        <v>1689</v>
      </c>
      <c r="AA170">
        <v>2.2360000000000002</v>
      </c>
      <c r="AB170">
        <v>96.978399999999993</v>
      </c>
      <c r="AC170">
        <v>0.19869999999999999</v>
      </c>
      <c r="AD170" t="s">
        <v>10</v>
      </c>
      <c r="AE170">
        <f>P170*'Run 1 Curve Parameters'!$D$3+'Run 1 Curve Parameters'!$E$3</f>
        <v>1224.5421672778598</v>
      </c>
      <c r="AF170">
        <f>K170*'Run 1 Curve Parameters'!$D$2+'Run 1 Curve Parameters'!$E$2</f>
        <v>-103.8195843687904</v>
      </c>
    </row>
    <row r="171" spans="1:32">
      <c r="A171" s="2">
        <v>170</v>
      </c>
      <c r="B171" s="2" t="s">
        <v>196</v>
      </c>
      <c r="C171" s="2" t="s">
        <v>196</v>
      </c>
      <c r="D171" s="2">
        <v>170</v>
      </c>
      <c r="E171" s="2" t="s">
        <v>196</v>
      </c>
      <c r="F171" t="s">
        <v>485</v>
      </c>
      <c r="G171" s="4">
        <v>44834</v>
      </c>
      <c r="H171" s="5">
        <v>0.95618055555555559</v>
      </c>
      <c r="I171" t="s">
        <v>9</v>
      </c>
      <c r="J171">
        <v>1.403</v>
      </c>
      <c r="K171">
        <v>0.34620000000000001</v>
      </c>
      <c r="L171">
        <v>1.8152999999999999</v>
      </c>
      <c r="M171" t="s">
        <v>10</v>
      </c>
      <c r="N171" t="s">
        <v>11</v>
      </c>
      <c r="O171">
        <v>1.923</v>
      </c>
      <c r="P171">
        <v>99.426299999999998</v>
      </c>
      <c r="Q171">
        <v>157.8939</v>
      </c>
      <c r="R171" t="s">
        <v>10</v>
      </c>
      <c r="S171" t="s">
        <v>486</v>
      </c>
      <c r="T171" s="4">
        <v>44834</v>
      </c>
      <c r="U171" s="5">
        <v>0.95618055555555559</v>
      </c>
      <c r="V171" t="s">
        <v>13</v>
      </c>
      <c r="W171">
        <v>1.1599999999999999</v>
      </c>
      <c r="X171">
        <v>3057.9173999999998</v>
      </c>
      <c r="Y171">
        <v>120239.8089</v>
      </c>
      <c r="Z171" t="s">
        <v>1689</v>
      </c>
      <c r="AA171">
        <v>2.226</v>
      </c>
      <c r="AB171">
        <v>63.2682</v>
      </c>
      <c r="AC171">
        <v>6.0600000000000001E-2</v>
      </c>
      <c r="AD171" t="s">
        <v>10</v>
      </c>
      <c r="AE171">
        <f>P171*'Run 1 Curve Parameters'!$D$3+'Run 1 Curve Parameters'!$E$3</f>
        <v>203.17270827728777</v>
      </c>
      <c r="AF171">
        <f>K171*'Run 1 Curve Parameters'!$D$2+'Run 1 Curve Parameters'!$E$2</f>
        <v>-106.66308779174811</v>
      </c>
    </row>
    <row r="172" spans="1:32">
      <c r="A172" s="2">
        <v>171</v>
      </c>
      <c r="B172" s="2" t="s">
        <v>426</v>
      </c>
      <c r="C172" s="2" t="s">
        <v>487</v>
      </c>
      <c r="D172" s="2">
        <v>171</v>
      </c>
      <c r="E172" s="3" t="str">
        <f>D172&amp;"g"</f>
        <v>171g</v>
      </c>
      <c r="F172" t="s">
        <v>488</v>
      </c>
      <c r="G172" s="4">
        <v>44834</v>
      </c>
      <c r="H172" s="5">
        <v>0.95994212962962966</v>
      </c>
      <c r="I172" t="s">
        <v>9</v>
      </c>
      <c r="J172">
        <v>1.403</v>
      </c>
      <c r="K172">
        <v>0.7883</v>
      </c>
      <c r="L172">
        <v>3.7275</v>
      </c>
      <c r="M172" t="s">
        <v>10</v>
      </c>
      <c r="N172" t="s">
        <v>11</v>
      </c>
      <c r="O172">
        <v>1.923</v>
      </c>
      <c r="P172">
        <v>244.22229999999999</v>
      </c>
      <c r="Q172">
        <v>693.02319999999997</v>
      </c>
      <c r="R172" t="s">
        <v>10</v>
      </c>
      <c r="S172" t="s">
        <v>489</v>
      </c>
      <c r="T172" s="4">
        <v>44834</v>
      </c>
      <c r="U172" s="5">
        <v>0.95994212962962966</v>
      </c>
      <c r="V172" t="s">
        <v>13</v>
      </c>
      <c r="W172">
        <v>1.1599999999999999</v>
      </c>
      <c r="X172">
        <v>3452.8631999999998</v>
      </c>
      <c r="Y172">
        <v>164258.39730000001</v>
      </c>
      <c r="Z172" t="s">
        <v>1689</v>
      </c>
      <c r="AA172">
        <v>2.226</v>
      </c>
      <c r="AB172">
        <v>93.149799999999999</v>
      </c>
      <c r="AC172">
        <v>0.183</v>
      </c>
      <c r="AD172" t="s">
        <v>10</v>
      </c>
      <c r="AE172">
        <f>P172*'Run 1 Curve Parameters'!$D$3+'Run 1 Curve Parameters'!$E$3</f>
        <v>807.39540618740011</v>
      </c>
      <c r="AF172">
        <f>K172*'Run 1 Curve Parameters'!$D$2+'Run 1 Curve Parameters'!$E$2</f>
        <v>-103.97119729219864</v>
      </c>
    </row>
    <row r="173" spans="1:32">
      <c r="A173" s="2">
        <v>172</v>
      </c>
      <c r="B173" s="2" t="s">
        <v>196</v>
      </c>
      <c r="C173" s="2" t="s">
        <v>196</v>
      </c>
      <c r="D173" s="2">
        <v>172</v>
      </c>
      <c r="E173" s="2" t="s">
        <v>196</v>
      </c>
      <c r="F173" t="s">
        <v>490</v>
      </c>
      <c r="G173" s="4">
        <v>44834</v>
      </c>
      <c r="H173" s="5">
        <v>0.96369212962962969</v>
      </c>
      <c r="I173" t="s">
        <v>9</v>
      </c>
      <c r="J173">
        <v>1.413</v>
      </c>
      <c r="K173">
        <v>0.31019999999999998</v>
      </c>
      <c r="L173">
        <v>1.6596</v>
      </c>
      <c r="M173" t="s">
        <v>10</v>
      </c>
      <c r="N173" t="s">
        <v>11</v>
      </c>
      <c r="O173">
        <v>1.9359999999999999</v>
      </c>
      <c r="P173">
        <v>93.259200000000007</v>
      </c>
      <c r="Q173">
        <v>135.1018</v>
      </c>
      <c r="R173" t="s">
        <v>10</v>
      </c>
      <c r="S173" t="s">
        <v>491</v>
      </c>
      <c r="T173" s="4">
        <v>44834</v>
      </c>
      <c r="U173" s="5">
        <v>0.96369212962962969</v>
      </c>
      <c r="V173" t="s">
        <v>13</v>
      </c>
      <c r="W173">
        <v>1.17</v>
      </c>
      <c r="X173">
        <v>3083.7080000000001</v>
      </c>
      <c r="Y173">
        <v>122593.3808</v>
      </c>
      <c r="Z173" t="s">
        <v>1689</v>
      </c>
      <c r="AA173">
        <v>2.2360000000000002</v>
      </c>
      <c r="AB173">
        <v>62.792299999999997</v>
      </c>
      <c r="AC173">
        <v>5.8599999999999999E-2</v>
      </c>
      <c r="AD173" t="s">
        <v>10</v>
      </c>
      <c r="AE173">
        <f>P173*'Run 1 Curve Parameters'!$D$3+'Run 1 Curve Parameters'!$E$3</f>
        <v>177.43786891514071</v>
      </c>
      <c r="AF173">
        <f>K173*'Run 1 Curve Parameters'!$D$2+'Run 1 Curve Parameters'!$E$2</f>
        <v>-106.88228719908531</v>
      </c>
    </row>
    <row r="174" spans="1:32">
      <c r="A174" s="2">
        <v>173</v>
      </c>
      <c r="B174" s="2" t="s">
        <v>238</v>
      </c>
      <c r="C174" s="2" t="s">
        <v>239</v>
      </c>
      <c r="D174" s="2">
        <v>173</v>
      </c>
      <c r="E174" s="3" t="s">
        <v>492</v>
      </c>
      <c r="F174" t="s">
        <v>493</v>
      </c>
      <c r="G174" s="4">
        <v>44834</v>
      </c>
      <c r="H174" s="5">
        <v>0.96745370370370365</v>
      </c>
      <c r="I174" t="s">
        <v>9</v>
      </c>
      <c r="J174">
        <v>1.4</v>
      </c>
      <c r="K174">
        <v>0.65449999999999997</v>
      </c>
      <c r="L174">
        <v>3.1488</v>
      </c>
      <c r="M174" t="s">
        <v>10</v>
      </c>
      <c r="N174" t="s">
        <v>11</v>
      </c>
      <c r="O174">
        <v>1.923</v>
      </c>
      <c r="P174">
        <v>170.91560000000001</v>
      </c>
      <c r="Q174">
        <v>422.10019999999997</v>
      </c>
      <c r="R174" t="s">
        <v>10</v>
      </c>
      <c r="S174" t="s">
        <v>494</v>
      </c>
      <c r="T174" s="4">
        <v>44834</v>
      </c>
      <c r="U174" s="5">
        <v>0.96745370370370365</v>
      </c>
      <c r="V174" t="s">
        <v>13</v>
      </c>
      <c r="W174">
        <v>1.1599999999999999</v>
      </c>
      <c r="X174">
        <v>3765.7348000000002</v>
      </c>
      <c r="Y174">
        <v>210400.3107</v>
      </c>
      <c r="Z174" t="s">
        <v>1689</v>
      </c>
      <c r="AA174">
        <v>2.2229999999999999</v>
      </c>
      <c r="AB174">
        <v>111.1918</v>
      </c>
      <c r="AC174">
        <v>0.25700000000000001</v>
      </c>
      <c r="AD174" t="s">
        <v>10</v>
      </c>
      <c r="AE174">
        <f>P174*'Run 1 Curve Parameters'!$D$3+'Run 1 Curve Parameters'!$E$3</f>
        <v>501.49212122864969</v>
      </c>
      <c r="AF174">
        <f>K174*'Run 1 Curve Parameters'!$D$2+'Run 1 Curve Parameters'!$E$2</f>
        <v>-104.78588842280193</v>
      </c>
    </row>
    <row r="175" spans="1:32">
      <c r="A175" s="2">
        <v>174</v>
      </c>
      <c r="B175" s="2" t="s">
        <v>196</v>
      </c>
      <c r="C175" s="2" t="s">
        <v>196</v>
      </c>
      <c r="D175" s="2">
        <v>174</v>
      </c>
      <c r="E175" s="2" t="s">
        <v>196</v>
      </c>
      <c r="F175" t="s">
        <v>495</v>
      </c>
      <c r="G175" s="4">
        <v>44834</v>
      </c>
      <c r="H175" s="5">
        <v>0.97120370370370368</v>
      </c>
      <c r="I175" t="s">
        <v>9</v>
      </c>
      <c r="J175">
        <v>1.403</v>
      </c>
      <c r="K175">
        <v>0.31919999999999998</v>
      </c>
      <c r="L175">
        <v>1.6984999999999999</v>
      </c>
      <c r="M175" t="s">
        <v>10</v>
      </c>
      <c r="N175" t="s">
        <v>11</v>
      </c>
      <c r="O175">
        <v>1.92</v>
      </c>
      <c r="P175">
        <v>87.234399999999994</v>
      </c>
      <c r="Q175">
        <v>112.8357</v>
      </c>
      <c r="R175" t="s">
        <v>10</v>
      </c>
      <c r="S175" t="s">
        <v>496</v>
      </c>
      <c r="T175" s="4">
        <v>44834</v>
      </c>
      <c r="U175" s="5">
        <v>0.97120370370370368</v>
      </c>
      <c r="V175" t="s">
        <v>13</v>
      </c>
      <c r="W175">
        <v>1.1599999999999999</v>
      </c>
      <c r="X175">
        <v>2920.9668999999999</v>
      </c>
      <c r="Y175">
        <v>108748.3327</v>
      </c>
      <c r="Z175" t="s">
        <v>1689</v>
      </c>
      <c r="AA175">
        <v>2.2229999999999999</v>
      </c>
      <c r="AB175">
        <v>57.0122</v>
      </c>
      <c r="AC175">
        <v>3.49E-2</v>
      </c>
      <c r="AD175" t="s">
        <v>10</v>
      </c>
      <c r="AE175">
        <f>P175*'Run 1 Curve Parameters'!$D$3+'Run 1 Curve Parameters'!$E$3</f>
        <v>152.29683663269606</v>
      </c>
      <c r="AF175">
        <f>K175*'Run 1 Curve Parameters'!$D$2+'Run 1 Curve Parameters'!$E$2</f>
        <v>-106.82748734725102</v>
      </c>
    </row>
    <row r="176" spans="1:32">
      <c r="A176" s="2">
        <v>175</v>
      </c>
      <c r="B176" s="2" t="s">
        <v>426</v>
      </c>
      <c r="C176" s="2" t="s">
        <v>497</v>
      </c>
      <c r="D176" s="2">
        <v>175</v>
      </c>
      <c r="E176" s="3" t="str">
        <f>D176&amp;"g"</f>
        <v>175g</v>
      </c>
      <c r="F176" t="s">
        <v>498</v>
      </c>
      <c r="G176" s="4">
        <v>44834</v>
      </c>
      <c r="H176" s="5">
        <v>0.9749537037037036</v>
      </c>
      <c r="I176" t="s">
        <v>9</v>
      </c>
      <c r="J176">
        <v>1.403</v>
      </c>
      <c r="K176">
        <v>30.696200000000001</v>
      </c>
      <c r="L176">
        <v>133.08580000000001</v>
      </c>
      <c r="M176" t="s">
        <v>10</v>
      </c>
      <c r="N176" t="s">
        <v>11</v>
      </c>
      <c r="O176">
        <v>1.93</v>
      </c>
      <c r="P176">
        <v>11104.814399999999</v>
      </c>
      <c r="Q176">
        <v>40831.017899999999</v>
      </c>
      <c r="R176" t="s">
        <v>10</v>
      </c>
      <c r="S176" t="s">
        <v>499</v>
      </c>
      <c r="T176" s="4">
        <v>44834</v>
      </c>
      <c r="U176" s="5">
        <v>0.9749537037037036</v>
      </c>
      <c r="V176" t="s">
        <v>13</v>
      </c>
      <c r="W176">
        <v>1.1599999999999999</v>
      </c>
      <c r="X176">
        <v>2982.6668</v>
      </c>
      <c r="Y176">
        <v>113768.5914</v>
      </c>
      <c r="Z176" t="s">
        <v>1689</v>
      </c>
      <c r="AA176">
        <v>2.2200000000000002</v>
      </c>
      <c r="AB176">
        <v>248.07480000000001</v>
      </c>
      <c r="AC176">
        <v>0.81810000000000005</v>
      </c>
      <c r="AD176" t="s">
        <v>10</v>
      </c>
      <c r="AE176">
        <f>P176*'Run 1 Curve Parameters'!$D$3+'Run 1 Curve Parameters'!$E$3</f>
        <v>46127.820414911759</v>
      </c>
      <c r="AF176">
        <f>K176*'Run 1 Curve Parameters'!$D$2+'Run 1 Curve Parameters'!$E$2</f>
        <v>78.134190338372747</v>
      </c>
    </row>
    <row r="177" spans="1:32">
      <c r="A177" s="2">
        <v>176</v>
      </c>
      <c r="B177" s="2" t="s">
        <v>196</v>
      </c>
      <c r="C177" s="2" t="s">
        <v>196</v>
      </c>
      <c r="D177" s="2">
        <v>176</v>
      </c>
      <c r="E177" s="2" t="s">
        <v>196</v>
      </c>
      <c r="F177" t="s">
        <v>500</v>
      </c>
      <c r="G177" s="4">
        <v>44834</v>
      </c>
      <c r="H177" s="5">
        <v>0.97870370370370363</v>
      </c>
      <c r="I177" t="s">
        <v>9</v>
      </c>
      <c r="J177">
        <v>0</v>
      </c>
      <c r="K177">
        <v>0</v>
      </c>
      <c r="L177">
        <v>0</v>
      </c>
      <c r="M177" t="s">
        <v>10</v>
      </c>
      <c r="N177" t="s">
        <v>11</v>
      </c>
      <c r="O177">
        <v>1.923</v>
      </c>
      <c r="P177">
        <v>126.5582</v>
      </c>
      <c r="Q177">
        <v>258.16649999999998</v>
      </c>
      <c r="R177" t="s">
        <v>10</v>
      </c>
      <c r="S177" t="s">
        <v>501</v>
      </c>
      <c r="T177" s="4">
        <v>44834</v>
      </c>
      <c r="U177" s="5">
        <v>0.97870370370370363</v>
      </c>
      <c r="V177" t="s">
        <v>13</v>
      </c>
      <c r="W177">
        <v>1.1559999999999999</v>
      </c>
      <c r="X177">
        <v>2974.1662000000001</v>
      </c>
      <c r="Y177">
        <v>113055.7785</v>
      </c>
      <c r="Z177" t="s">
        <v>1689</v>
      </c>
      <c r="AA177">
        <v>2.2229999999999999</v>
      </c>
      <c r="AB177">
        <v>63.084200000000003</v>
      </c>
      <c r="AC177">
        <v>5.9799999999999999E-2</v>
      </c>
      <c r="AD177" t="s">
        <v>10</v>
      </c>
      <c r="AE177">
        <f>P177*'Run 1 Curve Parameters'!$D$3+'Run 1 Curve Parameters'!$E$3</f>
        <v>316.39206390470417</v>
      </c>
      <c r="AF177">
        <f>K177*'Run 1 Curve Parameters'!$D$2+'Run 1 Curve Parameters'!$E$2</f>
        <v>-108.77105542564095</v>
      </c>
    </row>
    <row r="178" spans="1:32">
      <c r="A178" s="2">
        <v>177</v>
      </c>
      <c r="B178" s="2" t="s">
        <v>426</v>
      </c>
      <c r="C178" s="2" t="s">
        <v>502</v>
      </c>
      <c r="D178" s="2">
        <v>177</v>
      </c>
      <c r="E178" s="3" t="str">
        <f>D178&amp;"g"</f>
        <v>177g</v>
      </c>
      <c r="F178" t="s">
        <v>503</v>
      </c>
      <c r="G178" s="4">
        <v>44834</v>
      </c>
      <c r="H178" s="5">
        <v>0.98245370370370377</v>
      </c>
      <c r="I178" t="s">
        <v>9</v>
      </c>
      <c r="J178">
        <v>1.403</v>
      </c>
      <c r="K178">
        <v>5.7759999999999998</v>
      </c>
      <c r="L178">
        <v>25.3004</v>
      </c>
      <c r="M178" t="s">
        <v>10</v>
      </c>
      <c r="N178" t="s">
        <v>11</v>
      </c>
      <c r="O178">
        <v>1.9330000000000001</v>
      </c>
      <c r="P178">
        <v>3167.8130000000001</v>
      </c>
      <c r="Q178">
        <v>11497.873100000001</v>
      </c>
      <c r="R178" t="s">
        <v>10</v>
      </c>
      <c r="S178" t="s">
        <v>504</v>
      </c>
      <c r="T178" s="4">
        <v>44834</v>
      </c>
      <c r="U178" s="5">
        <v>0.98245370370370377</v>
      </c>
      <c r="V178" t="s">
        <v>13</v>
      </c>
      <c r="W178">
        <v>1.1599999999999999</v>
      </c>
      <c r="X178">
        <v>3392.6008000000002</v>
      </c>
      <c r="Y178">
        <v>155802.0264</v>
      </c>
      <c r="Z178" t="s">
        <v>1689</v>
      </c>
      <c r="AA178">
        <v>2.2160000000000002</v>
      </c>
      <c r="AB178">
        <v>177.6208</v>
      </c>
      <c r="AC178">
        <v>0.52929999999999999</v>
      </c>
      <c r="AD178" t="s">
        <v>10</v>
      </c>
      <c r="AE178">
        <f>P178*'Run 1 Curve Parameters'!$D$3+'Run 1 Curve Parameters'!$E$3</f>
        <v>13007.31709144745</v>
      </c>
      <c r="AF178">
        <f>K178*'Run 1 Curve Parameters'!$D$2+'Run 1 Curve Parameters'!$E$2</f>
        <v>-73.601728292870661</v>
      </c>
    </row>
    <row r="179" spans="1:32">
      <c r="A179" s="2">
        <v>178</v>
      </c>
      <c r="B179" s="2" t="s">
        <v>196</v>
      </c>
      <c r="C179" s="2" t="s">
        <v>196</v>
      </c>
      <c r="D179" s="2">
        <v>178</v>
      </c>
      <c r="E179" s="2" t="s">
        <v>196</v>
      </c>
      <c r="F179" t="s">
        <v>505</v>
      </c>
      <c r="G179" s="4">
        <v>44834</v>
      </c>
      <c r="H179" s="5">
        <v>0.98622685185185188</v>
      </c>
      <c r="I179" t="s">
        <v>9</v>
      </c>
      <c r="J179">
        <v>1.413</v>
      </c>
      <c r="K179">
        <v>0.27260000000000001</v>
      </c>
      <c r="L179">
        <v>1.4970000000000001</v>
      </c>
      <c r="M179" t="s">
        <v>10</v>
      </c>
      <c r="N179" t="s">
        <v>11</v>
      </c>
      <c r="O179">
        <v>1.9330000000000001</v>
      </c>
      <c r="P179">
        <v>99.188800000000001</v>
      </c>
      <c r="Q179">
        <v>157.01609999999999</v>
      </c>
      <c r="R179" t="s">
        <v>10</v>
      </c>
      <c r="S179" t="s">
        <v>506</v>
      </c>
      <c r="T179" s="4">
        <v>44834</v>
      </c>
      <c r="U179" s="5">
        <v>0.98622685185185188</v>
      </c>
      <c r="V179" t="s">
        <v>13</v>
      </c>
      <c r="W179">
        <v>1.1659999999999999</v>
      </c>
      <c r="X179">
        <v>3124.0963000000002</v>
      </c>
      <c r="Y179">
        <v>126279.09450000001</v>
      </c>
      <c r="Z179" t="s">
        <v>1689</v>
      </c>
      <c r="AA179">
        <v>2.2360000000000002</v>
      </c>
      <c r="AB179">
        <v>63.6096</v>
      </c>
      <c r="AC179">
        <v>6.2E-2</v>
      </c>
      <c r="AD179" t="s">
        <v>10</v>
      </c>
      <c r="AE179">
        <f>P179*'Run 1 Curve Parameters'!$D$3+'Run 1 Curve Parameters'!$E$3</f>
        <v>202.18163883646309</v>
      </c>
      <c r="AF179">
        <f>K179*'Run 1 Curve Parameters'!$D$2+'Run 1 Curve Parameters'!$E$2</f>
        <v>-107.11122880230418</v>
      </c>
    </row>
    <row r="180" spans="1:32">
      <c r="A180" s="2">
        <v>179</v>
      </c>
      <c r="B180" s="2" t="s">
        <v>426</v>
      </c>
      <c r="C180" s="2" t="s">
        <v>507</v>
      </c>
      <c r="D180" s="2">
        <v>179</v>
      </c>
      <c r="E180" s="3" t="str">
        <f>D180&amp;"g"</f>
        <v>179g</v>
      </c>
      <c r="F180" t="s">
        <v>508</v>
      </c>
      <c r="G180" s="4">
        <v>44834</v>
      </c>
      <c r="H180" s="5">
        <v>0.98998842592592595</v>
      </c>
      <c r="I180" t="s">
        <v>9</v>
      </c>
      <c r="J180">
        <v>1.41</v>
      </c>
      <c r="K180">
        <v>0.47360000000000002</v>
      </c>
      <c r="L180">
        <v>2.3662999999999998</v>
      </c>
      <c r="M180" t="s">
        <v>10</v>
      </c>
      <c r="N180" t="s">
        <v>11</v>
      </c>
      <c r="O180">
        <v>1.946</v>
      </c>
      <c r="P180">
        <v>2969.2262000000001</v>
      </c>
      <c r="Q180">
        <v>10763.9467</v>
      </c>
      <c r="R180" t="s">
        <v>10</v>
      </c>
      <c r="S180" t="s">
        <v>509</v>
      </c>
      <c r="T180" s="4">
        <v>44834</v>
      </c>
      <c r="U180" s="5">
        <v>0.98998842592592595</v>
      </c>
      <c r="V180" t="s">
        <v>13</v>
      </c>
      <c r="W180">
        <v>1.1659999999999999</v>
      </c>
      <c r="X180">
        <v>3480.6621</v>
      </c>
      <c r="Y180">
        <v>168358.14439999999</v>
      </c>
      <c r="Z180" t="s">
        <v>1689</v>
      </c>
      <c r="AA180">
        <v>2.2360000000000002</v>
      </c>
      <c r="AB180">
        <v>173.42670000000001</v>
      </c>
      <c r="AC180">
        <v>0.5121</v>
      </c>
      <c r="AD180" t="s">
        <v>10</v>
      </c>
      <c r="AE180">
        <f>P180*'Run 1 Curve Parameters'!$D$3+'Run 1 Curve Parameters'!$E$3</f>
        <v>12178.629475316229</v>
      </c>
      <c r="AF180">
        <f>K180*'Run 1 Curve Parameters'!$D$2+'Run 1 Curve Parameters'!$E$2</f>
        <v>-105.88736544467142</v>
      </c>
    </row>
    <row r="181" spans="1:32">
      <c r="A181" s="2">
        <v>180</v>
      </c>
      <c r="B181" s="2" t="s">
        <v>196</v>
      </c>
      <c r="C181" s="2" t="s">
        <v>196</v>
      </c>
      <c r="D181" s="2">
        <v>180</v>
      </c>
      <c r="E181" s="2" t="s">
        <v>196</v>
      </c>
      <c r="F181" t="s">
        <v>510</v>
      </c>
      <c r="G181" s="4">
        <v>44834</v>
      </c>
      <c r="H181" s="5">
        <v>0.99375000000000002</v>
      </c>
      <c r="I181" t="s">
        <v>9</v>
      </c>
      <c r="J181">
        <v>1.4</v>
      </c>
      <c r="K181">
        <v>0.30499999999999999</v>
      </c>
      <c r="L181">
        <v>1.6371</v>
      </c>
      <c r="M181" t="s">
        <v>10</v>
      </c>
      <c r="N181" t="s">
        <v>11</v>
      </c>
      <c r="O181">
        <v>1.923</v>
      </c>
      <c r="P181">
        <v>117.459</v>
      </c>
      <c r="Q181">
        <v>224.53819999999999</v>
      </c>
      <c r="R181" t="s">
        <v>10</v>
      </c>
      <c r="S181" t="s">
        <v>511</v>
      </c>
      <c r="T181" s="4">
        <v>44834</v>
      </c>
      <c r="U181" s="5">
        <v>0.99375000000000002</v>
      </c>
      <c r="V181" t="s">
        <v>13</v>
      </c>
      <c r="W181">
        <v>1.1599999999999999</v>
      </c>
      <c r="X181">
        <v>3177.5454</v>
      </c>
      <c r="Y181">
        <v>131461.33230000001</v>
      </c>
      <c r="Z181" t="s">
        <v>1689</v>
      </c>
      <c r="AA181">
        <v>2.2229999999999999</v>
      </c>
      <c r="AB181">
        <v>70.701400000000007</v>
      </c>
      <c r="AC181">
        <v>9.0999999999999998E-2</v>
      </c>
      <c r="AD181" t="s">
        <v>10</v>
      </c>
      <c r="AE181">
        <f>P181*'Run 1 Curve Parameters'!$D$3+'Run 1 Curve Parameters'!$E$3</f>
        <v>278.42179419543254</v>
      </c>
      <c r="AF181">
        <f>K181*'Run 1 Curve Parameters'!$D$2+'Run 1 Curve Parameters'!$E$2</f>
        <v>-106.91394933570069</v>
      </c>
    </row>
    <row r="182" spans="1:32">
      <c r="A182" s="2">
        <v>181</v>
      </c>
      <c r="B182" s="2" t="s">
        <v>426</v>
      </c>
      <c r="C182" s="2" t="s">
        <v>512</v>
      </c>
      <c r="D182" s="2">
        <v>181</v>
      </c>
      <c r="E182" s="3" t="str">
        <f>D182&amp;"g"</f>
        <v>181g</v>
      </c>
      <c r="F182" t="s">
        <v>513</v>
      </c>
      <c r="G182" s="4">
        <v>44834</v>
      </c>
      <c r="H182" s="5">
        <v>0.99750000000000005</v>
      </c>
      <c r="I182" t="s">
        <v>9</v>
      </c>
      <c r="J182">
        <v>1.413</v>
      </c>
      <c r="K182">
        <v>1.2213000000000001</v>
      </c>
      <c r="L182">
        <v>5.6002999999999998</v>
      </c>
      <c r="M182" t="s">
        <v>10</v>
      </c>
      <c r="N182" t="s">
        <v>11</v>
      </c>
      <c r="O182">
        <v>1.9430000000000001</v>
      </c>
      <c r="P182">
        <v>1739.7385999999999</v>
      </c>
      <c r="Q182">
        <v>6220.0721999999996</v>
      </c>
      <c r="R182" t="s">
        <v>10</v>
      </c>
      <c r="S182" t="s">
        <v>514</v>
      </c>
      <c r="T182" s="4">
        <v>44834</v>
      </c>
      <c r="U182" s="5">
        <v>0.99750000000000005</v>
      </c>
      <c r="V182" t="s">
        <v>13</v>
      </c>
      <c r="W182">
        <v>1.1659999999999999</v>
      </c>
      <c r="X182">
        <v>3554.3679999999999</v>
      </c>
      <c r="Y182">
        <v>179228.1986</v>
      </c>
      <c r="Z182" t="s">
        <v>1689</v>
      </c>
      <c r="AA182">
        <v>2.2330000000000001</v>
      </c>
      <c r="AB182">
        <v>145.3954</v>
      </c>
      <c r="AC182">
        <v>0.3972</v>
      </c>
      <c r="AD182" t="s">
        <v>10</v>
      </c>
      <c r="AE182">
        <f>P182*'Run 1 Curve Parameters'!$D$3+'Run 1 Curve Parameters'!$E$3</f>
        <v>7048.0712090724865</v>
      </c>
      <c r="AF182">
        <f>K182*'Run 1 Curve Parameters'!$D$2+'Run 1 Curve Parameters'!$E$2</f>
        <v>-101.33471553172608</v>
      </c>
    </row>
    <row r="183" spans="1:32">
      <c r="A183" s="2">
        <v>182</v>
      </c>
      <c r="B183" s="2" t="s">
        <v>196</v>
      </c>
      <c r="C183" s="2" t="s">
        <v>196</v>
      </c>
      <c r="D183" s="2">
        <v>182</v>
      </c>
      <c r="E183" s="2" t="s">
        <v>196</v>
      </c>
      <c r="F183" t="s">
        <v>515</v>
      </c>
      <c r="G183" s="4">
        <v>44835</v>
      </c>
      <c r="H183" s="5">
        <v>1.25E-3</v>
      </c>
      <c r="I183" t="s">
        <v>9</v>
      </c>
      <c r="J183">
        <v>1.4</v>
      </c>
      <c r="K183">
        <v>0.26179999999999998</v>
      </c>
      <c r="L183">
        <v>1.4502999999999999</v>
      </c>
      <c r="M183" t="s">
        <v>10</v>
      </c>
      <c r="N183" t="s">
        <v>11</v>
      </c>
      <c r="O183">
        <v>1.9259999999999999</v>
      </c>
      <c r="P183">
        <v>91.047200000000004</v>
      </c>
      <c r="Q183">
        <v>126.9268</v>
      </c>
      <c r="R183" t="s">
        <v>10</v>
      </c>
      <c r="S183" t="s">
        <v>516</v>
      </c>
      <c r="T183" s="4">
        <v>44835</v>
      </c>
      <c r="U183" s="5">
        <v>1.25E-3</v>
      </c>
      <c r="V183" t="s">
        <v>13</v>
      </c>
      <c r="W183">
        <v>1.1599999999999999</v>
      </c>
      <c r="X183">
        <v>2924.1878000000002</v>
      </c>
      <c r="Y183">
        <v>109009.1228</v>
      </c>
      <c r="Z183" t="s">
        <v>1689</v>
      </c>
      <c r="AA183">
        <v>2.226</v>
      </c>
      <c r="AB183">
        <v>58.192599999999999</v>
      </c>
      <c r="AC183">
        <v>3.9800000000000002E-2</v>
      </c>
      <c r="AD183" t="s">
        <v>10</v>
      </c>
      <c r="AE183">
        <f>P183*'Run 1 Curve Parameters'!$D$3+'Run 1 Curve Parameters'!$E$3</f>
        <v>168.20736111259663</v>
      </c>
      <c r="AF183">
        <f>K183*'Run 1 Curve Parameters'!$D$2+'Run 1 Curve Parameters'!$E$2</f>
        <v>-107.17698862450534</v>
      </c>
    </row>
    <row r="184" spans="1:32">
      <c r="A184" s="2">
        <v>183</v>
      </c>
      <c r="B184" s="2" t="s">
        <v>426</v>
      </c>
      <c r="C184" s="2" t="s">
        <v>517</v>
      </c>
      <c r="D184" s="2">
        <v>183</v>
      </c>
      <c r="E184" s="3" t="str">
        <f>D184&amp;"g"</f>
        <v>183g</v>
      </c>
      <c r="F184" t="s">
        <v>518</v>
      </c>
      <c r="G184" s="4">
        <v>44835</v>
      </c>
      <c r="H184" s="5">
        <v>5.0115740740740737E-3</v>
      </c>
      <c r="I184" t="s">
        <v>9</v>
      </c>
      <c r="J184">
        <v>1.4</v>
      </c>
      <c r="K184">
        <v>0.46899999999999997</v>
      </c>
      <c r="L184">
        <v>2.3464</v>
      </c>
      <c r="M184" t="s">
        <v>10</v>
      </c>
      <c r="N184" t="s">
        <v>11</v>
      </c>
      <c r="O184">
        <v>1.9359999999999999</v>
      </c>
      <c r="P184">
        <v>4945.6535999999996</v>
      </c>
      <c r="Q184">
        <v>18068.321199999998</v>
      </c>
      <c r="R184" t="s">
        <v>10</v>
      </c>
      <c r="S184" t="s">
        <v>519</v>
      </c>
      <c r="T184" s="4">
        <v>44835</v>
      </c>
      <c r="U184" s="5">
        <v>5.0115740740740737E-3</v>
      </c>
      <c r="V184" t="s">
        <v>13</v>
      </c>
      <c r="W184">
        <v>1.1599999999999999</v>
      </c>
      <c r="X184">
        <v>3383.3991999999998</v>
      </c>
      <c r="Y184">
        <v>154571.35200000001</v>
      </c>
      <c r="Z184" t="s">
        <v>1689</v>
      </c>
      <c r="AA184">
        <v>2.2229999999999999</v>
      </c>
      <c r="AB184">
        <v>236.74299999999999</v>
      </c>
      <c r="AC184">
        <v>0.77159999999999995</v>
      </c>
      <c r="AD184" t="s">
        <v>10</v>
      </c>
      <c r="AE184">
        <f>P184*'Run 1 Curve Parameters'!$D$3+'Run 1 Curve Parameters'!$E$3</f>
        <v>20426.110730678731</v>
      </c>
      <c r="AF184">
        <f>K184*'Run 1 Curve Parameters'!$D$2+'Run 1 Curve Parameters'!$E$2</f>
        <v>-105.91537425783117</v>
      </c>
    </row>
    <row r="185" spans="1:32">
      <c r="A185" s="2">
        <v>184</v>
      </c>
      <c r="B185" s="2" t="s">
        <v>196</v>
      </c>
      <c r="C185" s="2" t="s">
        <v>196</v>
      </c>
      <c r="D185" s="2">
        <v>184</v>
      </c>
      <c r="E185" s="2" t="s">
        <v>196</v>
      </c>
      <c r="F185" t="s">
        <v>520</v>
      </c>
      <c r="G185" s="4">
        <v>44835</v>
      </c>
      <c r="H185" s="5">
        <v>8.7615740740740744E-3</v>
      </c>
      <c r="I185" t="s">
        <v>9</v>
      </c>
      <c r="J185">
        <v>1.4</v>
      </c>
      <c r="K185">
        <v>0.254</v>
      </c>
      <c r="L185">
        <v>1.4165000000000001</v>
      </c>
      <c r="M185" t="s">
        <v>10</v>
      </c>
      <c r="N185" t="s">
        <v>11</v>
      </c>
      <c r="O185">
        <v>1.9259999999999999</v>
      </c>
      <c r="P185">
        <v>127.042</v>
      </c>
      <c r="Q185">
        <v>259.9545</v>
      </c>
      <c r="R185" t="s">
        <v>10</v>
      </c>
      <c r="S185" t="s">
        <v>521</v>
      </c>
      <c r="T185" s="4">
        <v>44835</v>
      </c>
      <c r="U185" s="5">
        <v>8.7615740740740744E-3</v>
      </c>
      <c r="V185" t="s">
        <v>13</v>
      </c>
      <c r="W185">
        <v>1.163</v>
      </c>
      <c r="X185">
        <v>3109.3820000000001</v>
      </c>
      <c r="Y185">
        <v>124936.3121</v>
      </c>
      <c r="Z185" t="s">
        <v>1689</v>
      </c>
      <c r="AA185">
        <v>2.23</v>
      </c>
      <c r="AB185">
        <v>66.597999999999999</v>
      </c>
      <c r="AC185">
        <v>7.4200000000000002E-2</v>
      </c>
      <c r="AD185" t="s">
        <v>10</v>
      </c>
      <c r="AE185">
        <f>P185*'Run 1 Curve Parameters'!$D$3+'Run 1 Curve Parameters'!$E$3</f>
        <v>318.41092451721352</v>
      </c>
      <c r="AF185">
        <f>K185*'Run 1 Curve Parameters'!$D$2+'Run 1 Curve Parameters'!$E$2</f>
        <v>-107.22448182942841</v>
      </c>
    </row>
    <row r="186" spans="1:32">
      <c r="A186" s="2">
        <v>185</v>
      </c>
      <c r="B186" s="2" t="s">
        <v>522</v>
      </c>
      <c r="C186" s="2" t="s">
        <v>523</v>
      </c>
      <c r="D186" s="2">
        <v>185</v>
      </c>
      <c r="E186" s="3" t="str">
        <f>D186&amp;"g"</f>
        <v>185g</v>
      </c>
      <c r="F186" t="s">
        <v>524</v>
      </c>
      <c r="G186" s="4">
        <v>44835</v>
      </c>
      <c r="H186" s="5">
        <v>1.252314814814815E-2</v>
      </c>
      <c r="I186" t="s">
        <v>9</v>
      </c>
      <c r="J186">
        <v>1.413</v>
      </c>
      <c r="K186">
        <v>4.7055999999999996</v>
      </c>
      <c r="L186">
        <v>20.6707</v>
      </c>
      <c r="M186" t="s">
        <v>10</v>
      </c>
      <c r="N186" t="s">
        <v>11</v>
      </c>
      <c r="O186">
        <v>1.946</v>
      </c>
      <c r="P186">
        <v>8811.6082000000006</v>
      </c>
      <c r="Q186">
        <v>32355.909199999998</v>
      </c>
      <c r="R186" t="s">
        <v>10</v>
      </c>
      <c r="S186" t="s">
        <v>525</v>
      </c>
      <c r="T186" s="4">
        <v>44835</v>
      </c>
      <c r="U186" s="5">
        <v>1.252314814814815E-2</v>
      </c>
      <c r="V186" t="s">
        <v>13</v>
      </c>
      <c r="W186">
        <v>1.1659999999999999</v>
      </c>
      <c r="X186">
        <v>3152.4713999999999</v>
      </c>
      <c r="Y186">
        <v>129017.9083</v>
      </c>
      <c r="Z186" t="s">
        <v>1689</v>
      </c>
      <c r="AA186">
        <v>2.2330000000000001</v>
      </c>
      <c r="AB186">
        <v>242.60120000000001</v>
      </c>
      <c r="AC186">
        <v>0.79559999999999997</v>
      </c>
      <c r="AD186" t="s">
        <v>10</v>
      </c>
      <c r="AE186">
        <f>P186*'Run 1 Curve Parameters'!$D$3+'Run 1 Curve Parameters'!$E$3</f>
        <v>36558.445314576144</v>
      </c>
      <c r="AF186">
        <f>K186*'Run 1 Curve Parameters'!$D$2+'Run 1 Curve Parameters'!$E$2</f>
        <v>-80.119257337697078</v>
      </c>
    </row>
    <row r="187" spans="1:32">
      <c r="A187" s="2">
        <v>186</v>
      </c>
      <c r="B187" s="2" t="s">
        <v>196</v>
      </c>
      <c r="C187" s="2" t="s">
        <v>196</v>
      </c>
      <c r="D187" s="2">
        <v>186</v>
      </c>
      <c r="E187" s="2" t="s">
        <v>196</v>
      </c>
      <c r="F187" t="s">
        <v>526</v>
      </c>
      <c r="G187" s="4">
        <v>44835</v>
      </c>
      <c r="H187" s="5">
        <v>1.6284722222222221E-2</v>
      </c>
      <c r="I187" t="s">
        <v>9</v>
      </c>
      <c r="J187">
        <v>1.373</v>
      </c>
      <c r="K187">
        <v>0.17130000000000001</v>
      </c>
      <c r="L187">
        <v>1.0588</v>
      </c>
      <c r="M187" t="s">
        <v>10</v>
      </c>
      <c r="N187" t="s">
        <v>11</v>
      </c>
      <c r="O187">
        <v>1.9159999999999999</v>
      </c>
      <c r="P187">
        <v>84.997600000000006</v>
      </c>
      <c r="Q187">
        <v>104.56910000000001</v>
      </c>
      <c r="R187" t="s">
        <v>10</v>
      </c>
      <c r="S187" t="s">
        <v>527</v>
      </c>
      <c r="T187" s="4">
        <v>44835</v>
      </c>
      <c r="U187" s="5">
        <v>1.6284722222222221E-2</v>
      </c>
      <c r="V187" t="s">
        <v>13</v>
      </c>
      <c r="W187">
        <v>1.1559999999999999</v>
      </c>
      <c r="X187">
        <v>2701.4016000000001</v>
      </c>
      <c r="Y187">
        <v>92276.709799999997</v>
      </c>
      <c r="Z187" t="s">
        <v>1689</v>
      </c>
      <c r="AA187">
        <v>2.2160000000000002</v>
      </c>
      <c r="AB187">
        <v>53.6265</v>
      </c>
      <c r="AC187">
        <v>2.1000000000000001E-2</v>
      </c>
      <c r="AD187" t="s">
        <v>10</v>
      </c>
      <c r="AE187">
        <f>P187*'Run 1 Curve Parameters'!$D$3+'Run 1 Curve Parameters'!$E$3</f>
        <v>142.96284031591017</v>
      </c>
      <c r="AF187">
        <f>K187*'Run 1 Curve Parameters'!$D$2+'Run 1 Curve Parameters'!$E$2</f>
        <v>-107.72803157906139</v>
      </c>
    </row>
    <row r="188" spans="1:32">
      <c r="A188" s="2">
        <v>187</v>
      </c>
      <c r="B188" s="2" t="s">
        <v>522</v>
      </c>
      <c r="C188" s="2" t="s">
        <v>528</v>
      </c>
      <c r="D188" s="2">
        <v>187</v>
      </c>
      <c r="E188" s="3" t="str">
        <f>D188&amp;"g"</f>
        <v>187g</v>
      </c>
      <c r="F188" t="s">
        <v>529</v>
      </c>
      <c r="G188" s="4">
        <v>44835</v>
      </c>
      <c r="H188" s="5">
        <v>2.0034722222222221E-2</v>
      </c>
      <c r="I188" t="s">
        <v>9</v>
      </c>
      <c r="J188">
        <v>1.4</v>
      </c>
      <c r="K188">
        <v>1.1560999999999999</v>
      </c>
      <c r="L188">
        <v>5.3182999999999998</v>
      </c>
      <c r="M188" t="s">
        <v>10</v>
      </c>
      <c r="N188" t="s">
        <v>11</v>
      </c>
      <c r="O188">
        <v>1.9259999999999999</v>
      </c>
      <c r="P188">
        <v>13340.040999999999</v>
      </c>
      <c r="Q188">
        <v>49091.848599999998</v>
      </c>
      <c r="R188" t="s">
        <v>10</v>
      </c>
      <c r="S188" t="s">
        <v>530</v>
      </c>
      <c r="T188" s="4">
        <v>44835</v>
      </c>
      <c r="U188" s="5">
        <v>2.0034722222222221E-2</v>
      </c>
      <c r="V188" t="s">
        <v>13</v>
      </c>
      <c r="W188">
        <v>1.1559999999999999</v>
      </c>
      <c r="X188">
        <v>2994.2381</v>
      </c>
      <c r="Y188">
        <v>114761.4691</v>
      </c>
      <c r="Z188" t="s">
        <v>1689</v>
      </c>
      <c r="AA188">
        <v>2.2200000000000002</v>
      </c>
      <c r="AB188">
        <v>252.1437</v>
      </c>
      <c r="AC188">
        <v>0.8347</v>
      </c>
      <c r="AD188" t="s">
        <v>10</v>
      </c>
      <c r="AE188">
        <f>P188*'Run 1 Curve Parameters'!$D$3+'Run 1 Curve Parameters'!$E$3</f>
        <v>55455.251053136904</v>
      </c>
      <c r="AF188">
        <f>K188*'Run 1 Curve Parameters'!$D$2+'Run 1 Curve Parameters'!$E$2</f>
        <v>-101.73171001390347</v>
      </c>
    </row>
    <row r="189" spans="1:32">
      <c r="A189" s="2">
        <v>188</v>
      </c>
      <c r="B189" s="2" t="s">
        <v>196</v>
      </c>
      <c r="C189" s="2" t="s">
        <v>196</v>
      </c>
      <c r="D189" s="2">
        <v>188</v>
      </c>
      <c r="E189" s="2" t="s">
        <v>196</v>
      </c>
      <c r="F189" t="s">
        <v>531</v>
      </c>
      <c r="G189" s="4">
        <v>44835</v>
      </c>
      <c r="H189" s="5">
        <v>2.3784722222222221E-2</v>
      </c>
      <c r="I189" t="s">
        <v>9</v>
      </c>
      <c r="J189">
        <v>0</v>
      </c>
      <c r="K189">
        <v>0</v>
      </c>
      <c r="L189">
        <v>0</v>
      </c>
      <c r="M189" t="s">
        <v>10</v>
      </c>
      <c r="N189" t="s">
        <v>11</v>
      </c>
      <c r="O189">
        <v>1.923</v>
      </c>
      <c r="P189">
        <v>139.06659999999999</v>
      </c>
      <c r="Q189">
        <v>304.39440000000002</v>
      </c>
      <c r="R189" t="s">
        <v>10</v>
      </c>
      <c r="S189" t="s">
        <v>532</v>
      </c>
      <c r="T189" s="4">
        <v>44835</v>
      </c>
      <c r="U189" s="5">
        <v>2.3784722222222221E-2</v>
      </c>
      <c r="V189" t="s">
        <v>13</v>
      </c>
      <c r="W189">
        <v>1.1559999999999999</v>
      </c>
      <c r="X189">
        <v>3194.0929999999998</v>
      </c>
      <c r="Y189">
        <v>133073.8713</v>
      </c>
      <c r="Z189" t="s">
        <v>1689</v>
      </c>
      <c r="AA189">
        <v>2.2229999999999999</v>
      </c>
      <c r="AB189">
        <v>73.710599999999999</v>
      </c>
      <c r="AC189">
        <v>0.10340000000000001</v>
      </c>
      <c r="AD189" t="s">
        <v>10</v>
      </c>
      <c r="AE189">
        <f>P189*'Run 1 Curve Parameters'!$D$3+'Run 1 Curve Parameters'!$E$3</f>
        <v>368.58866598306849</v>
      </c>
      <c r="AF189">
        <f>K189*'Run 1 Curve Parameters'!$D$2+'Run 1 Curve Parameters'!$E$2</f>
        <v>-108.77105542564095</v>
      </c>
    </row>
    <row r="190" spans="1:32">
      <c r="A190" s="2">
        <v>189</v>
      </c>
      <c r="B190" s="2" t="s">
        <v>522</v>
      </c>
      <c r="C190" s="2" t="s">
        <v>533</v>
      </c>
      <c r="D190" s="2">
        <v>189</v>
      </c>
      <c r="E190" s="3" t="str">
        <f>D190&amp;"g"</f>
        <v>189g</v>
      </c>
      <c r="F190" t="s">
        <v>534</v>
      </c>
      <c r="G190" s="4">
        <v>44835</v>
      </c>
      <c r="H190" s="5">
        <v>2.7534722222222221E-2</v>
      </c>
      <c r="I190" t="s">
        <v>9</v>
      </c>
      <c r="J190">
        <v>1.41</v>
      </c>
      <c r="K190">
        <v>19.9238</v>
      </c>
      <c r="L190">
        <v>86.492800000000003</v>
      </c>
      <c r="M190" t="s">
        <v>10</v>
      </c>
      <c r="N190" t="s">
        <v>11</v>
      </c>
      <c r="O190">
        <v>1.92</v>
      </c>
      <c r="P190">
        <v>18873.784100000001</v>
      </c>
      <c r="Q190">
        <v>69543.16</v>
      </c>
      <c r="R190" t="s">
        <v>10</v>
      </c>
      <c r="S190" t="s">
        <v>535</v>
      </c>
      <c r="T190" s="4">
        <v>44835</v>
      </c>
      <c r="U190" s="5">
        <v>2.7534722222222221E-2</v>
      </c>
      <c r="V190" t="s">
        <v>13</v>
      </c>
      <c r="W190">
        <v>1.1659999999999999</v>
      </c>
      <c r="X190">
        <v>2706.8402000000001</v>
      </c>
      <c r="Y190">
        <v>92653.363500000007</v>
      </c>
      <c r="Z190" t="s">
        <v>1689</v>
      </c>
      <c r="AA190">
        <v>2.226</v>
      </c>
      <c r="AB190">
        <v>313.56279999999998</v>
      </c>
      <c r="AC190">
        <v>1.0865</v>
      </c>
      <c r="AD190" t="s">
        <v>10</v>
      </c>
      <c r="AE190">
        <f>P190*'Run 1 Curve Parameters'!$D$3+'Run 1 Curve Parameters'!$E$3</f>
        <v>78547.140231176832</v>
      </c>
      <c r="AF190">
        <f>K190*'Run 1 Curve Parameters'!$D$2+'Run 1 Curve Parameters'!$E$2</f>
        <v>12.542421016168007</v>
      </c>
    </row>
    <row r="191" spans="1:32">
      <c r="A191" s="2">
        <v>190</v>
      </c>
      <c r="B191" s="2" t="s">
        <v>196</v>
      </c>
      <c r="C191" s="2" t="s">
        <v>196</v>
      </c>
      <c r="D191" s="2">
        <v>190</v>
      </c>
      <c r="E191" s="2" t="s">
        <v>196</v>
      </c>
      <c r="F191" t="s">
        <v>536</v>
      </c>
      <c r="G191" s="4">
        <v>44835</v>
      </c>
      <c r="H191" s="5">
        <v>3.1296296296296301E-2</v>
      </c>
      <c r="I191" t="s">
        <v>9</v>
      </c>
      <c r="J191">
        <v>0</v>
      </c>
      <c r="K191">
        <v>0</v>
      </c>
      <c r="L191">
        <v>0</v>
      </c>
      <c r="M191" t="s">
        <v>10</v>
      </c>
      <c r="N191" t="s">
        <v>11</v>
      </c>
      <c r="O191">
        <v>1.9259999999999999</v>
      </c>
      <c r="P191">
        <v>170.16579999999999</v>
      </c>
      <c r="Q191">
        <v>419.32909999999998</v>
      </c>
      <c r="R191" t="s">
        <v>10</v>
      </c>
      <c r="S191" t="s">
        <v>537</v>
      </c>
      <c r="T191" s="4">
        <v>44835</v>
      </c>
      <c r="U191" s="5">
        <v>3.1296296296296301E-2</v>
      </c>
      <c r="V191" t="s">
        <v>13</v>
      </c>
      <c r="W191">
        <v>1.1659999999999999</v>
      </c>
      <c r="X191">
        <v>3012.5965999999999</v>
      </c>
      <c r="Y191">
        <v>116336.72380000001</v>
      </c>
      <c r="Z191" t="s">
        <v>1689</v>
      </c>
      <c r="AA191">
        <v>2.23</v>
      </c>
      <c r="AB191">
        <v>70.676699999999997</v>
      </c>
      <c r="AC191">
        <v>9.0899999999999995E-2</v>
      </c>
      <c r="AD191" t="s">
        <v>10</v>
      </c>
      <c r="AE191">
        <f>P191*'Run 1 Curve Parameters'!$D$3+'Run 1 Curve Parameters'!$E$3</f>
        <v>498.36326284241659</v>
      </c>
      <c r="AF191">
        <f>K191*'Run 1 Curve Parameters'!$D$2+'Run 1 Curve Parameters'!$E$2</f>
        <v>-108.77105542564095</v>
      </c>
    </row>
    <row r="192" spans="1:32">
      <c r="A192" s="2">
        <v>191</v>
      </c>
      <c r="B192" s="2" t="s">
        <v>522</v>
      </c>
      <c r="C192" s="2" t="s">
        <v>538</v>
      </c>
      <c r="D192" s="2">
        <v>191</v>
      </c>
      <c r="E192" s="3" t="str">
        <f>D192&amp;"g"</f>
        <v>191g</v>
      </c>
      <c r="F192" t="s">
        <v>539</v>
      </c>
      <c r="G192" s="4">
        <v>44835</v>
      </c>
      <c r="H192" s="5">
        <v>3.5046296296296298E-2</v>
      </c>
      <c r="I192" t="s">
        <v>9</v>
      </c>
      <c r="J192">
        <v>1.4</v>
      </c>
      <c r="K192">
        <v>0.40379999999999999</v>
      </c>
      <c r="L192">
        <v>2.0644</v>
      </c>
      <c r="M192" t="s">
        <v>10</v>
      </c>
      <c r="N192" t="s">
        <v>11</v>
      </c>
      <c r="O192">
        <v>1.923</v>
      </c>
      <c r="P192">
        <v>440.77519999999998</v>
      </c>
      <c r="Q192">
        <v>1419.4329</v>
      </c>
      <c r="R192" t="s">
        <v>10</v>
      </c>
      <c r="S192" t="s">
        <v>540</v>
      </c>
      <c r="T192" s="4">
        <v>44835</v>
      </c>
      <c r="U192" s="5">
        <v>3.5046296296296298E-2</v>
      </c>
      <c r="V192" t="s">
        <v>13</v>
      </c>
      <c r="W192">
        <v>1.1599999999999999</v>
      </c>
      <c r="X192">
        <v>3479.7220000000002</v>
      </c>
      <c r="Y192">
        <v>168219.49960000001</v>
      </c>
      <c r="Z192" t="s">
        <v>1689</v>
      </c>
      <c r="AA192">
        <v>2.226</v>
      </c>
      <c r="AB192">
        <v>100.00830000000001</v>
      </c>
      <c r="AC192">
        <v>0.21110000000000001</v>
      </c>
      <c r="AD192" t="s">
        <v>10</v>
      </c>
      <c r="AE192">
        <f>P192*'Run 1 Curve Parameters'!$D$3+'Run 1 Curve Parameters'!$E$3</f>
        <v>1627.595712273594</v>
      </c>
      <c r="AF192">
        <f>K192*'Run 1 Curve Parameters'!$D$2+'Run 1 Curve Parameters'!$E$2</f>
        <v>-106.31236874000857</v>
      </c>
    </row>
    <row r="193" spans="1:32">
      <c r="A193" s="2">
        <v>192</v>
      </c>
      <c r="B193" s="2" t="s">
        <v>196</v>
      </c>
      <c r="C193" s="2" t="s">
        <v>196</v>
      </c>
      <c r="D193" s="2">
        <v>192</v>
      </c>
      <c r="E193" s="2" t="s">
        <v>196</v>
      </c>
      <c r="F193" t="s">
        <v>541</v>
      </c>
      <c r="G193" s="4">
        <v>44835</v>
      </c>
      <c r="H193" s="5">
        <v>3.8796296296296294E-2</v>
      </c>
      <c r="I193" t="s">
        <v>9</v>
      </c>
      <c r="J193">
        <v>1.413</v>
      </c>
      <c r="K193">
        <v>0.36559999999999998</v>
      </c>
      <c r="L193">
        <v>1.8992</v>
      </c>
      <c r="M193" t="s">
        <v>10</v>
      </c>
      <c r="N193" t="s">
        <v>11</v>
      </c>
      <c r="O193">
        <v>1.9330000000000001</v>
      </c>
      <c r="P193">
        <v>109.1281</v>
      </c>
      <c r="Q193">
        <v>193.74930000000001</v>
      </c>
      <c r="R193" t="s">
        <v>10</v>
      </c>
      <c r="S193" t="s">
        <v>542</v>
      </c>
      <c r="T193" s="4">
        <v>44835</v>
      </c>
      <c r="U193" s="5">
        <v>3.8796296296296294E-2</v>
      </c>
      <c r="V193" t="s">
        <v>13</v>
      </c>
      <c r="W193">
        <v>1.17</v>
      </c>
      <c r="X193">
        <v>3227.9780000000001</v>
      </c>
      <c r="Y193">
        <v>136597.36859999999</v>
      </c>
      <c r="Z193" t="s">
        <v>1689</v>
      </c>
      <c r="AA193">
        <v>2.2360000000000002</v>
      </c>
      <c r="AB193">
        <v>73.549599999999998</v>
      </c>
      <c r="AC193">
        <v>0.1027</v>
      </c>
      <c r="AD193" t="s">
        <v>10</v>
      </c>
      <c r="AE193">
        <f>P193*'Run 1 Curve Parameters'!$D$3+'Run 1 Curve Parameters'!$E$3</f>
        <v>243.65758196567924</v>
      </c>
      <c r="AF193">
        <f>K193*'Run 1 Curve Parameters'!$D$2+'Run 1 Curve Parameters'!$E$2</f>
        <v>-106.54496366668306</v>
      </c>
    </row>
    <row r="194" spans="1:32">
      <c r="A194" s="2">
        <v>193</v>
      </c>
      <c r="B194" s="2" t="s">
        <v>238</v>
      </c>
      <c r="C194" s="2" t="s">
        <v>239</v>
      </c>
      <c r="D194" s="2">
        <v>193</v>
      </c>
      <c r="E194" s="3" t="s">
        <v>543</v>
      </c>
      <c r="F194" t="s">
        <v>544</v>
      </c>
      <c r="G194" s="4">
        <v>44835</v>
      </c>
      <c r="H194" s="5">
        <v>4.2557870370370371E-2</v>
      </c>
      <c r="I194" t="s">
        <v>9</v>
      </c>
      <c r="J194">
        <v>1.413</v>
      </c>
      <c r="K194">
        <v>0.64859999999999995</v>
      </c>
      <c r="L194">
        <v>3.1233</v>
      </c>
      <c r="M194" t="s">
        <v>10</v>
      </c>
      <c r="N194" t="s">
        <v>11</v>
      </c>
      <c r="O194">
        <v>1.9359999999999999</v>
      </c>
      <c r="P194">
        <v>171.68260000000001</v>
      </c>
      <c r="Q194">
        <v>424.9348</v>
      </c>
      <c r="R194" t="s">
        <v>10</v>
      </c>
      <c r="S194" t="s">
        <v>545</v>
      </c>
      <c r="T194" s="4">
        <v>44835</v>
      </c>
      <c r="U194" s="5">
        <v>4.2557870370370371E-2</v>
      </c>
      <c r="V194" t="s">
        <v>13</v>
      </c>
      <c r="W194">
        <v>1.17</v>
      </c>
      <c r="X194">
        <v>3904.8179</v>
      </c>
      <c r="Y194">
        <v>230912.1128</v>
      </c>
      <c r="Z194" t="s">
        <v>1689</v>
      </c>
      <c r="AA194">
        <v>2.2400000000000002</v>
      </c>
      <c r="AB194">
        <v>111.8824</v>
      </c>
      <c r="AC194">
        <v>0.25979999999999998</v>
      </c>
      <c r="AD194" t="s">
        <v>10</v>
      </c>
      <c r="AE194">
        <f>P194*'Run 1 Curve Parameters'!$D$3+'Run 1 Curve Parameters'!$E$3</f>
        <v>504.6927539070183</v>
      </c>
      <c r="AF194">
        <f>K194*'Run 1 Curve Parameters'!$D$2+'Run 1 Curve Parameters'!$E$2</f>
        <v>-104.82181277011554</v>
      </c>
    </row>
    <row r="195" spans="1:32">
      <c r="A195" s="2">
        <v>194</v>
      </c>
      <c r="B195" s="2" t="s">
        <v>196</v>
      </c>
      <c r="C195" s="2" t="s">
        <v>196</v>
      </c>
      <c r="D195" s="2">
        <v>194</v>
      </c>
      <c r="E195" s="2" t="s">
        <v>196</v>
      </c>
      <c r="F195" t="s">
        <v>546</v>
      </c>
      <c r="G195" s="4">
        <v>44835</v>
      </c>
      <c r="H195" s="5">
        <v>4.6319444444444441E-2</v>
      </c>
      <c r="I195" t="s">
        <v>9</v>
      </c>
      <c r="J195">
        <v>1.4</v>
      </c>
      <c r="K195">
        <v>0.33019999999999999</v>
      </c>
      <c r="L195">
        <v>1.7461</v>
      </c>
      <c r="M195" t="s">
        <v>10</v>
      </c>
      <c r="N195" t="s">
        <v>11</v>
      </c>
      <c r="O195">
        <v>1.923</v>
      </c>
      <c r="P195">
        <v>93.917100000000005</v>
      </c>
      <c r="Q195">
        <v>137.5333</v>
      </c>
      <c r="R195" t="s">
        <v>10</v>
      </c>
      <c r="S195" t="s">
        <v>547</v>
      </c>
      <c r="T195" s="4">
        <v>44835</v>
      </c>
      <c r="U195" s="5">
        <v>4.6319444444444441E-2</v>
      </c>
      <c r="V195" t="s">
        <v>13</v>
      </c>
      <c r="W195">
        <v>1.1599999999999999</v>
      </c>
      <c r="X195">
        <v>3050.1469999999999</v>
      </c>
      <c r="Y195">
        <v>119558.7432</v>
      </c>
      <c r="Z195" t="s">
        <v>1689</v>
      </c>
      <c r="AA195">
        <v>2.226</v>
      </c>
      <c r="AB195">
        <v>61.873699999999999</v>
      </c>
      <c r="AC195">
        <v>5.4800000000000001E-2</v>
      </c>
      <c r="AD195" t="s">
        <v>10</v>
      </c>
      <c r="AE195">
        <f>P195*'Run 1 Curve Parameters'!$D$3+'Run 1 Curve Parameters'!$E$3</f>
        <v>180.18323558932411</v>
      </c>
      <c r="AF195">
        <f>K195*'Run 1 Curve Parameters'!$D$2+'Run 1 Curve Parameters'!$E$2</f>
        <v>-106.76050975056465</v>
      </c>
    </row>
    <row r="196" spans="1:32">
      <c r="A196" s="2">
        <v>195</v>
      </c>
      <c r="B196" s="2" t="s">
        <v>522</v>
      </c>
      <c r="C196" s="2" t="s">
        <v>548</v>
      </c>
      <c r="D196" s="2">
        <v>195</v>
      </c>
      <c r="E196" s="3" t="str">
        <f>D196&amp;"g"</f>
        <v>195g</v>
      </c>
      <c r="F196" t="s">
        <v>549</v>
      </c>
      <c r="G196" s="4">
        <v>44835</v>
      </c>
      <c r="H196" s="5">
        <v>5.0069444444444444E-2</v>
      </c>
      <c r="I196" t="s">
        <v>9</v>
      </c>
      <c r="J196">
        <v>1.403</v>
      </c>
      <c r="K196">
        <v>0.49359999999999998</v>
      </c>
      <c r="L196">
        <v>2.4527999999999999</v>
      </c>
      <c r="M196" t="s">
        <v>10</v>
      </c>
      <c r="N196" t="s">
        <v>11</v>
      </c>
      <c r="O196">
        <v>1.923</v>
      </c>
      <c r="P196">
        <v>186.64</v>
      </c>
      <c r="Q196">
        <v>480.21359999999999</v>
      </c>
      <c r="R196" t="s">
        <v>10</v>
      </c>
      <c r="S196" t="s">
        <v>550</v>
      </c>
      <c r="T196" s="4">
        <v>44835</v>
      </c>
      <c r="U196" s="5">
        <v>5.0069444444444444E-2</v>
      </c>
      <c r="V196" t="s">
        <v>13</v>
      </c>
      <c r="W196">
        <v>1.1599999999999999</v>
      </c>
      <c r="X196">
        <v>3543.9031</v>
      </c>
      <c r="Y196">
        <v>177684.84820000001</v>
      </c>
      <c r="Z196" t="s">
        <v>1689</v>
      </c>
      <c r="AA196">
        <v>2.2229999999999999</v>
      </c>
      <c r="AB196">
        <v>89.251499999999993</v>
      </c>
      <c r="AC196">
        <v>0.1671</v>
      </c>
      <c r="AD196" t="s">
        <v>10</v>
      </c>
      <c r="AE196">
        <f>P196*'Run 1 Curve Parameters'!$D$3+'Run 1 Curve Parameters'!$E$3</f>
        <v>567.10884676677063</v>
      </c>
      <c r="AF196">
        <f>K196*'Run 1 Curve Parameters'!$D$2+'Run 1 Curve Parameters'!$E$2</f>
        <v>-105.76558799615074</v>
      </c>
    </row>
    <row r="197" spans="1:32">
      <c r="A197" s="2">
        <v>196</v>
      </c>
      <c r="B197" s="2" t="s">
        <v>196</v>
      </c>
      <c r="C197" s="2" t="s">
        <v>196</v>
      </c>
      <c r="D197" s="2">
        <v>196</v>
      </c>
      <c r="E197" s="2" t="s">
        <v>196</v>
      </c>
      <c r="F197" t="s">
        <v>551</v>
      </c>
      <c r="G197" s="4">
        <v>44835</v>
      </c>
      <c r="H197" s="5">
        <v>5.3831018518518514E-2</v>
      </c>
      <c r="I197" t="s">
        <v>9</v>
      </c>
      <c r="J197">
        <v>1.4059999999999999</v>
      </c>
      <c r="K197">
        <v>0.36659999999999998</v>
      </c>
      <c r="L197">
        <v>1.9035</v>
      </c>
      <c r="M197" t="s">
        <v>10</v>
      </c>
      <c r="N197" t="s">
        <v>11</v>
      </c>
      <c r="O197">
        <v>1.923</v>
      </c>
      <c r="P197">
        <v>97.709900000000005</v>
      </c>
      <c r="Q197">
        <v>151.5505</v>
      </c>
      <c r="R197" t="s">
        <v>10</v>
      </c>
      <c r="S197" t="s">
        <v>552</v>
      </c>
      <c r="T197" s="4">
        <v>44835</v>
      </c>
      <c r="U197" s="5">
        <v>5.3831018518518514E-2</v>
      </c>
      <c r="V197" t="s">
        <v>13</v>
      </c>
      <c r="W197">
        <v>1.1599999999999999</v>
      </c>
      <c r="X197">
        <v>3079.5628999999999</v>
      </c>
      <c r="Y197">
        <v>122215.1115</v>
      </c>
      <c r="Z197" t="s">
        <v>1689</v>
      </c>
      <c r="AA197">
        <v>2.226</v>
      </c>
      <c r="AB197">
        <v>64.233800000000002</v>
      </c>
      <c r="AC197">
        <v>6.4500000000000002E-2</v>
      </c>
      <c r="AD197" t="s">
        <v>10</v>
      </c>
      <c r="AE197">
        <f>P197*'Run 1 Curve Parameters'!$D$3+'Run 1 Curve Parameters'!$E$3</f>
        <v>196.01030158999731</v>
      </c>
      <c r="AF197">
        <f>K197*'Run 1 Curve Parameters'!$D$2+'Run 1 Curve Parameters'!$E$2</f>
        <v>-106.53887479425703</v>
      </c>
    </row>
    <row r="198" spans="1:32">
      <c r="A198" s="2">
        <v>197</v>
      </c>
      <c r="B198" s="2" t="s">
        <v>553</v>
      </c>
      <c r="C198" s="2" t="s">
        <v>554</v>
      </c>
      <c r="D198" s="2">
        <v>197</v>
      </c>
      <c r="E198" s="3" t="str">
        <f>D198&amp;"g"</f>
        <v>197g</v>
      </c>
      <c r="F198" t="s">
        <v>555</v>
      </c>
      <c r="G198" s="4">
        <v>44835</v>
      </c>
      <c r="H198" s="5">
        <v>5.7581018518518517E-2</v>
      </c>
      <c r="I198" t="s">
        <v>9</v>
      </c>
      <c r="J198">
        <v>1.403</v>
      </c>
      <c r="K198">
        <v>90.463999999999999</v>
      </c>
      <c r="L198">
        <v>391.59469999999999</v>
      </c>
      <c r="M198" t="s">
        <v>10</v>
      </c>
      <c r="N198" t="s">
        <v>11</v>
      </c>
      <c r="O198">
        <v>1.923</v>
      </c>
      <c r="P198">
        <v>395.99720000000002</v>
      </c>
      <c r="Q198">
        <v>1253.9447</v>
      </c>
      <c r="R198" t="s">
        <v>10</v>
      </c>
      <c r="S198" t="s">
        <v>556</v>
      </c>
      <c r="T198" s="4">
        <v>44835</v>
      </c>
      <c r="U198" s="5">
        <v>5.7581018518518517E-2</v>
      </c>
      <c r="V198" t="s">
        <v>13</v>
      </c>
      <c r="W198">
        <v>1.1599999999999999</v>
      </c>
      <c r="X198">
        <v>3527.5907999999999</v>
      </c>
      <c r="Y198">
        <v>175279.1305</v>
      </c>
      <c r="Z198" t="s">
        <v>1689</v>
      </c>
      <c r="AA198">
        <v>2.2229999999999999</v>
      </c>
      <c r="AB198">
        <v>99.029499999999999</v>
      </c>
      <c r="AC198">
        <v>0.20710000000000001</v>
      </c>
      <c r="AD198" t="s">
        <v>10</v>
      </c>
      <c r="AE198">
        <f>P198*'Run 1 Curve Parameters'!$D$3+'Run 1 Curve Parameters'!$E$3</f>
        <v>1440.7405231314976</v>
      </c>
      <c r="AF198">
        <f>K198*'Run 1 Curve Parameters'!$D$2+'Run 1 Curve Parameters'!$E$2</f>
        <v>442.05269972306587</v>
      </c>
    </row>
    <row r="199" spans="1:32">
      <c r="A199" s="2">
        <v>198</v>
      </c>
      <c r="B199" s="2" t="s">
        <v>196</v>
      </c>
      <c r="C199" s="2" t="s">
        <v>196</v>
      </c>
      <c r="D199" s="2">
        <v>198</v>
      </c>
      <c r="E199" s="2" t="s">
        <v>196</v>
      </c>
      <c r="F199" t="s">
        <v>557</v>
      </c>
      <c r="G199" s="4">
        <v>44835</v>
      </c>
      <c r="H199" s="5">
        <v>6.1342592592592594E-2</v>
      </c>
      <c r="I199" t="s">
        <v>9</v>
      </c>
      <c r="J199">
        <v>1.41</v>
      </c>
      <c r="K199">
        <v>0.56320000000000003</v>
      </c>
      <c r="L199">
        <v>2.7538999999999998</v>
      </c>
      <c r="M199" t="s">
        <v>10</v>
      </c>
      <c r="N199" t="s">
        <v>11</v>
      </c>
      <c r="O199">
        <v>1.9330000000000001</v>
      </c>
      <c r="P199">
        <v>93.419600000000003</v>
      </c>
      <c r="Q199">
        <v>135.69460000000001</v>
      </c>
      <c r="R199" t="s">
        <v>10</v>
      </c>
      <c r="S199" t="s">
        <v>558</v>
      </c>
      <c r="T199" s="4">
        <v>44835</v>
      </c>
      <c r="U199" s="5">
        <v>6.1342592592592594E-2</v>
      </c>
      <c r="V199" t="s">
        <v>13</v>
      </c>
      <c r="W199">
        <v>1.1659999999999999</v>
      </c>
      <c r="X199">
        <v>3056.4639999999999</v>
      </c>
      <c r="Y199">
        <v>120107.17600000001</v>
      </c>
      <c r="Z199" t="s">
        <v>1689</v>
      </c>
      <c r="AA199">
        <v>2.2330000000000001</v>
      </c>
      <c r="AB199">
        <v>62.916899999999998</v>
      </c>
      <c r="AC199">
        <v>5.91E-2</v>
      </c>
      <c r="AD199" t="s">
        <v>10</v>
      </c>
      <c r="AE199">
        <f>P199*'Run 1 Curve Parameters'!$D$3+'Run 1 Curve Parameters'!$E$3</f>
        <v>178.10720591854397</v>
      </c>
      <c r="AF199">
        <f>K199*'Run 1 Curve Parameters'!$D$2+'Run 1 Curve Parameters'!$E$2</f>
        <v>-105.34180247529881</v>
      </c>
    </row>
    <row r="200" spans="1:32">
      <c r="A200" s="2">
        <v>199</v>
      </c>
      <c r="B200" s="2" t="s">
        <v>559</v>
      </c>
      <c r="C200" s="2" t="s">
        <v>560</v>
      </c>
      <c r="D200" s="2">
        <v>199</v>
      </c>
      <c r="E200" s="3" t="str">
        <f>D200&amp;"g"</f>
        <v>199g</v>
      </c>
      <c r="F200" t="s">
        <v>561</v>
      </c>
      <c r="G200" s="4">
        <v>44835</v>
      </c>
      <c r="H200" s="5">
        <v>6.5092592592592591E-2</v>
      </c>
      <c r="I200" t="s">
        <v>9</v>
      </c>
      <c r="J200">
        <v>1.41</v>
      </c>
      <c r="K200">
        <v>7557.3486999999996</v>
      </c>
      <c r="L200">
        <v>32687.519</v>
      </c>
      <c r="M200" t="s">
        <v>10</v>
      </c>
      <c r="N200" t="s">
        <v>11</v>
      </c>
      <c r="O200">
        <v>1.9430000000000001</v>
      </c>
      <c r="P200">
        <v>10582.6764</v>
      </c>
      <c r="Q200">
        <v>38901.328200000004</v>
      </c>
      <c r="R200" t="s">
        <v>10</v>
      </c>
      <c r="S200" t="s">
        <v>562</v>
      </c>
      <c r="T200" s="4">
        <v>44835</v>
      </c>
      <c r="U200" s="5">
        <v>6.5092592592592591E-2</v>
      </c>
      <c r="V200" t="s">
        <v>13</v>
      </c>
      <c r="W200">
        <v>1.1659999999999999</v>
      </c>
      <c r="X200">
        <v>2926.6909000000001</v>
      </c>
      <c r="Y200">
        <v>109211.7941</v>
      </c>
      <c r="Z200" t="s">
        <v>1689</v>
      </c>
      <c r="AA200">
        <v>2.2330000000000001</v>
      </c>
      <c r="AB200">
        <v>226.6079</v>
      </c>
      <c r="AC200">
        <v>0.73009999999999997</v>
      </c>
      <c r="AD200" t="s">
        <v>10</v>
      </c>
      <c r="AE200">
        <f>P200*'Run 1 Curve Parameters'!$D$3+'Run 1 Curve Parameters'!$E$3</f>
        <v>43948.978243571466</v>
      </c>
      <c r="AF200">
        <f>K200*'Run 1 Curve Parameters'!$D$2+'Run 1 Curve Parameters'!$E$2</f>
        <v>45906.961057925502</v>
      </c>
    </row>
    <row r="201" spans="1:32">
      <c r="A201" s="2">
        <v>200</v>
      </c>
      <c r="B201" s="2" t="s">
        <v>196</v>
      </c>
      <c r="C201" s="2" t="s">
        <v>196</v>
      </c>
      <c r="D201" s="2">
        <v>200</v>
      </c>
      <c r="E201" s="2" t="s">
        <v>196</v>
      </c>
      <c r="F201" t="s">
        <v>563</v>
      </c>
      <c r="G201" s="4">
        <v>44835</v>
      </c>
      <c r="H201" s="5">
        <v>6.8842592592592594E-2</v>
      </c>
      <c r="I201" t="s">
        <v>9</v>
      </c>
      <c r="J201">
        <v>1.403</v>
      </c>
      <c r="K201">
        <v>7.6828000000000003</v>
      </c>
      <c r="L201">
        <v>33.547699999999999</v>
      </c>
      <c r="M201" t="s">
        <v>10</v>
      </c>
      <c r="N201" t="s">
        <v>11</v>
      </c>
      <c r="O201">
        <v>1.923</v>
      </c>
      <c r="P201">
        <v>97.489000000000004</v>
      </c>
      <c r="Q201">
        <v>150.73410000000001</v>
      </c>
      <c r="R201" t="s">
        <v>10</v>
      </c>
      <c r="S201" t="s">
        <v>564</v>
      </c>
      <c r="T201" s="4">
        <v>44835</v>
      </c>
      <c r="U201" s="5">
        <v>6.8842592592592594E-2</v>
      </c>
      <c r="V201" t="s">
        <v>13</v>
      </c>
      <c r="W201">
        <v>1.1599999999999999</v>
      </c>
      <c r="X201">
        <v>3006.2687999999998</v>
      </c>
      <c r="Y201">
        <v>115793.7657</v>
      </c>
      <c r="Z201" t="s">
        <v>1689</v>
      </c>
      <c r="AA201">
        <v>2.2229999999999999</v>
      </c>
      <c r="AB201">
        <v>60.004199999999997</v>
      </c>
      <c r="AC201">
        <v>4.7199999999999999E-2</v>
      </c>
      <c r="AD201" t="s">
        <v>10</v>
      </c>
      <c r="AE201">
        <f>P201*'Run 1 Curve Parameters'!$D$3+'Run 1 Curve Parameters'!$E$3</f>
        <v>195.08850268693129</v>
      </c>
      <c r="AF201">
        <f>K201*'Run 1 Curve Parameters'!$D$2+'Run 1 Curve Parameters'!$E$2</f>
        <v>-61.991466350909732</v>
      </c>
    </row>
    <row r="202" spans="1:32">
      <c r="A202" s="2">
        <v>201</v>
      </c>
      <c r="B202" s="2" t="s">
        <v>559</v>
      </c>
      <c r="C202" s="2" t="s">
        <v>565</v>
      </c>
      <c r="D202" s="2">
        <v>201</v>
      </c>
      <c r="E202" s="3" t="str">
        <f>D202&amp;"g"</f>
        <v>201g</v>
      </c>
      <c r="F202" t="s">
        <v>566</v>
      </c>
      <c r="G202" s="4">
        <v>44835</v>
      </c>
      <c r="H202" s="5">
        <v>7.2592592592592597E-2</v>
      </c>
      <c r="I202" t="s">
        <v>9</v>
      </c>
      <c r="J202">
        <v>1.403</v>
      </c>
      <c r="K202">
        <v>0.75919999999999999</v>
      </c>
      <c r="L202">
        <v>3.6015999999999999</v>
      </c>
      <c r="M202" t="s">
        <v>10</v>
      </c>
      <c r="N202" t="s">
        <v>11</v>
      </c>
      <c r="O202">
        <v>1.9359999999999999</v>
      </c>
      <c r="P202">
        <v>4431.3987999999999</v>
      </c>
      <c r="Q202">
        <v>16167.7659</v>
      </c>
      <c r="R202" t="s">
        <v>10</v>
      </c>
      <c r="S202" t="s">
        <v>567</v>
      </c>
      <c r="T202" s="4">
        <v>44835</v>
      </c>
      <c r="U202" s="5">
        <v>7.2592592592592597E-2</v>
      </c>
      <c r="V202" t="s">
        <v>13</v>
      </c>
      <c r="W202">
        <v>1.1599999999999999</v>
      </c>
      <c r="X202">
        <v>3390.8721999999998</v>
      </c>
      <c r="Y202">
        <v>155570.83360000001</v>
      </c>
      <c r="Z202" t="s">
        <v>1689</v>
      </c>
      <c r="AA202">
        <v>2.2229999999999999</v>
      </c>
      <c r="AB202">
        <v>196.2236</v>
      </c>
      <c r="AC202">
        <v>0.60550000000000004</v>
      </c>
      <c r="AD202" t="s">
        <v>10</v>
      </c>
      <c r="AE202">
        <f>P202*'Run 1 Curve Parameters'!$D$3+'Run 1 Curve Parameters'!$E$3</f>
        <v>18280.16455351068</v>
      </c>
      <c r="AF202">
        <f>K202*'Run 1 Curve Parameters'!$D$2+'Run 1 Curve Parameters'!$E$2</f>
        <v>-104.14838347979622</v>
      </c>
    </row>
    <row r="203" spans="1:32">
      <c r="A203" s="2">
        <v>202</v>
      </c>
      <c r="B203" s="2" t="s">
        <v>196</v>
      </c>
      <c r="C203" s="2" t="s">
        <v>196</v>
      </c>
      <c r="D203" s="2">
        <v>202</v>
      </c>
      <c r="E203" s="2" t="s">
        <v>196</v>
      </c>
      <c r="F203" t="s">
        <v>568</v>
      </c>
      <c r="G203" s="4">
        <v>44835</v>
      </c>
      <c r="H203" s="5">
        <v>7.6354166666666667E-2</v>
      </c>
      <c r="I203" t="s">
        <v>9</v>
      </c>
      <c r="J203">
        <v>1.41</v>
      </c>
      <c r="K203">
        <v>0.27839999999999998</v>
      </c>
      <c r="L203">
        <v>1.5221</v>
      </c>
      <c r="M203" t="s">
        <v>10</v>
      </c>
      <c r="N203" t="s">
        <v>11</v>
      </c>
      <c r="O203">
        <v>1.9330000000000001</v>
      </c>
      <c r="P203">
        <v>106.718</v>
      </c>
      <c r="Q203">
        <v>184.84209999999999</v>
      </c>
      <c r="R203" t="s">
        <v>10</v>
      </c>
      <c r="S203" t="s">
        <v>569</v>
      </c>
      <c r="T203" s="4">
        <v>44835</v>
      </c>
      <c r="U203" s="5">
        <v>7.6354166666666667E-2</v>
      </c>
      <c r="V203" t="s">
        <v>13</v>
      </c>
      <c r="W203">
        <v>1.1659999999999999</v>
      </c>
      <c r="X203">
        <v>3119.3780000000002</v>
      </c>
      <c r="Y203">
        <v>125848.5168</v>
      </c>
      <c r="Z203" t="s">
        <v>1689</v>
      </c>
      <c r="AA203">
        <v>2.2360000000000002</v>
      </c>
      <c r="AB203">
        <v>64.340299999999999</v>
      </c>
      <c r="AC203">
        <v>6.5000000000000002E-2</v>
      </c>
      <c r="AD203" t="s">
        <v>10</v>
      </c>
      <c r="AE203">
        <f>P203*'Run 1 Curve Parameters'!$D$3+'Run 1 Curve Parameters'!$E$3</f>
        <v>233.60041792638839</v>
      </c>
      <c r="AF203">
        <f>K203*'Run 1 Curve Parameters'!$D$2+'Run 1 Curve Parameters'!$E$2</f>
        <v>-107.07591334223319</v>
      </c>
    </row>
    <row r="204" spans="1:32">
      <c r="A204" s="2">
        <v>203</v>
      </c>
      <c r="B204" s="2" t="s">
        <v>559</v>
      </c>
      <c r="C204" s="2" t="s">
        <v>570</v>
      </c>
      <c r="D204" s="2">
        <v>203</v>
      </c>
      <c r="E204" s="3" t="str">
        <f>D204&amp;"g"</f>
        <v>203g</v>
      </c>
      <c r="F204" t="s">
        <v>571</v>
      </c>
      <c r="G204" s="4">
        <v>44835</v>
      </c>
      <c r="H204" s="5">
        <v>8.0115740740740737E-2</v>
      </c>
      <c r="I204" t="s">
        <v>9</v>
      </c>
      <c r="J204">
        <v>1.403</v>
      </c>
      <c r="K204">
        <v>6.8470000000000004</v>
      </c>
      <c r="L204">
        <v>29.932700000000001</v>
      </c>
      <c r="M204" t="s">
        <v>10</v>
      </c>
      <c r="N204" t="s">
        <v>11</v>
      </c>
      <c r="O204">
        <v>1.9359999999999999</v>
      </c>
      <c r="P204">
        <v>6940.1198999999997</v>
      </c>
      <c r="Q204">
        <v>25439.3629</v>
      </c>
      <c r="R204" t="s">
        <v>10</v>
      </c>
      <c r="S204" t="s">
        <v>572</v>
      </c>
      <c r="T204" s="4">
        <v>44835</v>
      </c>
      <c r="U204" s="5">
        <v>8.0115740740740737E-2</v>
      </c>
      <c r="V204" t="s">
        <v>13</v>
      </c>
      <c r="W204">
        <v>1.1599999999999999</v>
      </c>
      <c r="X204">
        <v>3150.6165000000001</v>
      </c>
      <c r="Y204">
        <v>128837.1511</v>
      </c>
      <c r="Z204" t="s">
        <v>1689</v>
      </c>
      <c r="AA204">
        <v>2.2200000000000002</v>
      </c>
      <c r="AB204">
        <v>237.16419999999999</v>
      </c>
      <c r="AC204">
        <v>0.77329999999999999</v>
      </c>
      <c r="AD204" t="s">
        <v>10</v>
      </c>
      <c r="AE204">
        <f>P204*'Run 1 Curve Parameters'!$D$3+'Run 1 Curve Parameters'!$E$3</f>
        <v>28748.866944087935</v>
      </c>
      <c r="AF204">
        <f>K204*'Run 1 Curve Parameters'!$D$2+'Run 1 Curve Parameters'!$E$2</f>
        <v>-67.080545924588648</v>
      </c>
    </row>
    <row r="205" spans="1:32">
      <c r="A205" s="2">
        <v>204</v>
      </c>
      <c r="B205" s="2" t="s">
        <v>196</v>
      </c>
      <c r="C205" s="2" t="s">
        <v>196</v>
      </c>
      <c r="D205" s="2">
        <v>204</v>
      </c>
      <c r="E205" s="2" t="s">
        <v>196</v>
      </c>
      <c r="F205" t="s">
        <v>573</v>
      </c>
      <c r="G205" s="4">
        <v>44835</v>
      </c>
      <c r="H205" s="5">
        <v>8.3877314814814807E-2</v>
      </c>
      <c r="I205" t="s">
        <v>9</v>
      </c>
      <c r="J205">
        <v>1.4</v>
      </c>
      <c r="K205">
        <v>0.23619999999999999</v>
      </c>
      <c r="L205">
        <v>1.3394999999999999</v>
      </c>
      <c r="M205" t="s">
        <v>10</v>
      </c>
      <c r="N205" t="s">
        <v>11</v>
      </c>
      <c r="O205">
        <v>1.923</v>
      </c>
      <c r="P205">
        <v>118.35120000000001</v>
      </c>
      <c r="Q205">
        <v>227.8355</v>
      </c>
      <c r="R205" t="s">
        <v>10</v>
      </c>
      <c r="S205" t="s">
        <v>574</v>
      </c>
      <c r="T205" s="4">
        <v>44835</v>
      </c>
      <c r="U205" s="5">
        <v>8.3877314814814807E-2</v>
      </c>
      <c r="V205" t="s">
        <v>13</v>
      </c>
      <c r="W205">
        <v>1.1599999999999999</v>
      </c>
      <c r="X205">
        <v>3172.9184</v>
      </c>
      <c r="Y205">
        <v>131010.43799999999</v>
      </c>
      <c r="Z205" t="s">
        <v>1689</v>
      </c>
      <c r="AA205">
        <v>2.2229999999999999</v>
      </c>
      <c r="AB205">
        <v>69.796199999999999</v>
      </c>
      <c r="AC205">
        <v>8.7300000000000003E-2</v>
      </c>
      <c r="AD205" t="s">
        <v>10</v>
      </c>
      <c r="AE205">
        <f>P205*'Run 1 Curve Parameters'!$D$3+'Run 1 Curve Parameters'!$E$3</f>
        <v>282.14487695376425</v>
      </c>
      <c r="AF205">
        <f>K205*'Run 1 Curve Parameters'!$D$2+'Run 1 Curve Parameters'!$E$2</f>
        <v>-107.33286375861181</v>
      </c>
    </row>
    <row r="206" spans="1:32">
      <c r="A206" s="2">
        <v>205</v>
      </c>
      <c r="B206" s="2" t="s">
        <v>559</v>
      </c>
      <c r="C206" s="2" t="s">
        <v>575</v>
      </c>
      <c r="D206" s="2">
        <v>205</v>
      </c>
      <c r="E206" s="3" t="str">
        <f>D206&amp;"g"</f>
        <v>205g</v>
      </c>
      <c r="F206" t="s">
        <v>576</v>
      </c>
      <c r="G206" s="4">
        <v>44835</v>
      </c>
      <c r="H206" s="5">
        <v>8.7627314814814825E-2</v>
      </c>
      <c r="I206" t="s">
        <v>9</v>
      </c>
      <c r="J206">
        <v>1.403</v>
      </c>
      <c r="K206">
        <v>7613.1767</v>
      </c>
      <c r="L206">
        <v>32928.987399999998</v>
      </c>
      <c r="M206" t="s">
        <v>10</v>
      </c>
      <c r="N206" t="s">
        <v>11</v>
      </c>
      <c r="O206">
        <v>1.95</v>
      </c>
      <c r="P206">
        <v>6493.1071000000002</v>
      </c>
      <c r="Q206">
        <v>23787.316999999999</v>
      </c>
      <c r="R206" t="s">
        <v>10</v>
      </c>
      <c r="S206" t="s">
        <v>577</v>
      </c>
      <c r="T206" s="4">
        <v>44835</v>
      </c>
      <c r="U206" s="5">
        <v>8.7627314814814825E-2</v>
      </c>
      <c r="V206" t="s">
        <v>13</v>
      </c>
      <c r="W206">
        <v>1.1659999999999999</v>
      </c>
      <c r="X206">
        <v>3350.8748000000001</v>
      </c>
      <c r="Y206">
        <v>150486.45439999999</v>
      </c>
      <c r="Z206" t="s">
        <v>1689</v>
      </c>
      <c r="AA206">
        <v>2.2330000000000001</v>
      </c>
      <c r="AB206">
        <v>219.5309</v>
      </c>
      <c r="AC206">
        <v>0.70109999999999995</v>
      </c>
      <c r="AD206" t="s">
        <v>10</v>
      </c>
      <c r="AE206">
        <f>P206*'Run 1 Curve Parameters'!$D$3+'Run 1 Curve Parameters'!$E$3</f>
        <v>26883.516519930134</v>
      </c>
      <c r="AF206">
        <f>K206*'Run 1 Curve Parameters'!$D$2+'Run 1 Curve Parameters'!$E$2</f>
        <v>46246.890627726112</v>
      </c>
    </row>
    <row r="207" spans="1:32">
      <c r="A207" s="2">
        <v>206</v>
      </c>
      <c r="B207" s="2" t="s">
        <v>196</v>
      </c>
      <c r="C207" s="2" t="s">
        <v>196</v>
      </c>
      <c r="D207" s="2">
        <v>206</v>
      </c>
      <c r="E207" s="2" t="s">
        <v>196</v>
      </c>
      <c r="F207" t="s">
        <v>578</v>
      </c>
      <c r="G207" s="4">
        <v>44835</v>
      </c>
      <c r="H207" s="5">
        <v>9.1388888888888895E-2</v>
      </c>
      <c r="I207" t="s">
        <v>9</v>
      </c>
      <c r="J207">
        <v>1.413</v>
      </c>
      <c r="K207">
        <v>15.2491</v>
      </c>
      <c r="L207">
        <v>66.273600000000002</v>
      </c>
      <c r="M207" t="s">
        <v>10</v>
      </c>
      <c r="N207" t="s">
        <v>11</v>
      </c>
      <c r="O207">
        <v>1.9330000000000001</v>
      </c>
      <c r="P207">
        <v>113.7659</v>
      </c>
      <c r="Q207">
        <v>210.88939999999999</v>
      </c>
      <c r="R207" t="s">
        <v>10</v>
      </c>
      <c r="S207" t="s">
        <v>579</v>
      </c>
      <c r="T207" s="4">
        <v>44835</v>
      </c>
      <c r="U207" s="5">
        <v>9.1388888888888895E-2</v>
      </c>
      <c r="V207" t="s">
        <v>13</v>
      </c>
      <c r="W207">
        <v>1.1659999999999999</v>
      </c>
      <c r="X207">
        <v>3215.6556</v>
      </c>
      <c r="Y207">
        <v>135309.16800000001</v>
      </c>
      <c r="Z207" t="s">
        <v>1689</v>
      </c>
      <c r="AA207">
        <v>2.2360000000000002</v>
      </c>
      <c r="AB207">
        <v>65.271600000000007</v>
      </c>
      <c r="AC207">
        <v>6.88E-2</v>
      </c>
      <c r="AD207" t="s">
        <v>10</v>
      </c>
      <c r="AE207">
        <f>P207*'Run 1 Curve Parameters'!$D$3+'Run 1 Curve Parameters'!$E$3</f>
        <v>263.01076871370765</v>
      </c>
      <c r="AF207">
        <f>K207*'Run 1 Curve Parameters'!$D$2+'Run 1 Curve Parameters'!$E$2</f>
        <v>-15.921230913811428</v>
      </c>
    </row>
    <row r="208" spans="1:32">
      <c r="A208" s="2">
        <v>207</v>
      </c>
      <c r="B208" s="2" t="s">
        <v>559</v>
      </c>
      <c r="C208" s="2" t="s">
        <v>580</v>
      </c>
      <c r="D208" s="2">
        <v>207</v>
      </c>
      <c r="E208" s="3" t="str">
        <f>D208&amp;"g"</f>
        <v>207g</v>
      </c>
      <c r="F208" t="s">
        <v>581</v>
      </c>
      <c r="G208" s="4">
        <v>44835</v>
      </c>
      <c r="H208" s="5">
        <v>9.5150462962962964E-2</v>
      </c>
      <c r="I208" t="s">
        <v>9</v>
      </c>
      <c r="J208">
        <v>1.4159999999999999</v>
      </c>
      <c r="K208">
        <v>28.827200000000001</v>
      </c>
      <c r="L208">
        <v>125.00190000000001</v>
      </c>
      <c r="M208" t="s">
        <v>10</v>
      </c>
      <c r="N208" t="s">
        <v>11</v>
      </c>
      <c r="O208">
        <v>1.946</v>
      </c>
      <c r="P208">
        <v>2729.4989999999998</v>
      </c>
      <c r="Q208">
        <v>9877.9757000000009</v>
      </c>
      <c r="R208" t="s">
        <v>10</v>
      </c>
      <c r="S208" t="s">
        <v>582</v>
      </c>
      <c r="T208" s="4">
        <v>44835</v>
      </c>
      <c r="U208" s="5">
        <v>9.5150462962962964E-2</v>
      </c>
      <c r="V208" t="s">
        <v>13</v>
      </c>
      <c r="W208">
        <v>1.17</v>
      </c>
      <c r="X208">
        <v>3593.7437</v>
      </c>
      <c r="Y208">
        <v>185035.27770000001</v>
      </c>
      <c r="Z208" t="s">
        <v>1689</v>
      </c>
      <c r="AA208">
        <v>2.2360000000000002</v>
      </c>
      <c r="AB208">
        <v>163.678</v>
      </c>
      <c r="AC208">
        <v>0.47210000000000002</v>
      </c>
      <c r="AD208" t="s">
        <v>10</v>
      </c>
      <c r="AE208">
        <f>P208*'Run 1 Curve Parameters'!$D$3+'Run 1 Curve Parameters'!$E$3</f>
        <v>11178.266098244781</v>
      </c>
      <c r="AF208">
        <f>K208*'Run 1 Curve Parameters'!$D$2+'Run 1 Curve Parameters'!$E$2</f>
        <v>66.754087774115902</v>
      </c>
    </row>
    <row r="209" spans="1:32">
      <c r="A209" s="2">
        <v>208</v>
      </c>
      <c r="B209" s="2" t="s">
        <v>196</v>
      </c>
      <c r="C209" s="2" t="s">
        <v>196</v>
      </c>
      <c r="D209" s="2">
        <v>208</v>
      </c>
      <c r="E209" s="2" t="s">
        <v>196</v>
      </c>
      <c r="F209" t="s">
        <v>583</v>
      </c>
      <c r="G209" s="4">
        <v>44835</v>
      </c>
      <c r="H209" s="5">
        <v>9.8912037037037034E-2</v>
      </c>
      <c r="I209" t="s">
        <v>9</v>
      </c>
      <c r="J209">
        <v>1.4</v>
      </c>
      <c r="K209">
        <v>0.28599999999999998</v>
      </c>
      <c r="L209">
        <v>1.5548999999999999</v>
      </c>
      <c r="M209" t="s">
        <v>10</v>
      </c>
      <c r="N209" t="s">
        <v>11</v>
      </c>
      <c r="O209">
        <v>1.92</v>
      </c>
      <c r="P209">
        <v>94.15</v>
      </c>
      <c r="Q209">
        <v>138.39400000000001</v>
      </c>
      <c r="R209" t="s">
        <v>10</v>
      </c>
      <c r="S209" t="s">
        <v>584</v>
      </c>
      <c r="T209" s="4">
        <v>44835</v>
      </c>
      <c r="U209" s="5">
        <v>9.8912037037037034E-2</v>
      </c>
      <c r="V209" t="s">
        <v>13</v>
      </c>
      <c r="W209">
        <v>1.1599999999999999</v>
      </c>
      <c r="X209">
        <v>3020.9951999999998</v>
      </c>
      <c r="Y209">
        <v>117057.3673</v>
      </c>
      <c r="Z209" t="s">
        <v>1689</v>
      </c>
      <c r="AA209">
        <v>2.2200000000000002</v>
      </c>
      <c r="AB209">
        <v>59.566099999999999</v>
      </c>
      <c r="AC209">
        <v>4.5400000000000003E-2</v>
      </c>
      <c r="AD209" t="s">
        <v>10</v>
      </c>
      <c r="AE209">
        <f>P209*'Run 1 Curve Parameters'!$D$3+'Run 1 Curve Parameters'!$E$3</f>
        <v>181.15510957992649</v>
      </c>
      <c r="AF209">
        <f>K209*'Run 1 Curve Parameters'!$D$2+'Run 1 Curve Parameters'!$E$2</f>
        <v>-107.02963791179533</v>
      </c>
    </row>
    <row r="210" spans="1:32">
      <c r="A210" s="2">
        <v>209</v>
      </c>
      <c r="B210" s="2" t="s">
        <v>559</v>
      </c>
      <c r="C210" s="2" t="s">
        <v>585</v>
      </c>
      <c r="D210" s="2">
        <v>209</v>
      </c>
      <c r="E210" s="3" t="str">
        <f>D210&amp;"g"</f>
        <v>209g</v>
      </c>
      <c r="F210" t="s">
        <v>586</v>
      </c>
      <c r="G210" s="4">
        <v>44835</v>
      </c>
      <c r="H210" s="5">
        <v>0.10266203703703704</v>
      </c>
      <c r="I210" t="s">
        <v>9</v>
      </c>
      <c r="J210">
        <v>1.413</v>
      </c>
      <c r="K210">
        <v>0.47599999999999998</v>
      </c>
      <c r="L210">
        <v>2.3767</v>
      </c>
      <c r="M210" t="s">
        <v>10</v>
      </c>
      <c r="N210" t="s">
        <v>11</v>
      </c>
      <c r="O210">
        <v>1.9359999999999999</v>
      </c>
      <c r="P210">
        <v>135.7576</v>
      </c>
      <c r="Q210">
        <v>292.1651</v>
      </c>
      <c r="R210" t="s">
        <v>10</v>
      </c>
      <c r="S210" t="s">
        <v>587</v>
      </c>
      <c r="T210" s="4">
        <v>44835</v>
      </c>
      <c r="U210" s="5">
        <v>0.10266203703703704</v>
      </c>
      <c r="V210" t="s">
        <v>13</v>
      </c>
      <c r="W210">
        <v>1.17</v>
      </c>
      <c r="X210">
        <v>3700.9036000000001</v>
      </c>
      <c r="Y210">
        <v>200839.08609999999</v>
      </c>
      <c r="Z210" t="s">
        <v>1689</v>
      </c>
      <c r="AA210">
        <v>2.2360000000000002</v>
      </c>
      <c r="AB210">
        <v>90.473799999999997</v>
      </c>
      <c r="AC210">
        <v>0.1721</v>
      </c>
      <c r="AD210" t="s">
        <v>10</v>
      </c>
      <c r="AE210">
        <f>P210*'Run 1 Curve Parameters'!$D$3+'Run 1 Curve Parameters'!$E$3</f>
        <v>354.78046059490475</v>
      </c>
      <c r="AF210">
        <f>K210*'Run 1 Curve Parameters'!$D$2+'Run 1 Curve Parameters'!$E$2</f>
        <v>-105.87275215084894</v>
      </c>
    </row>
    <row r="211" spans="1:32">
      <c r="A211" s="2">
        <v>210</v>
      </c>
      <c r="B211" s="2" t="s">
        <v>196</v>
      </c>
      <c r="C211" s="2" t="s">
        <v>196</v>
      </c>
      <c r="D211" s="2">
        <v>210</v>
      </c>
      <c r="E211" s="2" t="s">
        <v>196</v>
      </c>
      <c r="F211" t="s">
        <v>588</v>
      </c>
      <c r="G211" s="4">
        <v>44835</v>
      </c>
      <c r="H211" s="5">
        <v>0.10642361111111111</v>
      </c>
      <c r="I211" t="s">
        <v>9</v>
      </c>
      <c r="J211">
        <v>1.403</v>
      </c>
      <c r="K211">
        <v>0.32900000000000001</v>
      </c>
      <c r="L211">
        <v>1.7408999999999999</v>
      </c>
      <c r="M211" t="s">
        <v>10</v>
      </c>
      <c r="N211" t="s">
        <v>11</v>
      </c>
      <c r="O211">
        <v>1.923</v>
      </c>
      <c r="P211">
        <v>95.811400000000006</v>
      </c>
      <c r="Q211">
        <v>144.5341</v>
      </c>
      <c r="R211" t="s">
        <v>10</v>
      </c>
      <c r="S211" t="s">
        <v>589</v>
      </c>
      <c r="T211" s="4">
        <v>44835</v>
      </c>
      <c r="U211" s="5">
        <v>0.10642361111111111</v>
      </c>
      <c r="V211" t="s">
        <v>13</v>
      </c>
      <c r="W211">
        <v>1.1599999999999999</v>
      </c>
      <c r="X211">
        <v>3111.7357999999999</v>
      </c>
      <c r="Y211">
        <v>125151.1128</v>
      </c>
      <c r="Z211" t="s">
        <v>1689</v>
      </c>
      <c r="AA211">
        <v>2.2229999999999999</v>
      </c>
      <c r="AB211">
        <v>66.171199999999999</v>
      </c>
      <c r="AC211">
        <v>7.2499999999999995E-2</v>
      </c>
      <c r="AD211" t="s">
        <v>10</v>
      </c>
      <c r="AE211">
        <f>P211*'Run 1 Curve Parameters'!$D$3+'Run 1 Curve Parameters'!$E$3</f>
        <v>188.08800544934184</v>
      </c>
      <c r="AF211">
        <f>K211*'Run 1 Curve Parameters'!$D$2+'Run 1 Curve Parameters'!$E$2</f>
        <v>-106.76781639747588</v>
      </c>
    </row>
    <row r="212" spans="1:32">
      <c r="A212" s="2">
        <v>211</v>
      </c>
      <c r="B212" s="2" t="s">
        <v>559</v>
      </c>
      <c r="C212" s="2" t="s">
        <v>590</v>
      </c>
      <c r="D212" s="2">
        <v>211</v>
      </c>
      <c r="E212" s="3" t="str">
        <f>D212&amp;"g"</f>
        <v>211g</v>
      </c>
      <c r="F212" t="s">
        <v>591</v>
      </c>
      <c r="G212" s="4">
        <v>44835</v>
      </c>
      <c r="H212" s="5">
        <v>0.11018518518518518</v>
      </c>
      <c r="I212" t="s">
        <v>9</v>
      </c>
      <c r="J212">
        <v>1.403</v>
      </c>
      <c r="K212">
        <v>383.74400000000003</v>
      </c>
      <c r="L212">
        <v>1660.0953999999999</v>
      </c>
      <c r="M212" t="s">
        <v>10</v>
      </c>
      <c r="N212" t="s">
        <v>11</v>
      </c>
      <c r="O212">
        <v>1.9330000000000001</v>
      </c>
      <c r="P212">
        <v>4168.4312</v>
      </c>
      <c r="Q212">
        <v>15195.9043</v>
      </c>
      <c r="R212" t="s">
        <v>10</v>
      </c>
      <c r="S212" t="s">
        <v>592</v>
      </c>
      <c r="T212" s="4">
        <v>44835</v>
      </c>
      <c r="U212" s="5">
        <v>0.11018518518518518</v>
      </c>
      <c r="V212" t="s">
        <v>13</v>
      </c>
      <c r="W212">
        <v>1.1599999999999999</v>
      </c>
      <c r="X212">
        <v>3431.7302</v>
      </c>
      <c r="Y212">
        <v>161141.72880000001</v>
      </c>
      <c r="Z212" t="s">
        <v>1689</v>
      </c>
      <c r="AA212">
        <v>2.2200000000000002</v>
      </c>
      <c r="AB212">
        <v>192.64580000000001</v>
      </c>
      <c r="AC212">
        <v>0.59089999999999998</v>
      </c>
      <c r="AD212" t="s">
        <v>10</v>
      </c>
      <c r="AE212">
        <f>P212*'Run 1 Curve Parameters'!$D$3+'Run 1 Curve Parameters'!$E$3</f>
        <v>17182.820754407476</v>
      </c>
      <c r="AF212">
        <f>K212*'Run 1 Curve Parameters'!$D$2+'Run 1 Curve Parameters'!$E$2</f>
        <v>2227.7972048302108</v>
      </c>
    </row>
    <row r="213" spans="1:32">
      <c r="A213" s="2">
        <v>212</v>
      </c>
      <c r="B213" s="2" t="s">
        <v>196</v>
      </c>
      <c r="C213" s="2" t="s">
        <v>196</v>
      </c>
      <c r="D213" s="2">
        <v>212</v>
      </c>
      <c r="E213" s="2" t="s">
        <v>196</v>
      </c>
      <c r="F213" t="s">
        <v>593</v>
      </c>
      <c r="G213" s="4">
        <v>44835</v>
      </c>
      <c r="H213" s="5">
        <v>0.11394675925925928</v>
      </c>
      <c r="I213" t="s">
        <v>9</v>
      </c>
      <c r="J213">
        <v>1.413</v>
      </c>
      <c r="K213">
        <v>0.79169999999999996</v>
      </c>
      <c r="L213">
        <v>3.7422</v>
      </c>
      <c r="M213" t="s">
        <v>10</v>
      </c>
      <c r="N213" t="s">
        <v>11</v>
      </c>
      <c r="O213">
        <v>1.9359999999999999</v>
      </c>
      <c r="P213">
        <v>103.09869999999999</v>
      </c>
      <c r="Q213">
        <v>171.46610000000001</v>
      </c>
      <c r="R213" t="s">
        <v>10</v>
      </c>
      <c r="S213" t="s">
        <v>594</v>
      </c>
      <c r="T213" s="4">
        <v>44835</v>
      </c>
      <c r="U213" s="5">
        <v>0.11394675925925928</v>
      </c>
      <c r="V213" t="s">
        <v>13</v>
      </c>
      <c r="W213">
        <v>1.17</v>
      </c>
      <c r="X213">
        <v>3167.7894000000001</v>
      </c>
      <c r="Y213">
        <v>130510.6246</v>
      </c>
      <c r="Z213" t="s">
        <v>1689</v>
      </c>
      <c r="AA213">
        <v>2.2360000000000002</v>
      </c>
      <c r="AB213">
        <v>63.577199999999998</v>
      </c>
      <c r="AC213">
        <v>6.1800000000000001E-2</v>
      </c>
      <c r="AD213" t="s">
        <v>10</v>
      </c>
      <c r="AE213">
        <f>P213*'Run 1 Curve Parameters'!$D$3+'Run 1 Curve Parameters'!$E$3</f>
        <v>218.49735423301235</v>
      </c>
      <c r="AF213">
        <f>K213*'Run 1 Curve Parameters'!$D$2+'Run 1 Curve Parameters'!$E$2</f>
        <v>-103.95049512595013</v>
      </c>
    </row>
    <row r="214" spans="1:32">
      <c r="A214" s="2">
        <v>213</v>
      </c>
      <c r="B214" s="2" t="s">
        <v>238</v>
      </c>
      <c r="C214" s="2" t="s">
        <v>239</v>
      </c>
      <c r="D214" s="2">
        <v>213</v>
      </c>
      <c r="E214" s="3" t="s">
        <v>595</v>
      </c>
      <c r="F214" t="s">
        <v>596</v>
      </c>
      <c r="G214" s="4">
        <v>44835</v>
      </c>
      <c r="H214" s="5">
        <v>0.11770833333333335</v>
      </c>
      <c r="I214" t="s">
        <v>9</v>
      </c>
      <c r="J214">
        <v>1.413</v>
      </c>
      <c r="K214">
        <v>0.69059999999999999</v>
      </c>
      <c r="L214">
        <v>3.3048999999999999</v>
      </c>
      <c r="M214" t="s">
        <v>10</v>
      </c>
      <c r="N214" t="s">
        <v>11</v>
      </c>
      <c r="O214">
        <v>1.9359999999999999</v>
      </c>
      <c r="P214">
        <v>166.64019999999999</v>
      </c>
      <c r="Q214">
        <v>406.29939999999999</v>
      </c>
      <c r="R214" t="s">
        <v>10</v>
      </c>
      <c r="S214" t="s">
        <v>597</v>
      </c>
      <c r="T214" s="4">
        <v>44835</v>
      </c>
      <c r="U214" s="5">
        <v>0.11770833333333335</v>
      </c>
      <c r="V214" t="s">
        <v>13</v>
      </c>
      <c r="W214">
        <v>1.17</v>
      </c>
      <c r="X214">
        <v>3957.5295999999998</v>
      </c>
      <c r="Y214">
        <v>238685.96859999999</v>
      </c>
      <c r="Z214" t="s">
        <v>1689</v>
      </c>
      <c r="AA214">
        <v>2.2360000000000002</v>
      </c>
      <c r="AB214">
        <v>110.3672</v>
      </c>
      <c r="AC214">
        <v>0.25359999999999999</v>
      </c>
      <c r="AD214" t="s">
        <v>10</v>
      </c>
      <c r="AE214">
        <f>P214*'Run 1 Curve Parameters'!$D$3+'Run 1 Curve Parameters'!$E$3</f>
        <v>483.65120212422073</v>
      </c>
      <c r="AF214">
        <f>K214*'Run 1 Curve Parameters'!$D$2+'Run 1 Curve Parameters'!$E$2</f>
        <v>-104.56608012822213</v>
      </c>
    </row>
    <row r="215" spans="1:32">
      <c r="A215" s="2">
        <v>214</v>
      </c>
      <c r="B215" s="2" t="s">
        <v>196</v>
      </c>
      <c r="C215" s="2" t="s">
        <v>196</v>
      </c>
      <c r="D215" s="2">
        <v>214</v>
      </c>
      <c r="E215" s="2" t="s">
        <v>196</v>
      </c>
      <c r="F215" t="s">
        <v>598</v>
      </c>
      <c r="G215" s="4">
        <v>44835</v>
      </c>
      <c r="H215" s="5">
        <v>0.12146990740740742</v>
      </c>
      <c r="I215" t="s">
        <v>9</v>
      </c>
      <c r="J215">
        <v>1.4</v>
      </c>
      <c r="K215">
        <v>0.34960000000000002</v>
      </c>
      <c r="L215">
        <v>1.83</v>
      </c>
      <c r="M215" t="s">
        <v>10</v>
      </c>
      <c r="N215" t="s">
        <v>11</v>
      </c>
      <c r="O215">
        <v>1.92</v>
      </c>
      <c r="P215">
        <v>90.382499999999993</v>
      </c>
      <c r="Q215">
        <v>124.47029999999999</v>
      </c>
      <c r="R215" t="s">
        <v>10</v>
      </c>
      <c r="S215" t="s">
        <v>599</v>
      </c>
      <c r="T215" s="4">
        <v>44835</v>
      </c>
      <c r="U215" s="5">
        <v>0.12146990740740742</v>
      </c>
      <c r="V215" t="s">
        <v>13</v>
      </c>
      <c r="W215">
        <v>1.1599999999999999</v>
      </c>
      <c r="X215">
        <v>3027.2914000000001</v>
      </c>
      <c r="Y215">
        <v>117597.614</v>
      </c>
      <c r="Z215" t="s">
        <v>1689</v>
      </c>
      <c r="AA215">
        <v>2.2200000000000002</v>
      </c>
      <c r="AB215">
        <v>59.7654</v>
      </c>
      <c r="AC215">
        <v>4.6199999999999998E-2</v>
      </c>
      <c r="AD215" t="s">
        <v>10</v>
      </c>
      <c r="AE215">
        <f>P215*'Run 1 Curve Parameters'!$D$3+'Run 1 Curve Parameters'!$E$3</f>
        <v>165.43361855547585</v>
      </c>
      <c r="AF215">
        <f>K215*'Run 1 Curve Parameters'!$D$2+'Run 1 Curve Parameters'!$E$2</f>
        <v>-106.6423856254996</v>
      </c>
    </row>
    <row r="216" spans="1:32">
      <c r="A216" s="2">
        <v>215</v>
      </c>
      <c r="B216" s="2" t="s">
        <v>559</v>
      </c>
      <c r="C216" s="2" t="s">
        <v>600</v>
      </c>
      <c r="D216" s="2">
        <v>215</v>
      </c>
      <c r="E216" s="3" t="str">
        <f>D216&amp;"g"</f>
        <v>215g</v>
      </c>
      <c r="F216" t="s">
        <v>601</v>
      </c>
      <c r="G216" s="4">
        <v>44835</v>
      </c>
      <c r="H216" s="5">
        <v>0.12523148148148147</v>
      </c>
      <c r="I216" t="s">
        <v>9</v>
      </c>
      <c r="J216">
        <v>1.4159999999999999</v>
      </c>
      <c r="K216">
        <v>140.2218</v>
      </c>
      <c r="L216">
        <v>606.80820000000006</v>
      </c>
      <c r="M216" t="s">
        <v>10</v>
      </c>
      <c r="N216" t="s">
        <v>11</v>
      </c>
      <c r="O216">
        <v>1.95</v>
      </c>
      <c r="P216">
        <v>5305.1566000000003</v>
      </c>
      <c r="Q216">
        <v>19396.953099999999</v>
      </c>
      <c r="R216" t="s">
        <v>10</v>
      </c>
      <c r="S216" t="s">
        <v>602</v>
      </c>
      <c r="T216" s="4">
        <v>44835</v>
      </c>
      <c r="U216" s="5">
        <v>0.12523148148148147</v>
      </c>
      <c r="V216" t="s">
        <v>13</v>
      </c>
      <c r="W216">
        <v>1.17</v>
      </c>
      <c r="X216">
        <v>3374.8141999999998</v>
      </c>
      <c r="Y216">
        <v>153423.1452</v>
      </c>
      <c r="Z216" t="s">
        <v>1689</v>
      </c>
      <c r="AA216">
        <v>2.2360000000000002</v>
      </c>
      <c r="AB216">
        <v>211.86580000000001</v>
      </c>
      <c r="AC216">
        <v>0.66959999999999997</v>
      </c>
      <c r="AD216" t="s">
        <v>10</v>
      </c>
      <c r="AE216">
        <f>P216*'Run 1 Curve Parameters'!$D$3+'Run 1 Curve Parameters'!$E$3</f>
        <v>21926.289413562092</v>
      </c>
      <c r="AF216">
        <f>K216*'Run 1 Curve Parameters'!$D$2+'Run 1 Curve Parameters'!$E$2</f>
        <v>745.02159612316234</v>
      </c>
    </row>
    <row r="217" spans="1:32">
      <c r="A217" s="2">
        <v>216</v>
      </c>
      <c r="B217" s="2" t="s">
        <v>196</v>
      </c>
      <c r="C217" s="2" t="s">
        <v>196</v>
      </c>
      <c r="D217" s="2">
        <v>216</v>
      </c>
      <c r="E217" s="2" t="s">
        <v>196</v>
      </c>
      <c r="F217" t="s">
        <v>603</v>
      </c>
      <c r="G217" s="4">
        <v>44835</v>
      </c>
      <c r="H217" s="5">
        <v>0.12898148148148147</v>
      </c>
      <c r="I217" t="s">
        <v>9</v>
      </c>
      <c r="J217">
        <v>1.413</v>
      </c>
      <c r="K217">
        <v>0.57310000000000005</v>
      </c>
      <c r="L217">
        <v>2.7967</v>
      </c>
      <c r="M217" t="s">
        <v>10</v>
      </c>
      <c r="N217" t="s">
        <v>11</v>
      </c>
      <c r="O217">
        <v>1.9359999999999999</v>
      </c>
      <c r="P217">
        <v>120.5372</v>
      </c>
      <c r="Q217">
        <v>235.9144</v>
      </c>
      <c r="R217" t="s">
        <v>10</v>
      </c>
      <c r="S217" t="s">
        <v>604</v>
      </c>
      <c r="T217" s="4">
        <v>44835</v>
      </c>
      <c r="U217" s="5">
        <v>0.12898148148148147</v>
      </c>
      <c r="V217" t="s">
        <v>13</v>
      </c>
      <c r="W217">
        <v>1.1659999999999999</v>
      </c>
      <c r="X217">
        <v>3242.0160000000001</v>
      </c>
      <c r="Y217">
        <v>138064.9204</v>
      </c>
      <c r="Z217" t="s">
        <v>1689</v>
      </c>
      <c r="AA217">
        <v>2.2400000000000002</v>
      </c>
      <c r="AB217">
        <v>67.620099999999994</v>
      </c>
      <c r="AC217">
        <v>7.8399999999999997E-2</v>
      </c>
      <c r="AD217" t="s">
        <v>10</v>
      </c>
      <c r="AE217">
        <f>P217*'Run 1 Curve Parameters'!$D$3+'Run 1 Curve Parameters'!$E$3</f>
        <v>291.26688873331273</v>
      </c>
      <c r="AF217">
        <f>K217*'Run 1 Curve Parameters'!$D$2+'Run 1 Curve Parameters'!$E$2</f>
        <v>-105.28152263828107</v>
      </c>
    </row>
    <row r="218" spans="1:32">
      <c r="A218" s="2">
        <v>217</v>
      </c>
      <c r="B218" s="2" t="s">
        <v>559</v>
      </c>
      <c r="C218" s="2" t="s">
        <v>605</v>
      </c>
      <c r="D218" s="2">
        <v>217</v>
      </c>
      <c r="E218" s="3" t="str">
        <f>D218&amp;"g"</f>
        <v>217g</v>
      </c>
      <c r="F218" t="s">
        <v>606</v>
      </c>
      <c r="G218" s="4">
        <v>44835</v>
      </c>
      <c r="H218" s="5">
        <v>0.13274305555555557</v>
      </c>
      <c r="I218" t="s">
        <v>9</v>
      </c>
      <c r="J218">
        <v>1.413</v>
      </c>
      <c r="K218">
        <v>73.814999999999998</v>
      </c>
      <c r="L218">
        <v>319.58409999999998</v>
      </c>
      <c r="M218" t="s">
        <v>10</v>
      </c>
      <c r="N218" t="s">
        <v>11</v>
      </c>
      <c r="O218">
        <v>1.94</v>
      </c>
      <c r="P218">
        <v>946.59479999999996</v>
      </c>
      <c r="Q218">
        <v>3288.8137999999999</v>
      </c>
      <c r="R218" t="s">
        <v>10</v>
      </c>
      <c r="S218" t="s">
        <v>607</v>
      </c>
      <c r="T218" s="4">
        <v>44835</v>
      </c>
      <c r="U218" s="5">
        <v>0.13274305555555557</v>
      </c>
      <c r="V218" t="s">
        <v>13</v>
      </c>
      <c r="W218">
        <v>1.1659999999999999</v>
      </c>
      <c r="X218">
        <v>3624.9688999999998</v>
      </c>
      <c r="Y218">
        <v>189640.33129999999</v>
      </c>
      <c r="Z218" t="s">
        <v>1689</v>
      </c>
      <c r="AA218">
        <v>2.2360000000000002</v>
      </c>
      <c r="AB218">
        <v>115.0698</v>
      </c>
      <c r="AC218">
        <v>0.27289999999999998</v>
      </c>
      <c r="AD218" t="s">
        <v>10</v>
      </c>
      <c r="AE218">
        <f>P218*'Run 1 Curve Parameters'!$D$3+'Run 1 Curve Parameters'!$E$3</f>
        <v>3738.3424412427221</v>
      </c>
      <c r="AF218">
        <f>K218*'Run 1 Curve Parameters'!$D$2+'Run 1 Curve Parameters'!$E$2</f>
        <v>340.6790627020319</v>
      </c>
    </row>
    <row r="219" spans="1:32">
      <c r="A219" s="2">
        <v>218</v>
      </c>
      <c r="B219" s="2" t="s">
        <v>196</v>
      </c>
      <c r="C219" s="2" t="s">
        <v>196</v>
      </c>
      <c r="D219" s="2">
        <v>218</v>
      </c>
      <c r="E219" s="2" t="s">
        <v>196</v>
      </c>
      <c r="F219" t="s">
        <v>608</v>
      </c>
      <c r="G219" s="4">
        <v>44835</v>
      </c>
      <c r="H219" s="5">
        <v>0.13650462962962964</v>
      </c>
      <c r="I219" t="s">
        <v>9</v>
      </c>
      <c r="J219">
        <v>1.41</v>
      </c>
      <c r="K219">
        <v>0.33579999999999999</v>
      </c>
      <c r="L219">
        <v>1.7703</v>
      </c>
      <c r="M219" t="s">
        <v>10</v>
      </c>
      <c r="N219" t="s">
        <v>11</v>
      </c>
      <c r="O219">
        <v>1.9359999999999999</v>
      </c>
      <c r="P219">
        <v>84.378799999999998</v>
      </c>
      <c r="Q219">
        <v>102.2821</v>
      </c>
      <c r="R219" t="s">
        <v>10</v>
      </c>
      <c r="S219" t="s">
        <v>609</v>
      </c>
      <c r="T219" s="4">
        <v>44835</v>
      </c>
      <c r="U219" s="5">
        <v>0.13650462962962964</v>
      </c>
      <c r="V219" t="s">
        <v>13</v>
      </c>
      <c r="W219">
        <v>1.17</v>
      </c>
      <c r="X219">
        <v>2922.6904</v>
      </c>
      <c r="Y219">
        <v>108887.8812</v>
      </c>
      <c r="Z219" t="s">
        <v>1689</v>
      </c>
      <c r="AA219">
        <v>2.2400000000000002</v>
      </c>
      <c r="AB219">
        <v>51.297400000000003</v>
      </c>
      <c r="AC219">
        <v>1.15E-2</v>
      </c>
      <c r="AD219" t="s">
        <v>10</v>
      </c>
      <c r="AE219">
        <f>P219*'Run 1 Curve Parameters'!$D$3+'Run 1 Curve Parameters'!$E$3</f>
        <v>140.38063496861616</v>
      </c>
      <c r="AF219">
        <f>K219*'Run 1 Curve Parameters'!$D$2+'Run 1 Curve Parameters'!$E$2</f>
        <v>-106.72641206497886</v>
      </c>
    </row>
    <row r="220" spans="1:32">
      <c r="A220" s="2">
        <v>219</v>
      </c>
      <c r="B220" s="2" t="s">
        <v>559</v>
      </c>
      <c r="C220" s="2" t="s">
        <v>610</v>
      </c>
      <c r="D220" s="2">
        <v>219</v>
      </c>
      <c r="E220" s="3" t="str">
        <f>D220&amp;"g"</f>
        <v>219g</v>
      </c>
      <c r="F220" t="s">
        <v>611</v>
      </c>
      <c r="G220" s="4">
        <v>44835</v>
      </c>
      <c r="H220" s="5">
        <v>0.14025462962962962</v>
      </c>
      <c r="I220" t="s">
        <v>9</v>
      </c>
      <c r="J220">
        <v>1.41</v>
      </c>
      <c r="K220">
        <v>2690.2786000000001</v>
      </c>
      <c r="L220">
        <v>11636.366599999999</v>
      </c>
      <c r="M220" t="s">
        <v>10</v>
      </c>
      <c r="N220" t="s">
        <v>11</v>
      </c>
      <c r="O220">
        <v>1.9430000000000001</v>
      </c>
      <c r="P220">
        <v>11658.6572</v>
      </c>
      <c r="Q220">
        <v>42877.880400000002</v>
      </c>
      <c r="R220" t="s">
        <v>10</v>
      </c>
      <c r="S220" t="s">
        <v>612</v>
      </c>
      <c r="T220" s="4">
        <v>44835</v>
      </c>
      <c r="U220" s="5">
        <v>0.14025462962962962</v>
      </c>
      <c r="V220" t="s">
        <v>13</v>
      </c>
      <c r="W220">
        <v>1.1659999999999999</v>
      </c>
      <c r="X220">
        <v>2917.0201999999999</v>
      </c>
      <c r="Y220">
        <v>108428.77589999999</v>
      </c>
      <c r="Z220" t="s">
        <v>1689</v>
      </c>
      <c r="AA220">
        <v>2.2330000000000001</v>
      </c>
      <c r="AB220">
        <v>270.21969999999999</v>
      </c>
      <c r="AC220">
        <v>0.90880000000000005</v>
      </c>
      <c r="AD220" t="s">
        <v>10</v>
      </c>
      <c r="AE220">
        <f>P220*'Run 1 Curve Parameters'!$D$3+'Run 1 Curve Parameters'!$E$3</f>
        <v>48438.964305862421</v>
      </c>
      <c r="AF220">
        <f>K220*'Run 1 Curve Parameters'!$D$2+'Run 1 Curve Parameters'!$E$2</f>
        <v>16271.992130462733</v>
      </c>
    </row>
    <row r="221" spans="1:32">
      <c r="A221" s="2">
        <v>220</v>
      </c>
      <c r="B221" s="2" t="s">
        <v>196</v>
      </c>
      <c r="C221" s="2" t="s">
        <v>196</v>
      </c>
      <c r="D221" s="2">
        <v>220</v>
      </c>
      <c r="E221" s="2" t="s">
        <v>196</v>
      </c>
      <c r="F221" t="s">
        <v>613</v>
      </c>
      <c r="G221" s="4">
        <v>44835</v>
      </c>
      <c r="H221" s="5">
        <v>0.14400462962962965</v>
      </c>
      <c r="I221" t="s">
        <v>9</v>
      </c>
      <c r="J221">
        <v>1.403</v>
      </c>
      <c r="K221">
        <v>0.72</v>
      </c>
      <c r="L221">
        <v>3.4321000000000002</v>
      </c>
      <c r="M221" t="s">
        <v>10</v>
      </c>
      <c r="N221" t="s">
        <v>11</v>
      </c>
      <c r="O221">
        <v>1.9259999999999999</v>
      </c>
      <c r="P221">
        <v>98.389200000000002</v>
      </c>
      <c r="Q221">
        <v>154.06100000000001</v>
      </c>
      <c r="R221" t="s">
        <v>10</v>
      </c>
      <c r="S221" t="s">
        <v>614</v>
      </c>
      <c r="T221" s="4">
        <v>44835</v>
      </c>
      <c r="U221" s="5">
        <v>0.14400462962962965</v>
      </c>
      <c r="V221" t="s">
        <v>13</v>
      </c>
      <c r="W221">
        <v>1.1559999999999999</v>
      </c>
      <c r="X221">
        <v>3026.8352</v>
      </c>
      <c r="Y221">
        <v>117558.4697</v>
      </c>
      <c r="Z221" t="s">
        <v>1689</v>
      </c>
      <c r="AA221">
        <v>2.23</v>
      </c>
      <c r="AB221">
        <v>60.126800000000003</v>
      </c>
      <c r="AC221">
        <v>4.7699999999999999E-2</v>
      </c>
      <c r="AD221" t="s">
        <v>10</v>
      </c>
      <c r="AE221">
        <f>P221*'Run 1 Curve Parameters'!$D$3+'Run 1 Curve Parameters'!$E$3</f>
        <v>198.84496883695397</v>
      </c>
      <c r="AF221">
        <f>K221*'Run 1 Curve Parameters'!$D$2+'Run 1 Curve Parameters'!$E$2</f>
        <v>-104.38706727889674</v>
      </c>
    </row>
    <row r="222" spans="1:32">
      <c r="A222" s="2">
        <v>221</v>
      </c>
      <c r="B222" s="2" t="s">
        <v>559</v>
      </c>
      <c r="C222" s="2" t="s">
        <v>615</v>
      </c>
      <c r="D222" s="2">
        <v>221</v>
      </c>
      <c r="E222" s="3" t="str">
        <f>D222&amp;"g"</f>
        <v>221g</v>
      </c>
      <c r="F222" t="s">
        <v>616</v>
      </c>
      <c r="G222" s="4">
        <v>44835</v>
      </c>
      <c r="H222" s="5">
        <v>0.14776620370370372</v>
      </c>
      <c r="I222" t="s">
        <v>9</v>
      </c>
      <c r="J222">
        <v>1.413</v>
      </c>
      <c r="K222">
        <v>3.5024999999999999</v>
      </c>
      <c r="L222">
        <v>15.467000000000001</v>
      </c>
      <c r="M222" t="s">
        <v>10</v>
      </c>
      <c r="N222" t="s">
        <v>11</v>
      </c>
      <c r="O222">
        <v>1.95</v>
      </c>
      <c r="P222">
        <v>2785.8735999999999</v>
      </c>
      <c r="Q222">
        <v>10086.321900000001</v>
      </c>
      <c r="R222" t="s">
        <v>10</v>
      </c>
      <c r="S222" t="s">
        <v>617</v>
      </c>
      <c r="T222" s="4">
        <v>44835</v>
      </c>
      <c r="U222" s="5">
        <v>0.14776620370370372</v>
      </c>
      <c r="V222" t="s">
        <v>13</v>
      </c>
      <c r="W222">
        <v>1.17</v>
      </c>
      <c r="X222">
        <v>3568.6370999999999</v>
      </c>
      <c r="Y222">
        <v>181332.5877</v>
      </c>
      <c r="Z222" t="s">
        <v>1689</v>
      </c>
      <c r="AA222">
        <v>2.2360000000000002</v>
      </c>
      <c r="AB222">
        <v>166.7576</v>
      </c>
      <c r="AC222">
        <v>0.48470000000000002</v>
      </c>
      <c r="AD222" t="s">
        <v>10</v>
      </c>
      <c r="AE222">
        <f>P222*'Run 1 Curve Parameters'!$D$3+'Run 1 Curve Parameters'!$E$3</f>
        <v>11413.513017397268</v>
      </c>
      <c r="AF222">
        <f>K222*'Run 1 Curve Parameters'!$D$2+'Run 1 Curve Parameters'!$E$2</f>
        <v>-87.444779753458135</v>
      </c>
    </row>
    <row r="223" spans="1:32">
      <c r="A223" s="2">
        <v>222</v>
      </c>
      <c r="B223" s="2" t="s">
        <v>196</v>
      </c>
      <c r="C223" s="2" t="s">
        <v>196</v>
      </c>
      <c r="D223" s="2">
        <v>222</v>
      </c>
      <c r="E223" s="2" t="s">
        <v>196</v>
      </c>
      <c r="F223" t="s">
        <v>618</v>
      </c>
      <c r="G223" s="4">
        <v>44835</v>
      </c>
      <c r="H223" s="5">
        <v>0.15151620370370369</v>
      </c>
      <c r="I223" t="s">
        <v>9</v>
      </c>
      <c r="J223">
        <v>1.4</v>
      </c>
      <c r="K223">
        <v>0.30759999999999998</v>
      </c>
      <c r="L223">
        <v>1.6484000000000001</v>
      </c>
      <c r="M223" t="s">
        <v>10</v>
      </c>
      <c r="N223" t="s">
        <v>11</v>
      </c>
      <c r="O223">
        <v>1.9259999999999999</v>
      </c>
      <c r="P223">
        <v>108.8094</v>
      </c>
      <c r="Q223">
        <v>192.57140000000001</v>
      </c>
      <c r="R223" t="s">
        <v>10</v>
      </c>
      <c r="S223" t="s">
        <v>619</v>
      </c>
      <c r="T223" s="4">
        <v>44835</v>
      </c>
      <c r="U223" s="5">
        <v>0.15151620370370369</v>
      </c>
      <c r="V223" t="s">
        <v>13</v>
      </c>
      <c r="W223">
        <v>1.1599999999999999</v>
      </c>
      <c r="X223">
        <v>3136.8602000000001</v>
      </c>
      <c r="Y223">
        <v>127496.6201</v>
      </c>
      <c r="Z223" t="s">
        <v>1689</v>
      </c>
      <c r="AA223">
        <v>2.23</v>
      </c>
      <c r="AB223">
        <v>65.281400000000005</v>
      </c>
      <c r="AC223">
        <v>6.88E-2</v>
      </c>
      <c r="AD223" t="s">
        <v>10</v>
      </c>
      <c r="AE223">
        <f>P223*'Run 1 Curve Parameters'!$D$3+'Run 1 Curve Parameters'!$E$3</f>
        <v>242.32767109919149</v>
      </c>
      <c r="AF223">
        <f>K223*'Run 1 Curve Parameters'!$D$2+'Run 1 Curve Parameters'!$E$2</f>
        <v>-106.898118267393</v>
      </c>
    </row>
    <row r="224" spans="1:32">
      <c r="A224" s="2">
        <v>223</v>
      </c>
      <c r="B224" s="2" t="s">
        <v>559</v>
      </c>
      <c r="C224" s="2" t="s">
        <v>620</v>
      </c>
      <c r="D224" s="2">
        <v>223</v>
      </c>
      <c r="E224" s="3" t="str">
        <f>D224&amp;"g"</f>
        <v>223g</v>
      </c>
      <c r="F224" t="s">
        <v>621</v>
      </c>
      <c r="G224" s="4">
        <v>44835</v>
      </c>
      <c r="H224" s="5">
        <v>0.1552662037037037</v>
      </c>
      <c r="I224" t="s">
        <v>9</v>
      </c>
      <c r="J224">
        <v>1.413</v>
      </c>
      <c r="K224">
        <v>3.3048999999999999</v>
      </c>
      <c r="L224">
        <v>14.612299999999999</v>
      </c>
      <c r="M224" t="s">
        <v>10</v>
      </c>
      <c r="N224" t="s">
        <v>11</v>
      </c>
      <c r="O224">
        <v>1.95</v>
      </c>
      <c r="P224">
        <v>3129.2105999999999</v>
      </c>
      <c r="Q224">
        <v>11355.2084</v>
      </c>
      <c r="R224" t="s">
        <v>10</v>
      </c>
      <c r="S224" t="s">
        <v>622</v>
      </c>
      <c r="T224" s="4">
        <v>44835</v>
      </c>
      <c r="U224" s="5">
        <v>0.1552662037037037</v>
      </c>
      <c r="V224" t="s">
        <v>13</v>
      </c>
      <c r="W224">
        <v>1.1659999999999999</v>
      </c>
      <c r="X224">
        <v>3576.0248000000001</v>
      </c>
      <c r="Y224">
        <v>182422.1164</v>
      </c>
      <c r="Z224" t="s">
        <v>1689</v>
      </c>
      <c r="AA224">
        <v>2.2400000000000002</v>
      </c>
      <c r="AB224">
        <v>171.52709999999999</v>
      </c>
      <c r="AC224">
        <v>0.50429999999999997</v>
      </c>
      <c r="AD224" t="s">
        <v>10</v>
      </c>
      <c r="AE224">
        <f>P224*'Run 1 Curve Parameters'!$D$3+'Run 1 Curve Parameters'!$E$3</f>
        <v>12846.232211521168</v>
      </c>
      <c r="AF224">
        <f>K224*'Run 1 Curve Parameters'!$D$2+'Run 1 Curve Parameters'!$E$2</f>
        <v>-88.647940944842389</v>
      </c>
    </row>
    <row r="225" spans="1:32">
      <c r="A225" s="2">
        <v>224</v>
      </c>
      <c r="B225" s="2" t="s">
        <v>196</v>
      </c>
      <c r="C225" s="2" t="s">
        <v>196</v>
      </c>
      <c r="D225" s="2">
        <v>224</v>
      </c>
      <c r="E225" s="2" t="s">
        <v>196</v>
      </c>
      <c r="F225" t="s">
        <v>623</v>
      </c>
      <c r="G225" s="4">
        <v>44835</v>
      </c>
      <c r="H225" s="5">
        <v>0.15902777777777777</v>
      </c>
      <c r="I225" t="s">
        <v>9</v>
      </c>
      <c r="J225">
        <v>1.41</v>
      </c>
      <c r="K225">
        <v>0.30380000000000001</v>
      </c>
      <c r="L225">
        <v>1.6318999999999999</v>
      </c>
      <c r="M225" t="s">
        <v>10</v>
      </c>
      <c r="N225" t="s">
        <v>11</v>
      </c>
      <c r="O225">
        <v>1.9430000000000001</v>
      </c>
      <c r="P225">
        <v>109.55329999999999</v>
      </c>
      <c r="Q225">
        <v>195.32069999999999</v>
      </c>
      <c r="R225" t="s">
        <v>10</v>
      </c>
      <c r="S225" t="s">
        <v>624</v>
      </c>
      <c r="T225" s="4">
        <v>44835</v>
      </c>
      <c r="U225" s="5">
        <v>0.15902777777777777</v>
      </c>
      <c r="V225" t="s">
        <v>13</v>
      </c>
      <c r="W225">
        <v>1.17</v>
      </c>
      <c r="X225">
        <v>3230.6334000000002</v>
      </c>
      <c r="Y225">
        <v>136874.96780000001</v>
      </c>
      <c r="Z225" t="s">
        <v>1689</v>
      </c>
      <c r="AA225">
        <v>2.2429999999999999</v>
      </c>
      <c r="AB225">
        <v>68.621799999999993</v>
      </c>
      <c r="AC225">
        <v>8.2500000000000004E-2</v>
      </c>
      <c r="AD225" t="s">
        <v>10</v>
      </c>
      <c r="AE225">
        <f>P225*'Run 1 Curve Parameters'!$D$3+'Run 1 Curve Parameters'!$E$3</f>
        <v>245.43190923405251</v>
      </c>
      <c r="AF225">
        <f>K225*'Run 1 Curve Parameters'!$D$2+'Run 1 Curve Parameters'!$E$2</f>
        <v>-106.92125598261194</v>
      </c>
    </row>
    <row r="226" spans="1:32">
      <c r="A226" s="2">
        <v>225</v>
      </c>
      <c r="B226" s="2" t="s">
        <v>559</v>
      </c>
      <c r="C226" s="2" t="s">
        <v>625</v>
      </c>
      <c r="D226" s="2">
        <v>225</v>
      </c>
      <c r="E226" s="3" t="str">
        <f>D226&amp;"g"</f>
        <v>225g</v>
      </c>
      <c r="F226" t="s">
        <v>626</v>
      </c>
      <c r="G226" s="4">
        <v>44835</v>
      </c>
      <c r="H226" s="5">
        <v>0.16278935185185187</v>
      </c>
      <c r="I226" t="s">
        <v>9</v>
      </c>
      <c r="J226">
        <v>1.403</v>
      </c>
      <c r="K226">
        <v>20.550999999999998</v>
      </c>
      <c r="L226">
        <v>89.205500000000001</v>
      </c>
      <c r="M226" t="s">
        <v>10</v>
      </c>
      <c r="N226" t="s">
        <v>11</v>
      </c>
      <c r="O226">
        <v>1.9359999999999999</v>
      </c>
      <c r="P226">
        <v>1843.472</v>
      </c>
      <c r="Q226">
        <v>6603.4445999999998</v>
      </c>
      <c r="R226" t="s">
        <v>10</v>
      </c>
      <c r="S226" t="s">
        <v>627</v>
      </c>
      <c r="T226" s="4">
        <v>44835</v>
      </c>
      <c r="U226" s="5">
        <v>0.16278935185185187</v>
      </c>
      <c r="V226" t="s">
        <v>13</v>
      </c>
      <c r="W226">
        <v>1.1599999999999999</v>
      </c>
      <c r="X226">
        <v>3502.1235000000001</v>
      </c>
      <c r="Y226">
        <v>171523.24489999999</v>
      </c>
      <c r="Z226" t="s">
        <v>1689</v>
      </c>
      <c r="AA226">
        <v>2.226</v>
      </c>
      <c r="AB226">
        <v>141.99639999999999</v>
      </c>
      <c r="AC226">
        <v>0.38329999999999997</v>
      </c>
      <c r="AD226" t="s">
        <v>10</v>
      </c>
      <c r="AE226">
        <f>P226*'Run 1 Curve Parameters'!$D$3+'Run 1 Curve Parameters'!$E$3</f>
        <v>7480.942799526566</v>
      </c>
      <c r="AF226">
        <f>K226*'Run 1 Curve Parameters'!$D$2+'Run 1 Curve Parameters'!$E$2</f>
        <v>16.361361801776297</v>
      </c>
    </row>
    <row r="227" spans="1:32">
      <c r="A227" s="2">
        <v>226</v>
      </c>
      <c r="B227" s="2" t="s">
        <v>196</v>
      </c>
      <c r="C227" s="2" t="s">
        <v>196</v>
      </c>
      <c r="D227" s="2">
        <v>226</v>
      </c>
      <c r="E227" s="2" t="s">
        <v>196</v>
      </c>
      <c r="F227" t="s">
        <v>628</v>
      </c>
      <c r="G227" s="4">
        <v>44835</v>
      </c>
      <c r="H227" s="5">
        <v>0.16653935185185184</v>
      </c>
      <c r="I227" t="s">
        <v>9</v>
      </c>
      <c r="J227">
        <v>1.4159999999999999</v>
      </c>
      <c r="K227">
        <v>0.3624</v>
      </c>
      <c r="L227">
        <v>1.8854</v>
      </c>
      <c r="M227" t="s">
        <v>10</v>
      </c>
      <c r="N227" t="s">
        <v>11</v>
      </c>
      <c r="O227">
        <v>1.9430000000000001</v>
      </c>
      <c r="P227">
        <v>103.911</v>
      </c>
      <c r="Q227">
        <v>174.4682</v>
      </c>
      <c r="R227" t="s">
        <v>10</v>
      </c>
      <c r="S227" t="s">
        <v>629</v>
      </c>
      <c r="T227" s="4">
        <v>44835</v>
      </c>
      <c r="U227" s="5">
        <v>0.16653935185185184</v>
      </c>
      <c r="V227" t="s">
        <v>13</v>
      </c>
      <c r="W227">
        <v>1.1659999999999999</v>
      </c>
      <c r="X227">
        <v>3136.7156</v>
      </c>
      <c r="Y227">
        <v>127482.52899999999</v>
      </c>
      <c r="Z227" t="s">
        <v>1689</v>
      </c>
      <c r="AA227">
        <v>2.246</v>
      </c>
      <c r="AB227">
        <v>60.8142</v>
      </c>
      <c r="AC227">
        <v>5.0500000000000003E-2</v>
      </c>
      <c r="AD227" t="s">
        <v>10</v>
      </c>
      <c r="AE227">
        <f>P227*'Run 1 Curve Parameters'!$D$3+'Run 1 Curve Parameters'!$E$3</f>
        <v>221.88702036683088</v>
      </c>
      <c r="AF227">
        <f>K227*'Run 1 Curve Parameters'!$D$2+'Run 1 Curve Parameters'!$E$2</f>
        <v>-106.56444805844636</v>
      </c>
    </row>
    <row r="228" spans="1:32">
      <c r="A228" s="2">
        <v>227</v>
      </c>
      <c r="B228" s="2" t="s">
        <v>192</v>
      </c>
      <c r="C228" s="2" t="s">
        <v>630</v>
      </c>
      <c r="D228" s="2">
        <v>227</v>
      </c>
      <c r="E228" s="3" t="str">
        <f>D228&amp;"g"</f>
        <v>227g</v>
      </c>
      <c r="F228" t="s">
        <v>631</v>
      </c>
      <c r="G228" s="4">
        <v>44835</v>
      </c>
      <c r="H228" s="5">
        <v>0.17028935185185187</v>
      </c>
      <c r="I228" t="s">
        <v>9</v>
      </c>
      <c r="J228">
        <v>1.413</v>
      </c>
      <c r="K228">
        <v>152.03620000000001</v>
      </c>
      <c r="L228">
        <v>657.90800000000002</v>
      </c>
      <c r="M228" t="s">
        <v>10</v>
      </c>
      <c r="N228" t="s">
        <v>11</v>
      </c>
      <c r="O228">
        <v>1.9430000000000001</v>
      </c>
      <c r="P228">
        <v>1158.6368</v>
      </c>
      <c r="Q228">
        <v>4072.4672999999998</v>
      </c>
      <c r="R228" t="s">
        <v>10</v>
      </c>
      <c r="S228" t="s">
        <v>632</v>
      </c>
      <c r="T228" s="4">
        <v>44835</v>
      </c>
      <c r="U228" s="5">
        <v>0.17028935185185187</v>
      </c>
      <c r="V228" t="s">
        <v>13</v>
      </c>
      <c r="W228">
        <v>1.17</v>
      </c>
      <c r="X228">
        <v>3518.5513999999998</v>
      </c>
      <c r="Y228">
        <v>173946.0111</v>
      </c>
      <c r="Z228" t="s">
        <v>1689</v>
      </c>
      <c r="AA228">
        <v>2.2400000000000002</v>
      </c>
      <c r="AB228">
        <v>120.3142</v>
      </c>
      <c r="AC228">
        <v>0.2944</v>
      </c>
      <c r="AD228" t="s">
        <v>10</v>
      </c>
      <c r="AE228">
        <f>P228*'Run 1 Curve Parameters'!$D$3+'Run 1 Curve Parameters'!$E$3</f>
        <v>4623.1775838589274</v>
      </c>
      <c r="AF228">
        <f>K228*'Run 1 Curve Parameters'!$D$2+'Run 1 Curve Parameters'!$E$2</f>
        <v>816.95797051329419</v>
      </c>
    </row>
    <row r="229" spans="1:32">
      <c r="A229" s="2">
        <v>228</v>
      </c>
      <c r="B229" s="2" t="s">
        <v>196</v>
      </c>
      <c r="C229" s="2" t="s">
        <v>196</v>
      </c>
      <c r="D229" s="2">
        <v>228</v>
      </c>
      <c r="E229" s="2" t="s">
        <v>196</v>
      </c>
      <c r="F229" t="s">
        <v>633</v>
      </c>
      <c r="G229" s="4">
        <v>44835</v>
      </c>
      <c r="H229" s="5">
        <v>0.17403935185185185</v>
      </c>
      <c r="I229" t="s">
        <v>9</v>
      </c>
      <c r="J229">
        <v>1.413</v>
      </c>
      <c r="K229">
        <v>0.30420000000000003</v>
      </c>
      <c r="L229">
        <v>1.6336999999999999</v>
      </c>
      <c r="M229" t="s">
        <v>10</v>
      </c>
      <c r="N229" t="s">
        <v>11</v>
      </c>
      <c r="O229">
        <v>1.94</v>
      </c>
      <c r="P229">
        <v>93.293000000000006</v>
      </c>
      <c r="Q229">
        <v>135.22669999999999</v>
      </c>
      <c r="R229" t="s">
        <v>10</v>
      </c>
      <c r="S229" t="s">
        <v>634</v>
      </c>
      <c r="T229" s="4">
        <v>44835</v>
      </c>
      <c r="U229" s="5">
        <v>0.17403935185185185</v>
      </c>
      <c r="V229" t="s">
        <v>13</v>
      </c>
      <c r="W229">
        <v>1.1659999999999999</v>
      </c>
      <c r="X229">
        <v>3116.9202</v>
      </c>
      <c r="Y229">
        <v>125624.2254</v>
      </c>
      <c r="Z229" t="s">
        <v>1689</v>
      </c>
      <c r="AA229">
        <v>2.246</v>
      </c>
      <c r="AB229">
        <v>60.366799999999998</v>
      </c>
      <c r="AC229">
        <v>4.87E-2</v>
      </c>
      <c r="AD229" t="s">
        <v>10</v>
      </c>
      <c r="AE229">
        <f>P229*'Run 1 Curve Parameters'!$D$3+'Run 1 Curve Parameters'!$E$3</f>
        <v>177.57891374503492</v>
      </c>
      <c r="AF229">
        <f>K229*'Run 1 Curve Parameters'!$D$2+'Run 1 Curve Parameters'!$E$2</f>
        <v>-106.91882043364151</v>
      </c>
    </row>
    <row r="230" spans="1:32">
      <c r="A230" s="2">
        <v>229</v>
      </c>
      <c r="B230" s="2" t="s">
        <v>275</v>
      </c>
      <c r="C230" s="2" t="s">
        <v>635</v>
      </c>
      <c r="D230" s="2">
        <v>229</v>
      </c>
      <c r="E230" s="3" t="str">
        <f>D230&amp;"g"</f>
        <v>229g</v>
      </c>
      <c r="F230" t="s">
        <v>636</v>
      </c>
      <c r="G230" s="4">
        <v>44835</v>
      </c>
      <c r="H230" s="5">
        <v>0.17778935185185185</v>
      </c>
      <c r="I230" t="s">
        <v>9</v>
      </c>
      <c r="J230">
        <v>1.403</v>
      </c>
      <c r="K230">
        <v>1.2986</v>
      </c>
      <c r="L230">
        <v>5.9345999999999997</v>
      </c>
      <c r="M230" t="s">
        <v>10</v>
      </c>
      <c r="N230" t="s">
        <v>11</v>
      </c>
      <c r="O230">
        <v>1.9259999999999999</v>
      </c>
      <c r="P230">
        <v>187.75319999999999</v>
      </c>
      <c r="Q230">
        <v>484.32769999999999</v>
      </c>
      <c r="R230" t="s">
        <v>10</v>
      </c>
      <c r="S230" t="s">
        <v>637</v>
      </c>
      <c r="T230" s="4">
        <v>44835</v>
      </c>
      <c r="U230" s="5">
        <v>0.17778935185185185</v>
      </c>
      <c r="V230" t="s">
        <v>13</v>
      </c>
      <c r="W230">
        <v>1.1599999999999999</v>
      </c>
      <c r="X230">
        <v>3432.1666</v>
      </c>
      <c r="Y230">
        <v>161206.08850000001</v>
      </c>
      <c r="Z230" t="s">
        <v>1689</v>
      </c>
      <c r="AA230">
        <v>2.23</v>
      </c>
      <c r="AB230">
        <v>82.385800000000003</v>
      </c>
      <c r="AC230">
        <v>0.1389</v>
      </c>
      <c r="AD230" t="s">
        <v>10</v>
      </c>
      <c r="AE230">
        <f>P230*'Run 1 Curve Parameters'!$D$3+'Run 1 Curve Parameters'!$E$3</f>
        <v>571.75414572056457</v>
      </c>
      <c r="AF230">
        <f>K230*'Run 1 Curve Parameters'!$D$2+'Run 1 Curve Parameters'!$E$2</f>
        <v>-100.86404569319367</v>
      </c>
    </row>
    <row r="231" spans="1:32">
      <c r="A231" s="2">
        <v>230</v>
      </c>
      <c r="B231" s="2" t="s">
        <v>196</v>
      </c>
      <c r="C231" s="2" t="s">
        <v>196</v>
      </c>
      <c r="D231" s="2">
        <v>230</v>
      </c>
      <c r="E231" s="2" t="s">
        <v>196</v>
      </c>
      <c r="F231" t="s">
        <v>638</v>
      </c>
      <c r="G231" s="4">
        <v>44835</v>
      </c>
      <c r="H231" s="5">
        <v>0.18153935185185185</v>
      </c>
      <c r="I231" t="s">
        <v>9</v>
      </c>
      <c r="J231">
        <v>1.413</v>
      </c>
      <c r="K231">
        <v>0.40479999999999999</v>
      </c>
      <c r="L231">
        <v>2.0688</v>
      </c>
      <c r="M231" t="s">
        <v>10</v>
      </c>
      <c r="N231" t="s">
        <v>11</v>
      </c>
      <c r="O231">
        <v>1.94</v>
      </c>
      <c r="P231">
        <v>108.30540000000001</v>
      </c>
      <c r="Q231">
        <v>190.7088</v>
      </c>
      <c r="R231" t="s">
        <v>10</v>
      </c>
      <c r="S231" t="s">
        <v>639</v>
      </c>
      <c r="T231" s="4">
        <v>44835</v>
      </c>
      <c r="U231" s="5">
        <v>0.18153935185185185</v>
      </c>
      <c r="V231" t="s">
        <v>13</v>
      </c>
      <c r="W231">
        <v>1.17</v>
      </c>
      <c r="X231">
        <v>3238.1493</v>
      </c>
      <c r="Y231">
        <v>137660.69029999999</v>
      </c>
      <c r="Z231" t="s">
        <v>1689</v>
      </c>
      <c r="AA231">
        <v>2.246</v>
      </c>
      <c r="AB231">
        <v>71.057900000000004</v>
      </c>
      <c r="AC231">
        <v>9.2499999999999999E-2</v>
      </c>
      <c r="AD231" t="s">
        <v>10</v>
      </c>
      <c r="AE231">
        <f>P231*'Run 1 Curve Parameters'!$D$3+'Run 1 Curve Parameters'!$E$3</f>
        <v>240.22451742266253</v>
      </c>
      <c r="AF231">
        <f>K231*'Run 1 Curve Parameters'!$D$2+'Run 1 Curve Parameters'!$E$2</f>
        <v>-106.30627986758253</v>
      </c>
    </row>
    <row r="232" spans="1:32">
      <c r="A232" s="2">
        <v>231</v>
      </c>
      <c r="B232" s="2" t="s">
        <v>275</v>
      </c>
      <c r="C232" s="2" t="s">
        <v>640</v>
      </c>
      <c r="D232" s="2">
        <v>231</v>
      </c>
      <c r="E232" s="3" t="str">
        <f>D232&amp;"g"</f>
        <v>231g</v>
      </c>
      <c r="F232" t="s">
        <v>641</v>
      </c>
      <c r="G232" s="4">
        <v>44835</v>
      </c>
      <c r="H232" s="5">
        <v>0.18530092592592592</v>
      </c>
      <c r="I232" t="s">
        <v>9</v>
      </c>
      <c r="J232">
        <v>1.4059999999999999</v>
      </c>
      <c r="K232">
        <v>1.7791999999999999</v>
      </c>
      <c r="L232">
        <v>8.0134000000000007</v>
      </c>
      <c r="M232" t="s">
        <v>10</v>
      </c>
      <c r="N232" t="s">
        <v>11</v>
      </c>
      <c r="O232">
        <v>1.94</v>
      </c>
      <c r="P232">
        <v>2101.5722000000001</v>
      </c>
      <c r="Q232">
        <v>7557.3175000000001</v>
      </c>
      <c r="R232" t="s">
        <v>10</v>
      </c>
      <c r="S232" t="s">
        <v>642</v>
      </c>
      <c r="T232" s="4">
        <v>44835</v>
      </c>
      <c r="U232" s="5">
        <v>0.18530092592592592</v>
      </c>
      <c r="V232" t="s">
        <v>13</v>
      </c>
      <c r="W232">
        <v>1.1599999999999999</v>
      </c>
      <c r="X232">
        <v>3497.0661</v>
      </c>
      <c r="Y232">
        <v>170777.38579999999</v>
      </c>
      <c r="Z232" t="s">
        <v>1689</v>
      </c>
      <c r="AA232">
        <v>2.2330000000000001</v>
      </c>
      <c r="AB232">
        <v>174.72880000000001</v>
      </c>
      <c r="AC232">
        <v>0.51739999999999997</v>
      </c>
      <c r="AD232" t="s">
        <v>10</v>
      </c>
      <c r="AE232">
        <f>P232*'Run 1 Curve Parameters'!$D$3+'Run 1 Curve Parameters'!$E$3</f>
        <v>8557.9753085402117</v>
      </c>
      <c r="AF232">
        <f>K232*'Run 1 Curve Parameters'!$D$2+'Run 1 Curve Parameters'!$E$2</f>
        <v>-97.937733605241903</v>
      </c>
    </row>
    <row r="233" spans="1:32">
      <c r="A233" s="2">
        <v>232</v>
      </c>
      <c r="B233" s="2" t="s">
        <v>196</v>
      </c>
      <c r="C233" s="2" t="s">
        <v>196</v>
      </c>
      <c r="D233" s="2">
        <v>232</v>
      </c>
      <c r="E233" s="2" t="s">
        <v>196</v>
      </c>
      <c r="F233" t="s">
        <v>643</v>
      </c>
      <c r="G233" s="4">
        <v>44835</v>
      </c>
      <c r="H233" s="5">
        <v>0.18905092592592596</v>
      </c>
      <c r="I233" t="s">
        <v>9</v>
      </c>
      <c r="J233">
        <v>1.41</v>
      </c>
      <c r="K233">
        <v>0.27239999999999998</v>
      </c>
      <c r="L233">
        <v>1.4961</v>
      </c>
      <c r="M233" t="s">
        <v>10</v>
      </c>
      <c r="N233" t="s">
        <v>11</v>
      </c>
      <c r="O233">
        <v>1.9359999999999999</v>
      </c>
      <c r="P233">
        <v>94.0428</v>
      </c>
      <c r="Q233">
        <v>137.99780000000001</v>
      </c>
      <c r="R233" t="s">
        <v>10</v>
      </c>
      <c r="S233" t="s">
        <v>644</v>
      </c>
      <c r="T233" s="4">
        <v>44835</v>
      </c>
      <c r="U233" s="5">
        <v>0.18905092592592596</v>
      </c>
      <c r="V233" t="s">
        <v>13</v>
      </c>
      <c r="W233">
        <v>1.1659999999999999</v>
      </c>
      <c r="X233">
        <v>3038.7707999999998</v>
      </c>
      <c r="Y233">
        <v>118582.60619999999</v>
      </c>
      <c r="Z233" t="s">
        <v>1689</v>
      </c>
      <c r="AA233">
        <v>2.2400000000000002</v>
      </c>
      <c r="AB233">
        <v>60.288200000000003</v>
      </c>
      <c r="AC233">
        <v>4.8300000000000003E-2</v>
      </c>
      <c r="AD233" t="s">
        <v>10</v>
      </c>
      <c r="AE233">
        <f>P233*'Run 1 Curve Parameters'!$D$3+'Run 1 Curve Parameters'!$E$3</f>
        <v>180.70777213126792</v>
      </c>
      <c r="AF233">
        <f>K233*'Run 1 Curve Parameters'!$D$2+'Run 1 Curve Parameters'!$E$2</f>
        <v>-107.1124465767894</v>
      </c>
    </row>
    <row r="234" spans="1:32">
      <c r="A234" s="2">
        <v>233</v>
      </c>
      <c r="B234" s="2" t="s">
        <v>238</v>
      </c>
      <c r="C234" s="2" t="s">
        <v>239</v>
      </c>
      <c r="D234" s="2">
        <v>233</v>
      </c>
      <c r="E234" s="3" t="s">
        <v>645</v>
      </c>
      <c r="F234" t="s">
        <v>646</v>
      </c>
      <c r="G234" s="4">
        <v>44835</v>
      </c>
      <c r="H234" s="5">
        <v>0.19280092592592593</v>
      </c>
      <c r="I234" t="s">
        <v>9</v>
      </c>
      <c r="J234">
        <v>1.413</v>
      </c>
      <c r="K234">
        <v>0.66520000000000001</v>
      </c>
      <c r="L234">
        <v>3.1951000000000001</v>
      </c>
      <c r="M234" t="s">
        <v>10</v>
      </c>
      <c r="N234" t="s">
        <v>11</v>
      </c>
      <c r="O234">
        <v>1.9430000000000001</v>
      </c>
      <c r="P234">
        <v>165.5016</v>
      </c>
      <c r="Q234">
        <v>402.09140000000002</v>
      </c>
      <c r="R234" t="s">
        <v>10</v>
      </c>
      <c r="S234" t="s">
        <v>647</v>
      </c>
      <c r="T234" s="4">
        <v>44835</v>
      </c>
      <c r="U234" s="5">
        <v>0.19280092592592593</v>
      </c>
      <c r="V234" t="s">
        <v>13</v>
      </c>
      <c r="W234">
        <v>1.17</v>
      </c>
      <c r="X234">
        <v>3936.2907</v>
      </c>
      <c r="Y234">
        <v>235553.68210000001</v>
      </c>
      <c r="Z234" t="s">
        <v>1689</v>
      </c>
      <c r="AA234">
        <v>2.246</v>
      </c>
      <c r="AB234">
        <v>105.8147</v>
      </c>
      <c r="AC234">
        <v>0.2349</v>
      </c>
      <c r="AD234" t="s">
        <v>10</v>
      </c>
      <c r="AE234">
        <f>P234*'Run 1 Curve Parameters'!$D$3+'Run 1 Curve Parameters'!$E$3</f>
        <v>478.89991090180808</v>
      </c>
      <c r="AF234">
        <f>K234*'Run 1 Curve Parameters'!$D$2+'Run 1 Curve Parameters'!$E$2</f>
        <v>-104.72073748784338</v>
      </c>
    </row>
    <row r="235" spans="1:32">
      <c r="A235" s="2">
        <v>234</v>
      </c>
      <c r="B235" s="2" t="s">
        <v>196</v>
      </c>
      <c r="C235" s="2" t="s">
        <v>196</v>
      </c>
      <c r="D235" s="2">
        <v>234</v>
      </c>
      <c r="E235" s="2" t="s">
        <v>196</v>
      </c>
      <c r="F235" t="s">
        <v>648</v>
      </c>
      <c r="G235" s="4">
        <v>44835</v>
      </c>
      <c r="H235" s="5">
        <v>0.1965625</v>
      </c>
      <c r="I235" t="s">
        <v>9</v>
      </c>
      <c r="J235">
        <v>1.403</v>
      </c>
      <c r="K235">
        <v>0.34179999999999999</v>
      </c>
      <c r="L235">
        <v>1.7963</v>
      </c>
      <c r="M235" t="s">
        <v>10</v>
      </c>
      <c r="N235" t="s">
        <v>11</v>
      </c>
      <c r="O235">
        <v>1.9259999999999999</v>
      </c>
      <c r="P235">
        <v>90.892099999999999</v>
      </c>
      <c r="Q235">
        <v>126.3536</v>
      </c>
      <c r="R235" t="s">
        <v>10</v>
      </c>
      <c r="S235" t="s">
        <v>649</v>
      </c>
      <c r="T235" s="4">
        <v>44835</v>
      </c>
      <c r="U235" s="5">
        <v>0.1965625</v>
      </c>
      <c r="V235" t="s">
        <v>13</v>
      </c>
      <c r="W235">
        <v>1.1599999999999999</v>
      </c>
      <c r="X235">
        <v>2995.8661999999999</v>
      </c>
      <c r="Y235">
        <v>114901.1685</v>
      </c>
      <c r="Z235" t="s">
        <v>1689</v>
      </c>
      <c r="AA235">
        <v>2.23</v>
      </c>
      <c r="AB235">
        <v>55.089199999999998</v>
      </c>
      <c r="AC235">
        <v>2.7E-2</v>
      </c>
      <c r="AD235" t="s">
        <v>10</v>
      </c>
      <c r="AE235">
        <f>P235*'Run 1 Curve Parameters'!$D$3+'Run 1 Curve Parameters'!$E$3</f>
        <v>167.56014060618855</v>
      </c>
      <c r="AF235">
        <f>K235*'Run 1 Curve Parameters'!$D$2+'Run 1 Curve Parameters'!$E$2</f>
        <v>-106.68987883042266</v>
      </c>
    </row>
    <row r="236" spans="1:32">
      <c r="A236" s="2">
        <v>235</v>
      </c>
      <c r="B236" s="2" t="s">
        <v>351</v>
      </c>
      <c r="C236" s="2" t="s">
        <v>650</v>
      </c>
      <c r="D236" s="2">
        <v>235</v>
      </c>
      <c r="E236" s="3" t="str">
        <f>D236&amp;"g"</f>
        <v>235g</v>
      </c>
      <c r="F236" t="s">
        <v>651</v>
      </c>
      <c r="G236" s="4">
        <v>44835</v>
      </c>
      <c r="H236" s="5">
        <v>0.2003125</v>
      </c>
      <c r="I236" t="s">
        <v>9</v>
      </c>
      <c r="J236">
        <v>1.413</v>
      </c>
      <c r="K236">
        <v>0.43240000000000001</v>
      </c>
      <c r="L236">
        <v>2.1880999999999999</v>
      </c>
      <c r="M236" t="s">
        <v>10</v>
      </c>
      <c r="N236" t="s">
        <v>11</v>
      </c>
      <c r="O236">
        <v>1.9430000000000001</v>
      </c>
      <c r="P236">
        <v>201.83760000000001</v>
      </c>
      <c r="Q236">
        <v>536.38009999999997</v>
      </c>
      <c r="R236" t="s">
        <v>10</v>
      </c>
      <c r="S236" t="s">
        <v>652</v>
      </c>
      <c r="T236" s="4">
        <v>44835</v>
      </c>
      <c r="U236" s="5">
        <v>0.2003125</v>
      </c>
      <c r="V236" t="s">
        <v>13</v>
      </c>
      <c r="W236">
        <v>1.17</v>
      </c>
      <c r="X236">
        <v>3673.9126000000001</v>
      </c>
      <c r="Y236">
        <v>196858.4871</v>
      </c>
      <c r="Z236" t="s">
        <v>1689</v>
      </c>
      <c r="AA236">
        <v>2.246</v>
      </c>
      <c r="AB236">
        <v>87.660200000000003</v>
      </c>
      <c r="AC236">
        <v>0.1605</v>
      </c>
      <c r="AD236" t="s">
        <v>10</v>
      </c>
      <c r="AE236">
        <f>P236*'Run 1 Curve Parameters'!$D$3+'Run 1 Curve Parameters'!$E$3</f>
        <v>630.52727596204352</v>
      </c>
      <c r="AF236">
        <f>K236*'Run 1 Curve Parameters'!$D$2+'Run 1 Curve Parameters'!$E$2</f>
        <v>-106.13822698862401</v>
      </c>
    </row>
    <row r="237" spans="1:32">
      <c r="A237" s="2">
        <v>236</v>
      </c>
      <c r="B237" s="2" t="s">
        <v>196</v>
      </c>
      <c r="C237" s="2" t="s">
        <v>196</v>
      </c>
      <c r="D237" s="2">
        <v>236</v>
      </c>
      <c r="E237" s="2" t="s">
        <v>196</v>
      </c>
      <c r="F237" t="s">
        <v>653</v>
      </c>
      <c r="G237" s="4">
        <v>44835</v>
      </c>
      <c r="H237" s="5">
        <v>0.20407407407407407</v>
      </c>
      <c r="I237" t="s">
        <v>9</v>
      </c>
      <c r="J237">
        <v>1.4059999999999999</v>
      </c>
      <c r="K237">
        <v>0.38529999999999998</v>
      </c>
      <c r="L237">
        <v>1.9843999999999999</v>
      </c>
      <c r="M237" t="s">
        <v>10</v>
      </c>
      <c r="N237" t="s">
        <v>11</v>
      </c>
      <c r="O237">
        <v>1.93</v>
      </c>
      <c r="P237">
        <v>99.991100000000003</v>
      </c>
      <c r="Q237">
        <v>159.9812</v>
      </c>
      <c r="R237" t="s">
        <v>10</v>
      </c>
      <c r="S237" t="s">
        <v>654</v>
      </c>
      <c r="T237" s="4">
        <v>44835</v>
      </c>
      <c r="U237" s="5">
        <v>0.20407407407407407</v>
      </c>
      <c r="V237" t="s">
        <v>13</v>
      </c>
      <c r="W237">
        <v>1.163</v>
      </c>
      <c r="X237">
        <v>3158.9537999999998</v>
      </c>
      <c r="Y237">
        <v>129649.6085</v>
      </c>
      <c r="Z237" t="s">
        <v>1689</v>
      </c>
      <c r="AA237">
        <v>2.2330000000000001</v>
      </c>
      <c r="AB237">
        <v>63.222200000000001</v>
      </c>
      <c r="AC237">
        <v>6.0400000000000002E-2</v>
      </c>
      <c r="AD237" t="s">
        <v>10</v>
      </c>
      <c r="AE237">
        <f>P237*'Run 1 Curve Parameters'!$D$3+'Run 1 Curve Parameters'!$E$3</f>
        <v>205.52957573066794</v>
      </c>
      <c r="AF237">
        <f>K237*'Run 1 Curve Parameters'!$D$2+'Run 1 Curve Parameters'!$E$2</f>
        <v>-106.42501287989019</v>
      </c>
    </row>
    <row r="238" spans="1:32">
      <c r="A238" s="2">
        <v>237</v>
      </c>
      <c r="B238" s="2" t="s">
        <v>426</v>
      </c>
      <c r="C238" s="2" t="s">
        <v>655</v>
      </c>
      <c r="D238" s="2">
        <v>237</v>
      </c>
      <c r="E238" s="3" t="str">
        <f>D238&amp;"g"</f>
        <v>237g</v>
      </c>
      <c r="F238" t="s">
        <v>656</v>
      </c>
      <c r="G238" s="4">
        <v>44835</v>
      </c>
      <c r="H238" s="5">
        <v>0.20782407407407408</v>
      </c>
      <c r="I238" t="s">
        <v>9</v>
      </c>
      <c r="J238">
        <v>1.4</v>
      </c>
      <c r="K238">
        <v>0.52159999999999995</v>
      </c>
      <c r="L238">
        <v>2.5739999999999998</v>
      </c>
      <c r="M238" t="s">
        <v>10</v>
      </c>
      <c r="N238" t="s">
        <v>11</v>
      </c>
      <c r="O238">
        <v>1.9259999999999999</v>
      </c>
      <c r="P238">
        <v>323.10379999999998</v>
      </c>
      <c r="Q238">
        <v>984.54920000000004</v>
      </c>
      <c r="R238" t="s">
        <v>10</v>
      </c>
      <c r="S238" t="s">
        <v>657</v>
      </c>
      <c r="T238" s="4">
        <v>44835</v>
      </c>
      <c r="U238" s="5">
        <v>0.20782407407407408</v>
      </c>
      <c r="V238" t="s">
        <v>13</v>
      </c>
      <c r="W238">
        <v>1.1599999999999999</v>
      </c>
      <c r="X238">
        <v>3443.5945000000002</v>
      </c>
      <c r="Y238">
        <v>162891.46090000001</v>
      </c>
      <c r="Z238" t="s">
        <v>1689</v>
      </c>
      <c r="AA238">
        <v>2.23</v>
      </c>
      <c r="AB238">
        <v>90.157700000000006</v>
      </c>
      <c r="AC238">
        <v>0.17080000000000001</v>
      </c>
      <c r="AD238" t="s">
        <v>10</v>
      </c>
      <c r="AE238">
        <f>P238*'Run 1 Curve Parameters'!$D$3+'Run 1 Curve Parameters'!$E$3</f>
        <v>1136.56190764598</v>
      </c>
      <c r="AF238">
        <f>K238*'Run 1 Curve Parameters'!$D$2+'Run 1 Curve Parameters'!$E$2</f>
        <v>-105.59509956822181</v>
      </c>
    </row>
    <row r="239" spans="1:32">
      <c r="A239" s="2">
        <v>238</v>
      </c>
      <c r="B239" s="2" t="s">
        <v>196</v>
      </c>
      <c r="C239" s="2" t="s">
        <v>196</v>
      </c>
      <c r="D239" s="2">
        <v>238</v>
      </c>
      <c r="E239" s="2" t="s">
        <v>196</v>
      </c>
      <c r="F239" t="s">
        <v>658</v>
      </c>
      <c r="G239" s="4">
        <v>44835</v>
      </c>
      <c r="H239" s="5">
        <v>0.21157407407407405</v>
      </c>
      <c r="I239" t="s">
        <v>9</v>
      </c>
      <c r="J239">
        <v>1.403</v>
      </c>
      <c r="K239">
        <v>0.32619999999999999</v>
      </c>
      <c r="L239">
        <v>1.7287999999999999</v>
      </c>
      <c r="M239" t="s">
        <v>10</v>
      </c>
      <c r="N239" t="s">
        <v>11</v>
      </c>
      <c r="O239">
        <v>1.9259999999999999</v>
      </c>
      <c r="P239">
        <v>89.845799999999997</v>
      </c>
      <c r="Q239">
        <v>122.4868</v>
      </c>
      <c r="R239" t="s">
        <v>10</v>
      </c>
      <c r="S239" t="s">
        <v>659</v>
      </c>
      <c r="T239" s="4">
        <v>44835</v>
      </c>
      <c r="U239" s="5">
        <v>0.21157407407407405</v>
      </c>
      <c r="V239" t="s">
        <v>13</v>
      </c>
      <c r="W239">
        <v>1.1559999999999999</v>
      </c>
      <c r="X239">
        <v>3025.0239000000001</v>
      </c>
      <c r="Y239">
        <v>117403.05070000001</v>
      </c>
      <c r="Z239" t="s">
        <v>1689</v>
      </c>
      <c r="AA239">
        <v>2.2330000000000001</v>
      </c>
      <c r="AB239">
        <v>57.88</v>
      </c>
      <c r="AC239">
        <v>3.85E-2</v>
      </c>
      <c r="AD239" t="s">
        <v>10</v>
      </c>
      <c r="AE239">
        <f>P239*'Run 1 Curve Parameters'!$D$3+'Run 1 Curve Parameters'!$E$3</f>
        <v>163.19401026541016</v>
      </c>
      <c r="AF239">
        <f>K239*'Run 1 Curve Parameters'!$D$2+'Run 1 Curve Parameters'!$E$2</f>
        <v>-106.78486524026879</v>
      </c>
    </row>
    <row r="240" spans="1:32">
      <c r="A240" s="2">
        <v>239</v>
      </c>
      <c r="B240" s="2" t="s">
        <v>426</v>
      </c>
      <c r="C240" s="2" t="s">
        <v>660</v>
      </c>
      <c r="D240" s="2">
        <v>239</v>
      </c>
      <c r="E240" s="3" t="str">
        <f>D240&amp;"g"</f>
        <v>239g</v>
      </c>
      <c r="F240" t="s">
        <v>661</v>
      </c>
      <c r="G240" s="4">
        <v>44835</v>
      </c>
      <c r="H240" s="5">
        <v>0.21532407407407406</v>
      </c>
      <c r="I240" t="s">
        <v>9</v>
      </c>
      <c r="J240">
        <v>1.413</v>
      </c>
      <c r="K240">
        <v>1.3575999999999999</v>
      </c>
      <c r="L240">
        <v>6.1898</v>
      </c>
      <c r="M240" t="s">
        <v>10</v>
      </c>
      <c r="N240" t="s">
        <v>11</v>
      </c>
      <c r="O240">
        <v>1.94</v>
      </c>
      <c r="P240">
        <v>189.72049999999999</v>
      </c>
      <c r="Q240">
        <v>491.59829999999999</v>
      </c>
      <c r="R240" t="s">
        <v>10</v>
      </c>
      <c r="S240" t="s">
        <v>662</v>
      </c>
      <c r="T240" s="4">
        <v>44835</v>
      </c>
      <c r="U240" s="5">
        <v>0.21532407407407406</v>
      </c>
      <c r="V240" t="s">
        <v>13</v>
      </c>
      <c r="W240">
        <v>1.17</v>
      </c>
      <c r="X240">
        <v>3646.8723</v>
      </c>
      <c r="Y240">
        <v>192870.61739999999</v>
      </c>
      <c r="Z240" t="s">
        <v>1689</v>
      </c>
      <c r="AA240">
        <v>2.2400000000000002</v>
      </c>
      <c r="AB240">
        <v>87.571899999999999</v>
      </c>
      <c r="AC240">
        <v>0.16020000000000001</v>
      </c>
      <c r="AD240" t="s">
        <v>10</v>
      </c>
      <c r="AE240">
        <f>P240*'Run 1 Curve Parameters'!$D$3+'Run 1 Curve Parameters'!$E$3</f>
        <v>579.96353902976205</v>
      </c>
      <c r="AF240">
        <f>K240*'Run 1 Curve Parameters'!$D$2+'Run 1 Curve Parameters'!$E$2</f>
        <v>-100.50480222005768</v>
      </c>
    </row>
    <row r="241" spans="1:32">
      <c r="A241" s="2">
        <v>240</v>
      </c>
      <c r="B241" s="2" t="s">
        <v>196</v>
      </c>
      <c r="C241" s="2" t="s">
        <v>196</v>
      </c>
      <c r="D241" s="2">
        <v>240</v>
      </c>
      <c r="E241" s="2" t="s">
        <v>196</v>
      </c>
      <c r="F241" t="s">
        <v>663</v>
      </c>
      <c r="G241" s="4">
        <v>44835</v>
      </c>
      <c r="H241" s="5">
        <v>0.21907407407407409</v>
      </c>
      <c r="I241" t="s">
        <v>9</v>
      </c>
      <c r="J241">
        <v>1.41</v>
      </c>
      <c r="K241">
        <v>0.3448</v>
      </c>
      <c r="L241">
        <v>1.8092999999999999</v>
      </c>
      <c r="M241" t="s">
        <v>10</v>
      </c>
      <c r="N241" t="s">
        <v>11</v>
      </c>
      <c r="O241">
        <v>1.9330000000000001</v>
      </c>
      <c r="P241">
        <v>96.302599999999998</v>
      </c>
      <c r="Q241">
        <v>146.34950000000001</v>
      </c>
      <c r="R241" t="s">
        <v>10</v>
      </c>
      <c r="S241" t="s">
        <v>664</v>
      </c>
      <c r="T241" s="4">
        <v>44835</v>
      </c>
      <c r="U241" s="5">
        <v>0.21907407407407409</v>
      </c>
      <c r="V241" t="s">
        <v>13</v>
      </c>
      <c r="W241">
        <v>1.1659999999999999</v>
      </c>
      <c r="X241">
        <v>3076.3136</v>
      </c>
      <c r="Y241">
        <v>121918.5903</v>
      </c>
      <c r="Z241" t="s">
        <v>1689</v>
      </c>
      <c r="AA241">
        <v>2.2360000000000002</v>
      </c>
      <c r="AB241">
        <v>60.948399999999999</v>
      </c>
      <c r="AC241">
        <v>5.0999999999999997E-2</v>
      </c>
      <c r="AD241" t="s">
        <v>10</v>
      </c>
      <c r="AE241">
        <f>P241*'Run 1 Curve Parameters'!$D$3+'Run 1 Curve Parameters'!$E$3</f>
        <v>190.13774569916535</v>
      </c>
      <c r="AF241">
        <f>K241*'Run 1 Curve Parameters'!$D$2+'Run 1 Curve Parameters'!$E$2</f>
        <v>-106.67161221314456</v>
      </c>
    </row>
    <row r="242" spans="1:32">
      <c r="A242" s="2">
        <v>241</v>
      </c>
      <c r="B242" s="2" t="s">
        <v>522</v>
      </c>
      <c r="C242" s="2" t="s">
        <v>665</v>
      </c>
      <c r="D242" s="2">
        <v>241</v>
      </c>
      <c r="E242" s="3" t="str">
        <f>D242&amp;"g"</f>
        <v>241g</v>
      </c>
      <c r="F242" t="s">
        <v>666</v>
      </c>
      <c r="G242" s="4">
        <v>44835</v>
      </c>
      <c r="H242" s="5">
        <v>0.22282407407407409</v>
      </c>
      <c r="I242" t="s">
        <v>9</v>
      </c>
      <c r="J242">
        <v>1.403</v>
      </c>
      <c r="K242">
        <v>7.1547999999999998</v>
      </c>
      <c r="L242">
        <v>31.263999999999999</v>
      </c>
      <c r="M242" t="s">
        <v>10</v>
      </c>
      <c r="N242" t="s">
        <v>11</v>
      </c>
      <c r="O242">
        <v>1.9259999999999999</v>
      </c>
      <c r="P242">
        <v>524.31899999999996</v>
      </c>
      <c r="Q242">
        <v>1728.1895999999999</v>
      </c>
      <c r="R242" t="s">
        <v>10</v>
      </c>
      <c r="S242" t="s">
        <v>667</v>
      </c>
      <c r="T242" s="4">
        <v>44835</v>
      </c>
      <c r="U242" s="5">
        <v>0.22282407407407409</v>
      </c>
      <c r="V242" t="s">
        <v>13</v>
      </c>
      <c r="W242">
        <v>1.1599999999999999</v>
      </c>
      <c r="X242">
        <v>3510.2222000000002</v>
      </c>
      <c r="Y242">
        <v>172717.63099999999</v>
      </c>
      <c r="Z242" t="s">
        <v>1689</v>
      </c>
      <c r="AA242">
        <v>2.226</v>
      </c>
      <c r="AB242">
        <v>99.9238</v>
      </c>
      <c r="AC242">
        <v>0.21079999999999999</v>
      </c>
      <c r="AD242" t="s">
        <v>10</v>
      </c>
      <c r="AE242">
        <f>P242*'Run 1 Curve Parameters'!$D$3+'Run 1 Curve Parameters'!$E$3</f>
        <v>1976.2176371172554</v>
      </c>
      <c r="AF242">
        <f>K242*'Run 1 Curve Parameters'!$D$2+'Run 1 Curve Parameters'!$E$2</f>
        <v>-65.2063909918555</v>
      </c>
    </row>
    <row r="243" spans="1:32">
      <c r="A243" s="2">
        <v>242</v>
      </c>
      <c r="B243" s="2" t="s">
        <v>196</v>
      </c>
      <c r="C243" s="2" t="s">
        <v>196</v>
      </c>
      <c r="D243" s="2">
        <v>242</v>
      </c>
      <c r="E243" s="2" t="s">
        <v>196</v>
      </c>
      <c r="F243" t="s">
        <v>668</v>
      </c>
      <c r="G243" s="4">
        <v>44835</v>
      </c>
      <c r="H243" s="5">
        <v>0.22657407407407407</v>
      </c>
      <c r="I243" t="s">
        <v>9</v>
      </c>
      <c r="J243">
        <v>1.413</v>
      </c>
      <c r="K243">
        <v>0.32040000000000002</v>
      </c>
      <c r="L243">
        <v>1.7037</v>
      </c>
      <c r="M243" t="s">
        <v>10</v>
      </c>
      <c r="N243" t="s">
        <v>11</v>
      </c>
      <c r="O243">
        <v>1.9359999999999999</v>
      </c>
      <c r="P243">
        <v>94.071399999999997</v>
      </c>
      <c r="Q243">
        <v>138.1035</v>
      </c>
      <c r="R243" t="s">
        <v>10</v>
      </c>
      <c r="S243" t="s">
        <v>669</v>
      </c>
      <c r="T243" s="4">
        <v>44835</v>
      </c>
      <c r="U243" s="5">
        <v>0.22657407407407407</v>
      </c>
      <c r="V243" t="s">
        <v>13</v>
      </c>
      <c r="W243">
        <v>1.1659999999999999</v>
      </c>
      <c r="X243">
        <v>3116.6214</v>
      </c>
      <c r="Y243">
        <v>125596.9578</v>
      </c>
      <c r="Z243" t="s">
        <v>1689</v>
      </c>
      <c r="AA243">
        <v>2.2400000000000002</v>
      </c>
      <c r="AB243">
        <v>59.892400000000002</v>
      </c>
      <c r="AC243">
        <v>4.6699999999999998E-2</v>
      </c>
      <c r="AD243" t="s">
        <v>10</v>
      </c>
      <c r="AE243">
        <f>P243*'Run 1 Curve Parameters'!$D$3+'Run 1 Curve Parameters'!$E$3</f>
        <v>180.82711775656304</v>
      </c>
      <c r="AF243">
        <f>K243*'Run 1 Curve Parameters'!$D$2+'Run 1 Curve Parameters'!$E$2</f>
        <v>-106.82018070033978</v>
      </c>
    </row>
    <row r="244" spans="1:32">
      <c r="A244" s="2">
        <v>243</v>
      </c>
      <c r="B244" s="2" t="s">
        <v>559</v>
      </c>
      <c r="C244" s="2" t="s">
        <v>670</v>
      </c>
      <c r="D244" s="2">
        <v>243</v>
      </c>
      <c r="E244" s="3" t="str">
        <f>D244&amp;"g"</f>
        <v>243g</v>
      </c>
      <c r="F244" t="s">
        <v>671</v>
      </c>
      <c r="G244" s="4">
        <v>44835</v>
      </c>
      <c r="H244" s="5">
        <v>0.23033564814814814</v>
      </c>
      <c r="I244" t="s">
        <v>9</v>
      </c>
      <c r="J244">
        <v>1.4059999999999999</v>
      </c>
      <c r="K244">
        <v>0.88139999999999996</v>
      </c>
      <c r="L244">
        <v>4.1302000000000003</v>
      </c>
      <c r="M244" t="s">
        <v>10</v>
      </c>
      <c r="N244" t="s">
        <v>11</v>
      </c>
      <c r="O244">
        <v>1.9330000000000001</v>
      </c>
      <c r="P244">
        <v>1217.2526</v>
      </c>
      <c r="Q244">
        <v>4289.0964000000004</v>
      </c>
      <c r="R244" t="s">
        <v>10</v>
      </c>
      <c r="S244" t="s">
        <v>672</v>
      </c>
      <c r="T244" s="4">
        <v>44835</v>
      </c>
      <c r="U244" s="5">
        <v>0.23033564814814814</v>
      </c>
      <c r="V244" t="s">
        <v>13</v>
      </c>
      <c r="W244">
        <v>1.163</v>
      </c>
      <c r="X244">
        <v>3536.8654999999999</v>
      </c>
      <c r="Y244">
        <v>176646.95170000001</v>
      </c>
      <c r="Z244" t="s">
        <v>1689</v>
      </c>
      <c r="AA244">
        <v>2.226</v>
      </c>
      <c r="AB244">
        <v>122.096</v>
      </c>
      <c r="AC244">
        <v>0.30170000000000002</v>
      </c>
      <c r="AD244" t="s">
        <v>10</v>
      </c>
      <c r="AE244">
        <f>P244*'Run 1 Curve Parameters'!$D$3+'Run 1 Curve Parameters'!$E$3</f>
        <v>4867.7768601936295</v>
      </c>
      <c r="AF244">
        <f>K244*'Run 1 Curve Parameters'!$D$2+'Run 1 Curve Parameters'!$E$2</f>
        <v>-103.40432326933491</v>
      </c>
    </row>
    <row r="245" spans="1:32">
      <c r="A245" s="2">
        <v>244</v>
      </c>
      <c r="B245" s="2" t="s">
        <v>196</v>
      </c>
      <c r="C245" s="2" t="s">
        <v>196</v>
      </c>
      <c r="D245" s="2">
        <v>244</v>
      </c>
      <c r="E245" s="2" t="s">
        <v>196</v>
      </c>
      <c r="F245" t="s">
        <v>673</v>
      </c>
      <c r="G245" s="4">
        <v>44835</v>
      </c>
      <c r="H245" s="5">
        <v>0.23408564814814814</v>
      </c>
      <c r="I245" t="s">
        <v>9</v>
      </c>
      <c r="J245">
        <v>1.403</v>
      </c>
      <c r="K245">
        <v>0.32</v>
      </c>
      <c r="L245">
        <v>1.702</v>
      </c>
      <c r="M245" t="s">
        <v>10</v>
      </c>
      <c r="N245" t="s">
        <v>11</v>
      </c>
      <c r="O245">
        <v>1.93</v>
      </c>
      <c r="P245">
        <v>97.825199999999995</v>
      </c>
      <c r="Q245">
        <v>151.97659999999999</v>
      </c>
      <c r="R245" t="s">
        <v>10</v>
      </c>
      <c r="S245" t="s">
        <v>674</v>
      </c>
      <c r="T245" s="4">
        <v>44835</v>
      </c>
      <c r="U245" s="5">
        <v>0.23408564814814814</v>
      </c>
      <c r="V245" t="s">
        <v>13</v>
      </c>
      <c r="W245">
        <v>1.163</v>
      </c>
      <c r="X245">
        <v>3081.7127</v>
      </c>
      <c r="Y245">
        <v>122411.29580000001</v>
      </c>
      <c r="Z245" t="s">
        <v>1689</v>
      </c>
      <c r="AA245">
        <v>2.23</v>
      </c>
      <c r="AB245">
        <v>61.448399999999999</v>
      </c>
      <c r="AC245">
        <v>5.3100000000000001E-2</v>
      </c>
      <c r="AD245" t="s">
        <v>10</v>
      </c>
      <c r="AE245">
        <f>P245*'Run 1 Curve Parameters'!$D$3+'Run 1 Curve Parameters'!$E$3</f>
        <v>196.49143972274288</v>
      </c>
      <c r="AF245">
        <f>K245*'Run 1 Curve Parameters'!$D$2+'Run 1 Curve Parameters'!$E$2</f>
        <v>-106.82261624931019</v>
      </c>
    </row>
    <row r="246" spans="1:32">
      <c r="A246" s="2">
        <v>245</v>
      </c>
      <c r="B246" s="3" t="s">
        <v>5</v>
      </c>
      <c r="C246" s="2" t="s">
        <v>6</v>
      </c>
      <c r="D246" s="2">
        <v>245</v>
      </c>
      <c r="E246" s="2" t="s">
        <v>675</v>
      </c>
      <c r="F246" t="s">
        <v>676</v>
      </c>
      <c r="G246" s="4">
        <v>44835</v>
      </c>
      <c r="H246" s="5">
        <v>0.23784722222222221</v>
      </c>
      <c r="I246" t="s">
        <v>9</v>
      </c>
      <c r="J246">
        <v>1.403</v>
      </c>
      <c r="K246">
        <v>0.33360000000000001</v>
      </c>
      <c r="L246">
        <v>1.7607999999999999</v>
      </c>
      <c r="M246" t="s">
        <v>10</v>
      </c>
      <c r="N246" t="s">
        <v>11</v>
      </c>
      <c r="O246">
        <v>1.9259999999999999</v>
      </c>
      <c r="P246">
        <v>97.990700000000004</v>
      </c>
      <c r="Q246">
        <v>152.5883</v>
      </c>
      <c r="R246" t="s">
        <v>10</v>
      </c>
      <c r="S246" t="s">
        <v>677</v>
      </c>
      <c r="T246" s="4">
        <v>44835</v>
      </c>
      <c r="U246" s="5">
        <v>0.23784722222222221</v>
      </c>
      <c r="V246" t="s">
        <v>13</v>
      </c>
      <c r="W246">
        <v>1.1599999999999999</v>
      </c>
      <c r="X246">
        <v>3119.9901</v>
      </c>
      <c r="Y246">
        <v>125904.3751</v>
      </c>
      <c r="Z246" t="s">
        <v>1689</v>
      </c>
      <c r="AA246">
        <v>2.23</v>
      </c>
      <c r="AB246">
        <v>65.129099999999994</v>
      </c>
      <c r="AC246">
        <v>6.8199999999999997E-2</v>
      </c>
      <c r="AD246" t="s">
        <v>10</v>
      </c>
      <c r="AE246">
        <f>P246*'Run 1 Curve Parameters'!$D$3+'Run 1 Curve Parameters'!$E$3</f>
        <v>197.18205863834919</v>
      </c>
      <c r="AF246">
        <f>K246*'Run 1 Curve Parameters'!$D$2+'Run 1 Curve Parameters'!$E$2</f>
        <v>-106.73980758431613</v>
      </c>
    </row>
    <row r="247" spans="1:32">
      <c r="A247" s="2">
        <v>246</v>
      </c>
      <c r="B247" s="2" t="s">
        <v>196</v>
      </c>
      <c r="C247" s="2" t="s">
        <v>196</v>
      </c>
      <c r="D247" s="2">
        <v>246</v>
      </c>
      <c r="E247" s="2" t="s">
        <v>678</v>
      </c>
      <c r="F247" t="s">
        <v>679</v>
      </c>
      <c r="G247" s="4">
        <v>44835</v>
      </c>
      <c r="H247" s="5">
        <v>0.24159722222222224</v>
      </c>
      <c r="I247" t="s">
        <v>9</v>
      </c>
      <c r="J247">
        <v>1.403</v>
      </c>
      <c r="K247">
        <v>0.32600000000000001</v>
      </c>
      <c r="L247">
        <v>1.7279</v>
      </c>
      <c r="M247" t="s">
        <v>10</v>
      </c>
      <c r="N247" t="s">
        <v>11</v>
      </c>
      <c r="O247">
        <v>1.9259999999999999</v>
      </c>
      <c r="P247">
        <v>96.201400000000007</v>
      </c>
      <c r="Q247">
        <v>145.97550000000001</v>
      </c>
      <c r="R247" t="s">
        <v>10</v>
      </c>
      <c r="S247" t="s">
        <v>680</v>
      </c>
      <c r="T247" s="4">
        <v>44835</v>
      </c>
      <c r="U247" s="5">
        <v>0.24159722222222224</v>
      </c>
      <c r="V247" t="s">
        <v>13</v>
      </c>
      <c r="W247">
        <v>1.1599999999999999</v>
      </c>
      <c r="X247">
        <v>3082.1822000000002</v>
      </c>
      <c r="Y247">
        <v>122454.1409</v>
      </c>
      <c r="Z247" t="s">
        <v>1689</v>
      </c>
      <c r="AA247">
        <v>2.2330000000000001</v>
      </c>
      <c r="AB247">
        <v>62.157400000000003</v>
      </c>
      <c r="AC247">
        <v>5.6000000000000001E-2</v>
      </c>
      <c r="AD247" t="s">
        <v>10</v>
      </c>
      <c r="AE247">
        <f>P247*'Run 1 Curve Parameters'!$D$3+'Run 1 Curve Parameters'!$E$3</f>
        <v>189.71544579427501</v>
      </c>
      <c r="AF247">
        <f>K247*'Run 1 Curve Parameters'!$D$2+'Run 1 Curve Parameters'!$E$2</f>
        <v>-106.78608301475398</v>
      </c>
    </row>
    <row r="248" spans="1:32">
      <c r="A248" s="2">
        <v>247</v>
      </c>
      <c r="B248" s="3" t="s">
        <v>41</v>
      </c>
      <c r="C248" s="2" t="s">
        <v>6</v>
      </c>
      <c r="D248" s="2">
        <v>247</v>
      </c>
      <c r="E248" s="2" t="s">
        <v>681</v>
      </c>
      <c r="F248" t="s">
        <v>682</v>
      </c>
      <c r="G248" s="4">
        <v>44835</v>
      </c>
      <c r="H248" s="5">
        <v>0.24535879629629631</v>
      </c>
      <c r="I248" t="s">
        <v>9</v>
      </c>
      <c r="J248">
        <v>0</v>
      </c>
      <c r="K248">
        <v>0</v>
      </c>
      <c r="L248">
        <v>0</v>
      </c>
      <c r="M248" t="s">
        <v>10</v>
      </c>
      <c r="N248" t="s">
        <v>11</v>
      </c>
      <c r="O248">
        <v>1.9259999999999999</v>
      </c>
      <c r="P248">
        <v>50.495100000000001</v>
      </c>
      <c r="Q248">
        <v>0</v>
      </c>
      <c r="R248" t="s">
        <v>10</v>
      </c>
      <c r="S248" t="s">
        <v>683</v>
      </c>
      <c r="T248" s="4">
        <v>44835</v>
      </c>
      <c r="U248" s="5">
        <v>0.24535879629629631</v>
      </c>
      <c r="V248" t="s">
        <v>13</v>
      </c>
      <c r="W248">
        <v>1.1559999999999999</v>
      </c>
      <c r="X248">
        <v>1221.3876</v>
      </c>
      <c r="Y248">
        <v>11851.144200000001</v>
      </c>
      <c r="Z248" t="s">
        <v>1689</v>
      </c>
      <c r="AA248">
        <v>2.2330000000000001</v>
      </c>
      <c r="AB248">
        <v>20.720199999999998</v>
      </c>
      <c r="AC248">
        <v>0</v>
      </c>
      <c r="AD248" t="s">
        <v>10</v>
      </c>
      <c r="AE248">
        <f>P248*'Run 1 Curve Parameters'!$D$3+'Run 1 Curve Parameters'!$E$3</f>
        <v>-1.0134686611586403</v>
      </c>
      <c r="AF248">
        <f>K248*'Run 1 Curve Parameters'!$D$2+'Run 1 Curve Parameters'!$E$2</f>
        <v>-108.77105542564095</v>
      </c>
    </row>
    <row r="249" spans="1:32">
      <c r="A249" s="2">
        <v>248</v>
      </c>
      <c r="B249" s="3" t="s">
        <v>5</v>
      </c>
      <c r="C249" s="2" t="s">
        <v>6</v>
      </c>
      <c r="D249" s="2">
        <v>248</v>
      </c>
      <c r="E249" s="2" t="s">
        <v>684</v>
      </c>
      <c r="F249" t="s">
        <v>685</v>
      </c>
      <c r="G249" s="4">
        <v>44835</v>
      </c>
      <c r="H249" s="5">
        <v>0.24912037037037038</v>
      </c>
      <c r="I249" t="s">
        <v>9</v>
      </c>
      <c r="J249">
        <v>1.41</v>
      </c>
      <c r="K249">
        <v>0.28160000000000002</v>
      </c>
      <c r="L249">
        <v>1.5359</v>
      </c>
      <c r="M249" t="s">
        <v>10</v>
      </c>
      <c r="N249" t="s">
        <v>11</v>
      </c>
      <c r="O249">
        <v>1.9359999999999999</v>
      </c>
      <c r="P249">
        <v>86.5304</v>
      </c>
      <c r="Q249">
        <v>110.23390000000001</v>
      </c>
      <c r="R249" t="s">
        <v>10</v>
      </c>
      <c r="S249" t="s">
        <v>686</v>
      </c>
      <c r="T249" s="4">
        <v>44835</v>
      </c>
      <c r="U249" s="5">
        <v>0.24912037037037038</v>
      </c>
      <c r="V249" t="s">
        <v>13</v>
      </c>
      <c r="W249">
        <v>1.1659999999999999</v>
      </c>
      <c r="X249">
        <v>3036.54</v>
      </c>
      <c r="Y249">
        <v>118391.19190000001</v>
      </c>
      <c r="Z249" t="s">
        <v>1689</v>
      </c>
      <c r="AA249">
        <v>2.2400000000000002</v>
      </c>
      <c r="AB249">
        <v>54.932600000000001</v>
      </c>
      <c r="AC249">
        <v>2.64E-2</v>
      </c>
      <c r="AD249" t="s">
        <v>10</v>
      </c>
      <c r="AE249">
        <f>P249*'Run 1 Curve Parameters'!$D$3+'Run 1 Curve Parameters'!$E$3</f>
        <v>149.35909816389363</v>
      </c>
      <c r="AF249">
        <f>K249*'Run 1 Curve Parameters'!$D$2+'Run 1 Curve Parameters'!$E$2</f>
        <v>-107.05642895046988</v>
      </c>
    </row>
    <row r="250" spans="1:32">
      <c r="A250" s="2">
        <v>249</v>
      </c>
      <c r="B250" s="3" t="s">
        <v>48</v>
      </c>
      <c r="C250" s="2" t="s">
        <v>6</v>
      </c>
      <c r="D250" s="2">
        <v>249</v>
      </c>
      <c r="E250" s="2" t="s">
        <v>687</v>
      </c>
      <c r="F250" t="s">
        <v>688</v>
      </c>
      <c r="G250" s="4">
        <v>44835</v>
      </c>
      <c r="H250" s="5">
        <v>0.25288194444444445</v>
      </c>
      <c r="I250" t="s">
        <v>9</v>
      </c>
      <c r="J250">
        <v>1.403</v>
      </c>
      <c r="K250">
        <v>0.24460000000000001</v>
      </c>
      <c r="L250">
        <v>1.3758999999999999</v>
      </c>
      <c r="M250" t="s">
        <v>10</v>
      </c>
      <c r="N250" t="s">
        <v>11</v>
      </c>
      <c r="O250">
        <v>1.9259999999999999</v>
      </c>
      <c r="P250">
        <v>90.235799999999998</v>
      </c>
      <c r="Q250">
        <v>123.9281</v>
      </c>
      <c r="R250" t="s">
        <v>10</v>
      </c>
      <c r="S250" t="s">
        <v>689</v>
      </c>
      <c r="T250" s="4">
        <v>44835</v>
      </c>
      <c r="U250" s="5">
        <v>0.25288194444444445</v>
      </c>
      <c r="V250" t="s">
        <v>13</v>
      </c>
      <c r="W250">
        <v>1.1599999999999999</v>
      </c>
      <c r="X250">
        <v>3402.5841999999998</v>
      </c>
      <c r="Y250">
        <v>157137.26319999999</v>
      </c>
      <c r="Z250" t="s">
        <v>1689</v>
      </c>
      <c r="AA250">
        <v>2.226</v>
      </c>
      <c r="AB250">
        <v>64.072800000000001</v>
      </c>
      <c r="AC250">
        <v>6.3899999999999998E-2</v>
      </c>
      <c r="AD250" t="s">
        <v>10</v>
      </c>
      <c r="AE250">
        <f>P250*'Run 1 Curve Parameters'!$D$3+'Run 1 Curve Parameters'!$E$3</f>
        <v>164.82145061034333</v>
      </c>
      <c r="AF250">
        <f>K250*'Run 1 Curve Parameters'!$D$2+'Run 1 Curve Parameters'!$E$2</f>
        <v>-107.28171723023313</v>
      </c>
    </row>
    <row r="251" spans="1:32">
      <c r="A251" s="2">
        <v>250</v>
      </c>
      <c r="B251" s="3" t="s">
        <v>5</v>
      </c>
      <c r="C251" s="2" t="s">
        <v>6</v>
      </c>
      <c r="D251" s="2">
        <v>250</v>
      </c>
      <c r="E251" s="2" t="s">
        <v>690</v>
      </c>
      <c r="F251" t="s">
        <v>691</v>
      </c>
      <c r="G251" s="4">
        <v>44835</v>
      </c>
      <c r="H251" s="5">
        <v>0.25663194444444443</v>
      </c>
      <c r="I251" t="s">
        <v>9</v>
      </c>
      <c r="J251">
        <v>1.4</v>
      </c>
      <c r="K251">
        <v>0.3841</v>
      </c>
      <c r="L251">
        <v>1.9792000000000001</v>
      </c>
      <c r="M251" t="s">
        <v>10</v>
      </c>
      <c r="N251" t="s">
        <v>11</v>
      </c>
      <c r="O251">
        <v>1.923</v>
      </c>
      <c r="P251">
        <v>102.1437</v>
      </c>
      <c r="Q251">
        <v>167.9367</v>
      </c>
      <c r="R251" t="s">
        <v>10</v>
      </c>
      <c r="S251" t="s">
        <v>692</v>
      </c>
      <c r="T251" s="4">
        <v>44835</v>
      </c>
      <c r="U251" s="5">
        <v>0.25663194444444443</v>
      </c>
      <c r="V251" t="s">
        <v>13</v>
      </c>
      <c r="W251">
        <v>1.1599999999999999</v>
      </c>
      <c r="X251">
        <v>3182.0819000000001</v>
      </c>
      <c r="Y251">
        <v>131903.4075</v>
      </c>
      <c r="Z251" t="s">
        <v>1689</v>
      </c>
      <c r="AA251">
        <v>2.226</v>
      </c>
      <c r="AB251">
        <v>65.806200000000004</v>
      </c>
      <c r="AC251">
        <v>7.0999999999999994E-2</v>
      </c>
      <c r="AD251" t="s">
        <v>10</v>
      </c>
      <c r="AE251">
        <f>P251*'Run 1 Curve Parameters'!$D$3+'Run 1 Curve Parameters'!$E$3</f>
        <v>214.51221184990675</v>
      </c>
      <c r="AF251">
        <f>K251*'Run 1 Curve Parameters'!$D$2+'Run 1 Curve Parameters'!$E$2</f>
        <v>-106.43231952680144</v>
      </c>
    </row>
    <row r="252" spans="1:32">
      <c r="A252" s="2">
        <v>251</v>
      </c>
      <c r="B252" s="3" t="s">
        <v>55</v>
      </c>
      <c r="C252" s="2" t="s">
        <v>6</v>
      </c>
      <c r="D252" s="2">
        <v>251</v>
      </c>
      <c r="E252" s="2" t="s">
        <v>693</v>
      </c>
      <c r="F252" t="s">
        <v>694</v>
      </c>
      <c r="G252" s="4">
        <v>44835</v>
      </c>
      <c r="H252" s="5">
        <v>0.26038194444444446</v>
      </c>
      <c r="I252" t="s">
        <v>9</v>
      </c>
      <c r="J252">
        <v>1.403</v>
      </c>
      <c r="K252">
        <v>0.6472</v>
      </c>
      <c r="L252">
        <v>3.1172</v>
      </c>
      <c r="M252" t="s">
        <v>10</v>
      </c>
      <c r="N252" t="s">
        <v>11</v>
      </c>
      <c r="O252">
        <v>1.9259999999999999</v>
      </c>
      <c r="P252">
        <v>164.1139</v>
      </c>
      <c r="Q252">
        <v>396.96280000000002</v>
      </c>
      <c r="R252" t="s">
        <v>10</v>
      </c>
      <c r="S252" t="s">
        <v>695</v>
      </c>
      <c r="T252" s="4">
        <v>44835</v>
      </c>
      <c r="U252" s="5">
        <v>0.26038194444444446</v>
      </c>
      <c r="V252" t="s">
        <v>13</v>
      </c>
      <c r="W252">
        <v>1.163</v>
      </c>
      <c r="X252">
        <v>3833.5668999999998</v>
      </c>
      <c r="Y252">
        <v>220404.1042</v>
      </c>
      <c r="Z252" t="s">
        <v>1689</v>
      </c>
      <c r="AA252">
        <v>2.226</v>
      </c>
      <c r="AB252">
        <v>105.3364</v>
      </c>
      <c r="AC252">
        <v>0.23300000000000001</v>
      </c>
      <c r="AD252" t="s">
        <v>10</v>
      </c>
      <c r="AE252">
        <f>P252*'Run 1 Curve Parameters'!$D$3+'Run 1 Curve Parameters'!$E$3</f>
        <v>473.10914432061895</v>
      </c>
      <c r="AF252">
        <f>K252*'Run 1 Curve Parameters'!$D$2+'Run 1 Curve Parameters'!$E$2</f>
        <v>-104.83033719151199</v>
      </c>
    </row>
    <row r="253" spans="1:32">
      <c r="A253" s="2">
        <v>252</v>
      </c>
      <c r="B253" s="3" t="s">
        <v>5</v>
      </c>
      <c r="C253" s="2" t="s">
        <v>6</v>
      </c>
      <c r="D253" s="2">
        <v>252</v>
      </c>
      <c r="E253" s="2" t="s">
        <v>696</v>
      </c>
      <c r="F253" t="s">
        <v>697</v>
      </c>
      <c r="G253" s="4">
        <v>44835</v>
      </c>
      <c r="H253" s="5">
        <v>0.26413194444444443</v>
      </c>
      <c r="I253" t="s">
        <v>9</v>
      </c>
      <c r="J253">
        <v>1.403</v>
      </c>
      <c r="K253">
        <v>0.29520000000000002</v>
      </c>
      <c r="L253">
        <v>1.5947</v>
      </c>
      <c r="M253" t="s">
        <v>10</v>
      </c>
      <c r="N253" t="s">
        <v>11</v>
      </c>
      <c r="O253">
        <v>1.923</v>
      </c>
      <c r="P253">
        <v>92.212800000000001</v>
      </c>
      <c r="Q253">
        <v>131.2346</v>
      </c>
      <c r="R253" t="s">
        <v>10</v>
      </c>
      <c r="S253" t="s">
        <v>698</v>
      </c>
      <c r="T253" s="4">
        <v>44835</v>
      </c>
      <c r="U253" s="5">
        <v>0.26413194444444443</v>
      </c>
      <c r="V253" t="s">
        <v>13</v>
      </c>
      <c r="W253">
        <v>1.1599999999999999</v>
      </c>
      <c r="X253">
        <v>3020.3643999999999</v>
      </c>
      <c r="Y253">
        <v>117003.2414</v>
      </c>
      <c r="Z253" t="s">
        <v>1689</v>
      </c>
      <c r="AA253">
        <v>2.226</v>
      </c>
      <c r="AB253">
        <v>58.524799999999999</v>
      </c>
      <c r="AC253">
        <v>4.1099999999999998E-2</v>
      </c>
      <c r="AD253" t="s">
        <v>10</v>
      </c>
      <c r="AE253">
        <f>P253*'Run 1 Curve Parameters'!$D$3+'Run 1 Curve Parameters'!$E$3</f>
        <v>173.07132128196611</v>
      </c>
      <c r="AF253">
        <f>K253*'Run 1 Curve Parameters'!$D$2+'Run 1 Curve Parameters'!$E$2</f>
        <v>-106.97362028547582</v>
      </c>
    </row>
    <row r="254" spans="1:32">
      <c r="A254" s="2">
        <v>253</v>
      </c>
      <c r="B254" s="3" t="s">
        <v>62</v>
      </c>
      <c r="C254" s="2" t="s">
        <v>6</v>
      </c>
      <c r="D254" s="2">
        <v>253</v>
      </c>
      <c r="E254" s="2" t="s">
        <v>699</v>
      </c>
      <c r="F254" t="s">
        <v>700</v>
      </c>
      <c r="G254" s="4">
        <v>44835</v>
      </c>
      <c r="H254" s="5">
        <v>0.26788194444444441</v>
      </c>
      <c r="I254" t="s">
        <v>9</v>
      </c>
      <c r="J254">
        <v>1.4059999999999999</v>
      </c>
      <c r="K254">
        <v>4.7290999999999999</v>
      </c>
      <c r="L254">
        <v>20.772300000000001</v>
      </c>
      <c r="M254" t="s">
        <v>10</v>
      </c>
      <c r="N254" t="s">
        <v>11</v>
      </c>
      <c r="O254">
        <v>1.93</v>
      </c>
      <c r="P254">
        <v>603.43399999999997</v>
      </c>
      <c r="Q254">
        <v>2020.5785000000001</v>
      </c>
      <c r="R254" t="s">
        <v>10</v>
      </c>
      <c r="S254" t="s">
        <v>701</v>
      </c>
      <c r="T254" s="4">
        <v>44835</v>
      </c>
      <c r="U254" s="5">
        <v>0.26788194444444441</v>
      </c>
      <c r="V254" t="s">
        <v>13</v>
      </c>
      <c r="W254">
        <v>1.1599999999999999</v>
      </c>
      <c r="X254">
        <v>3536.6862000000001</v>
      </c>
      <c r="Y254">
        <v>176620.50880000001</v>
      </c>
      <c r="Z254" t="s">
        <v>1689</v>
      </c>
      <c r="AA254">
        <v>2.23</v>
      </c>
      <c r="AB254">
        <v>154.37979999999999</v>
      </c>
      <c r="AC254">
        <v>0.434</v>
      </c>
      <c r="AD254" t="s">
        <v>10</v>
      </c>
      <c r="AE254">
        <f>P254*'Run 1 Curve Parameters'!$D$3+'Run 1 Curve Parameters'!$E$3</f>
        <v>2306.3585163208145</v>
      </c>
      <c r="AF254">
        <f>K254*'Run 1 Curve Parameters'!$D$2+'Run 1 Curve Parameters'!$E$2</f>
        <v>-79.976168835685286</v>
      </c>
    </row>
    <row r="255" spans="1:32">
      <c r="A255" s="2">
        <v>254</v>
      </c>
      <c r="B255" s="3" t="s">
        <v>5</v>
      </c>
      <c r="C255" s="2" t="s">
        <v>6</v>
      </c>
      <c r="D255" s="2">
        <v>254</v>
      </c>
      <c r="E255" s="2" t="s">
        <v>702</v>
      </c>
      <c r="F255" t="s">
        <v>703</v>
      </c>
      <c r="G255" s="4">
        <v>44835</v>
      </c>
      <c r="H255" s="5">
        <v>0.27164351851851853</v>
      </c>
      <c r="I255" t="s">
        <v>9</v>
      </c>
      <c r="J255">
        <v>1.413</v>
      </c>
      <c r="K255">
        <v>0.33300000000000002</v>
      </c>
      <c r="L255">
        <v>1.7582</v>
      </c>
      <c r="M255" t="s">
        <v>10</v>
      </c>
      <c r="N255" t="s">
        <v>11</v>
      </c>
      <c r="O255">
        <v>1.9359999999999999</v>
      </c>
      <c r="P255">
        <v>94.879300000000001</v>
      </c>
      <c r="Q255">
        <v>141.08930000000001</v>
      </c>
      <c r="R255" t="s">
        <v>10</v>
      </c>
      <c r="S255" t="s">
        <v>704</v>
      </c>
      <c r="T255" s="4">
        <v>44835</v>
      </c>
      <c r="U255" s="5">
        <v>0.27164351851851853</v>
      </c>
      <c r="V255" t="s">
        <v>13</v>
      </c>
      <c r="W255">
        <v>1.17</v>
      </c>
      <c r="X255">
        <v>3170.4207999999999</v>
      </c>
      <c r="Y255">
        <v>130767.0506</v>
      </c>
      <c r="Z255" t="s">
        <v>1689</v>
      </c>
      <c r="AA255">
        <v>2.2400000000000002</v>
      </c>
      <c r="AB255">
        <v>59.436799999999998</v>
      </c>
      <c r="AC255">
        <v>4.4900000000000002E-2</v>
      </c>
      <c r="AD255" t="s">
        <v>10</v>
      </c>
      <c r="AE255">
        <f>P255*'Run 1 Curve Parameters'!$D$3+'Run 1 Curve Parameters'!$E$3</f>
        <v>184.19842302495152</v>
      </c>
      <c r="AF255">
        <f>K255*'Run 1 Curve Parameters'!$D$2+'Run 1 Curve Parameters'!$E$2</f>
        <v>-106.74346090777175</v>
      </c>
    </row>
    <row r="256" spans="1:32">
      <c r="A256" s="2">
        <v>255</v>
      </c>
      <c r="B256" s="3" t="s">
        <v>69</v>
      </c>
      <c r="C256" s="2" t="s">
        <v>6</v>
      </c>
      <c r="D256" s="2">
        <v>255</v>
      </c>
      <c r="E256" s="2" t="s">
        <v>705</v>
      </c>
      <c r="F256" t="s">
        <v>706</v>
      </c>
      <c r="G256" s="4">
        <v>44835</v>
      </c>
      <c r="H256" s="5">
        <v>0.2754050925925926</v>
      </c>
      <c r="I256" t="s">
        <v>9</v>
      </c>
      <c r="J256">
        <v>1.4159999999999999</v>
      </c>
      <c r="K256">
        <v>45.567399999999999</v>
      </c>
      <c r="L256">
        <v>197.40700000000001</v>
      </c>
      <c r="M256" t="s">
        <v>10</v>
      </c>
      <c r="N256" t="s">
        <v>11</v>
      </c>
      <c r="O256">
        <v>1.946</v>
      </c>
      <c r="P256">
        <v>1410.9899</v>
      </c>
      <c r="Q256">
        <v>5005.1004000000003</v>
      </c>
      <c r="R256" t="s">
        <v>10</v>
      </c>
      <c r="S256" t="s">
        <v>707</v>
      </c>
      <c r="T256" s="4">
        <v>44835</v>
      </c>
      <c r="U256" s="5">
        <v>0.2754050925925926</v>
      </c>
      <c r="V256" t="s">
        <v>13</v>
      </c>
      <c r="W256">
        <v>1.17</v>
      </c>
      <c r="X256">
        <v>3656.2936</v>
      </c>
      <c r="Y256">
        <v>194260.05900000001</v>
      </c>
      <c r="Z256" t="s">
        <v>1689</v>
      </c>
      <c r="AA256">
        <v>2.2429999999999999</v>
      </c>
      <c r="AB256">
        <v>677.49480000000005</v>
      </c>
      <c r="AC256">
        <v>2.5781999999999998</v>
      </c>
      <c r="AD256" t="s">
        <v>10</v>
      </c>
      <c r="AE256">
        <f>P256*'Run 1 Curve Parameters'!$D$3+'Run 1 Curve Parameters'!$E$3</f>
        <v>5676.2278815741984</v>
      </c>
      <c r="AF256">
        <f>K256*'Run 1 Curve Parameters'!$D$2+'Run 1 Curve Parameters'!$E$2</f>
        <v>168.68302996040416</v>
      </c>
    </row>
    <row r="257" spans="1:32">
      <c r="A257" s="2">
        <v>256</v>
      </c>
      <c r="B257" s="3" t="s">
        <v>5</v>
      </c>
      <c r="C257" s="2" t="s">
        <v>6</v>
      </c>
      <c r="D257" s="2">
        <v>256</v>
      </c>
      <c r="E257" s="2" t="s">
        <v>708</v>
      </c>
      <c r="F257" t="s">
        <v>709</v>
      </c>
      <c r="G257" s="4">
        <v>44835</v>
      </c>
      <c r="H257" s="5">
        <v>0.27915509259259258</v>
      </c>
      <c r="I257" t="s">
        <v>9</v>
      </c>
      <c r="J257">
        <v>1.3959999999999999</v>
      </c>
      <c r="K257">
        <v>0.26640000000000003</v>
      </c>
      <c r="L257">
        <v>1.4702</v>
      </c>
      <c r="M257" t="s">
        <v>10</v>
      </c>
      <c r="N257" t="s">
        <v>11</v>
      </c>
      <c r="O257">
        <v>1.923</v>
      </c>
      <c r="P257">
        <v>84.900599999999997</v>
      </c>
      <c r="Q257">
        <v>104.2106</v>
      </c>
      <c r="R257" t="s">
        <v>10</v>
      </c>
      <c r="S257" t="s">
        <v>710</v>
      </c>
      <c r="T257" s="4">
        <v>44835</v>
      </c>
      <c r="U257" s="5">
        <v>0.27915509259259258</v>
      </c>
      <c r="V257" t="s">
        <v>13</v>
      </c>
      <c r="W257">
        <v>1.1559999999999999</v>
      </c>
      <c r="X257">
        <v>2902.1556</v>
      </c>
      <c r="Y257">
        <v>107225.2176</v>
      </c>
      <c r="Z257" t="s">
        <v>1689</v>
      </c>
      <c r="AA257">
        <v>2.226</v>
      </c>
      <c r="AB257">
        <v>55.638599999999997</v>
      </c>
      <c r="AC257">
        <v>2.93E-2</v>
      </c>
      <c r="AD257" t="s">
        <v>10</v>
      </c>
      <c r="AE257">
        <f>P257*'Run 1 Curve Parameters'!$D$3+'Run 1 Curve Parameters'!$E$3</f>
        <v>142.55806669165753</v>
      </c>
      <c r="AF257">
        <f>K257*'Run 1 Curve Parameters'!$D$2+'Run 1 Curve Parameters'!$E$2</f>
        <v>-107.1489798113456</v>
      </c>
    </row>
    <row r="258" spans="1:32">
      <c r="A258" s="2">
        <v>257</v>
      </c>
      <c r="B258" s="3" t="s">
        <v>76</v>
      </c>
      <c r="C258" s="2" t="s">
        <v>6</v>
      </c>
      <c r="D258" s="2">
        <v>257</v>
      </c>
      <c r="E258" s="2" t="s">
        <v>711</v>
      </c>
      <c r="F258" t="s">
        <v>712</v>
      </c>
      <c r="G258" s="4">
        <v>44835</v>
      </c>
      <c r="H258" s="5">
        <v>0.28290509259259261</v>
      </c>
      <c r="I258" t="s">
        <v>9</v>
      </c>
      <c r="J258">
        <v>1.4159999999999999</v>
      </c>
      <c r="K258">
        <v>1163.9217000000001</v>
      </c>
      <c r="L258">
        <v>5034.5361999999996</v>
      </c>
      <c r="M258" t="s">
        <v>10</v>
      </c>
      <c r="N258" t="s">
        <v>11</v>
      </c>
      <c r="O258">
        <v>1.95</v>
      </c>
      <c r="P258">
        <v>2625.9418999999998</v>
      </c>
      <c r="Q258">
        <v>9495.2548999999999</v>
      </c>
      <c r="R258" t="s">
        <v>10</v>
      </c>
      <c r="S258" t="s">
        <v>713</v>
      </c>
      <c r="T258" s="4">
        <v>44835</v>
      </c>
      <c r="U258" s="5">
        <v>0.28290509259259261</v>
      </c>
      <c r="V258" t="s">
        <v>13</v>
      </c>
      <c r="W258">
        <v>1.17</v>
      </c>
      <c r="X258">
        <v>3693.2806</v>
      </c>
      <c r="Y258">
        <v>199714.85560000001</v>
      </c>
      <c r="Z258" t="s">
        <v>1689</v>
      </c>
      <c r="AA258">
        <v>2.2429999999999999</v>
      </c>
      <c r="AB258">
        <v>1283.2793999999999</v>
      </c>
      <c r="AC258">
        <v>5.0612000000000004</v>
      </c>
      <c r="AD258" t="s">
        <v>10</v>
      </c>
      <c r="AE258">
        <f>P258*'Run 1 Curve Parameters'!$D$3+'Run 1 Curve Parameters'!$E$3</f>
        <v>10746.130194285091</v>
      </c>
      <c r="AF258">
        <f>K258*'Run 1 Curve Parameters'!$D$2+'Run 1 Curve Parameters'!$E$2</f>
        <v>6978.199689766554</v>
      </c>
    </row>
    <row r="259" spans="1:32">
      <c r="A259" s="2">
        <v>258</v>
      </c>
      <c r="B259" s="3" t="s">
        <v>5</v>
      </c>
      <c r="C259" s="2" t="s">
        <v>6</v>
      </c>
      <c r="D259" s="2">
        <v>258</v>
      </c>
      <c r="E259" s="2" t="s">
        <v>714</v>
      </c>
      <c r="F259" t="s">
        <v>715</v>
      </c>
      <c r="G259" s="4">
        <v>44835</v>
      </c>
      <c r="H259" s="5">
        <v>0.28665509259259259</v>
      </c>
      <c r="I259" t="s">
        <v>9</v>
      </c>
      <c r="J259">
        <v>1.4</v>
      </c>
      <c r="K259">
        <v>0.43809999999999999</v>
      </c>
      <c r="L259">
        <v>2.2128000000000001</v>
      </c>
      <c r="M259" t="s">
        <v>10</v>
      </c>
      <c r="N259" t="s">
        <v>11</v>
      </c>
      <c r="O259">
        <v>1.923</v>
      </c>
      <c r="P259">
        <v>89.296400000000006</v>
      </c>
      <c r="Q259">
        <v>120.4563</v>
      </c>
      <c r="R259" t="s">
        <v>10</v>
      </c>
      <c r="S259" t="s">
        <v>716</v>
      </c>
      <c r="T259" s="4">
        <v>44835</v>
      </c>
      <c r="U259" s="5">
        <v>0.28665509259259259</v>
      </c>
      <c r="V259" t="s">
        <v>13</v>
      </c>
      <c r="W259">
        <v>1.1599999999999999</v>
      </c>
      <c r="X259">
        <v>2937.9926</v>
      </c>
      <c r="Y259">
        <v>110126.8711</v>
      </c>
      <c r="Z259" t="s">
        <v>1689</v>
      </c>
      <c r="AA259">
        <v>2.23</v>
      </c>
      <c r="AB259">
        <v>56.549700000000001</v>
      </c>
      <c r="AC259">
        <v>3.3000000000000002E-2</v>
      </c>
      <c r="AD259" t="s">
        <v>10</v>
      </c>
      <c r="AE259">
        <f>P259*'Run 1 Curve Parameters'!$D$3+'Run 1 Curve Parameters'!$E$3</f>
        <v>160.90140584103511</v>
      </c>
      <c r="AF259">
        <f>K259*'Run 1 Curve Parameters'!$D$2+'Run 1 Curve Parameters'!$E$2</f>
        <v>-106.10352041579561</v>
      </c>
    </row>
    <row r="260" spans="1:32">
      <c r="A260" s="2">
        <v>259</v>
      </c>
      <c r="B260" s="3" t="s">
        <v>83</v>
      </c>
      <c r="C260" s="2" t="s">
        <v>6</v>
      </c>
      <c r="D260" s="2">
        <v>259</v>
      </c>
      <c r="E260" s="2" t="s">
        <v>717</v>
      </c>
      <c r="F260" t="s">
        <v>718</v>
      </c>
      <c r="G260" s="4">
        <v>44835</v>
      </c>
      <c r="H260" s="5">
        <v>0.29041666666666666</v>
      </c>
      <c r="I260" t="s">
        <v>9</v>
      </c>
      <c r="J260">
        <v>1.3859999999999999</v>
      </c>
      <c r="K260">
        <v>9883.4383999999991</v>
      </c>
      <c r="L260">
        <v>42748.370300000002</v>
      </c>
      <c r="M260" t="s">
        <v>10</v>
      </c>
      <c r="N260" t="s">
        <v>11</v>
      </c>
      <c r="O260">
        <v>1.93</v>
      </c>
      <c r="P260">
        <v>11760.714400000001</v>
      </c>
      <c r="Q260">
        <v>43255.057999999997</v>
      </c>
      <c r="R260" t="s">
        <v>10</v>
      </c>
      <c r="S260" t="s">
        <v>719</v>
      </c>
      <c r="T260" s="4">
        <v>44835</v>
      </c>
      <c r="U260" s="5">
        <v>0.29041666666666666</v>
      </c>
      <c r="V260" t="s">
        <v>13</v>
      </c>
      <c r="W260">
        <v>1.1559999999999999</v>
      </c>
      <c r="X260">
        <v>1177.0642</v>
      </c>
      <c r="Y260">
        <v>9906.6339000000007</v>
      </c>
      <c r="Z260" t="s">
        <v>1689</v>
      </c>
      <c r="AA260">
        <v>2.2330000000000001</v>
      </c>
      <c r="AB260">
        <v>4851.2574999999997</v>
      </c>
      <c r="AC260">
        <v>19.686</v>
      </c>
      <c r="AD260" t="s">
        <v>10</v>
      </c>
      <c r="AE260">
        <f>P260*'Run 1 Curve Parameters'!$D$3+'Run 1 Curve Parameters'!$E$3</f>
        <v>48864.841241172457</v>
      </c>
      <c r="AF260">
        <f>K260*'Run 1 Curve Parameters'!$D$2+'Run 1 Curve Parameters'!$E$2</f>
        <v>60070.22449273635</v>
      </c>
    </row>
    <row r="261" spans="1:32">
      <c r="A261" s="2">
        <v>260</v>
      </c>
      <c r="B261" s="3" t="s">
        <v>5</v>
      </c>
      <c r="C261" s="2" t="s">
        <v>6</v>
      </c>
      <c r="D261" s="2">
        <v>260</v>
      </c>
      <c r="E261" s="2" t="s">
        <v>720</v>
      </c>
      <c r="F261" t="s">
        <v>721</v>
      </c>
      <c r="G261" s="4">
        <v>44835</v>
      </c>
      <c r="H261" s="5">
        <v>0.29416666666666663</v>
      </c>
      <c r="I261" t="s">
        <v>9</v>
      </c>
      <c r="J261">
        <v>1.4</v>
      </c>
      <c r="K261">
        <v>0.67600000000000005</v>
      </c>
      <c r="L261">
        <v>3.2418</v>
      </c>
      <c r="M261" t="s">
        <v>10</v>
      </c>
      <c r="N261" t="s">
        <v>11</v>
      </c>
      <c r="O261">
        <v>1.923</v>
      </c>
      <c r="P261">
        <v>87.363200000000006</v>
      </c>
      <c r="Q261">
        <v>113.3117</v>
      </c>
      <c r="R261" t="s">
        <v>10</v>
      </c>
      <c r="S261" t="s">
        <v>722</v>
      </c>
      <c r="T261" s="4">
        <v>44835</v>
      </c>
      <c r="U261" s="5">
        <v>0.29416666666666663</v>
      </c>
      <c r="V261" t="s">
        <v>13</v>
      </c>
      <c r="W261">
        <v>1.1599999999999999</v>
      </c>
      <c r="X261">
        <v>2930.2114000000001</v>
      </c>
      <c r="Y261">
        <v>109496.8422</v>
      </c>
      <c r="Z261" t="s">
        <v>1689</v>
      </c>
      <c r="AA261">
        <v>2.226</v>
      </c>
      <c r="AB261">
        <v>56.5456</v>
      </c>
      <c r="AC261">
        <v>3.3000000000000002E-2</v>
      </c>
      <c r="AD261" t="s">
        <v>10</v>
      </c>
      <c r="AE261">
        <f>P261*'Run 1 Curve Parameters'!$D$3+'Run 1 Curve Parameters'!$E$3</f>
        <v>152.83430923892018</v>
      </c>
      <c r="AF261">
        <f>K261*'Run 1 Curve Parameters'!$D$2+'Run 1 Curve Parameters'!$E$2</f>
        <v>-104.65497766564221</v>
      </c>
    </row>
    <row r="262" spans="1:32">
      <c r="A262" s="2">
        <v>261</v>
      </c>
      <c r="B262" s="3" t="s">
        <v>5</v>
      </c>
      <c r="C262" s="2" t="s">
        <v>6</v>
      </c>
      <c r="D262" s="2">
        <v>261</v>
      </c>
      <c r="E262" s="2" t="s">
        <v>723</v>
      </c>
      <c r="F262" t="s">
        <v>724</v>
      </c>
      <c r="G262" s="4">
        <v>44835</v>
      </c>
      <c r="H262" s="5">
        <v>0.29791666666666666</v>
      </c>
      <c r="I262" t="s">
        <v>9</v>
      </c>
      <c r="J262">
        <v>1.4</v>
      </c>
      <c r="K262">
        <v>0.3614</v>
      </c>
      <c r="L262">
        <v>1.8811</v>
      </c>
      <c r="M262" t="s">
        <v>10</v>
      </c>
      <c r="N262" t="s">
        <v>11</v>
      </c>
      <c r="O262">
        <v>1.9259999999999999</v>
      </c>
      <c r="P262">
        <v>95.271600000000007</v>
      </c>
      <c r="Q262">
        <v>142.53909999999999</v>
      </c>
      <c r="R262" t="s">
        <v>10</v>
      </c>
      <c r="S262" t="s">
        <v>725</v>
      </c>
      <c r="T262" s="4">
        <v>44835</v>
      </c>
      <c r="U262" s="5">
        <v>0.29791666666666666</v>
      </c>
      <c r="V262" t="s">
        <v>13</v>
      </c>
      <c r="W262">
        <v>1.1599999999999999</v>
      </c>
      <c r="X262">
        <v>3071.5727999999999</v>
      </c>
      <c r="Y262">
        <v>121485.9592</v>
      </c>
      <c r="Z262" t="s">
        <v>1689</v>
      </c>
      <c r="AA262">
        <v>2.226</v>
      </c>
      <c r="AB262">
        <v>62.494799999999998</v>
      </c>
      <c r="AC262">
        <v>5.74E-2</v>
      </c>
      <c r="AD262" t="s">
        <v>10</v>
      </c>
      <c r="AE262">
        <f>P262*'Run 1 Curve Parameters'!$D$3+'Run 1 Curve Parameters'!$E$3</f>
        <v>185.83546109499588</v>
      </c>
      <c r="AF262">
        <f>K262*'Run 1 Curve Parameters'!$D$2+'Run 1 Curve Parameters'!$E$2</f>
        <v>-106.57053693087239</v>
      </c>
    </row>
    <row r="263" spans="1:32">
      <c r="A263" s="2">
        <v>262</v>
      </c>
      <c r="B263" s="3" t="s">
        <v>5</v>
      </c>
      <c r="C263" s="2" t="s">
        <v>6</v>
      </c>
      <c r="D263" s="2">
        <v>262</v>
      </c>
      <c r="E263" s="2" t="s">
        <v>726</v>
      </c>
      <c r="F263" t="s">
        <v>727</v>
      </c>
      <c r="G263" s="4">
        <v>44835</v>
      </c>
      <c r="H263" s="5">
        <v>0.30166666666666669</v>
      </c>
      <c r="I263" t="s">
        <v>9</v>
      </c>
      <c r="J263">
        <v>1.4059999999999999</v>
      </c>
      <c r="K263">
        <v>0.33610000000000001</v>
      </c>
      <c r="L263">
        <v>1.7716000000000001</v>
      </c>
      <c r="M263" t="s">
        <v>10</v>
      </c>
      <c r="N263" t="s">
        <v>11</v>
      </c>
      <c r="O263">
        <v>1.923</v>
      </c>
      <c r="P263">
        <v>87.468500000000006</v>
      </c>
      <c r="Q263">
        <v>113.7009</v>
      </c>
      <c r="R263" t="s">
        <v>10</v>
      </c>
      <c r="S263" t="s">
        <v>728</v>
      </c>
      <c r="T263" s="4">
        <v>44835</v>
      </c>
      <c r="U263" s="5">
        <v>0.30166666666666669</v>
      </c>
      <c r="V263" t="s">
        <v>13</v>
      </c>
      <c r="W263">
        <v>1.1599999999999999</v>
      </c>
      <c r="X263">
        <v>2994.0944</v>
      </c>
      <c r="Y263">
        <v>114749.13890000001</v>
      </c>
      <c r="Z263" t="s">
        <v>1689</v>
      </c>
      <c r="AA263">
        <v>2.23</v>
      </c>
      <c r="AB263">
        <v>55.835299999999997</v>
      </c>
      <c r="AC263">
        <v>3.0099999999999998E-2</v>
      </c>
      <c r="AD263" t="s">
        <v>10</v>
      </c>
      <c r="AE263">
        <f>P263*'Run 1 Curve Parameters'!$D$3+'Run 1 Curve Parameters'!$E$3</f>
        <v>153.27371813205212</v>
      </c>
      <c r="AF263">
        <f>K263*'Run 1 Curve Parameters'!$D$2+'Run 1 Curve Parameters'!$E$2</f>
        <v>-106.72458540325104</v>
      </c>
    </row>
    <row r="264" spans="1:32">
      <c r="A264" s="2">
        <v>263</v>
      </c>
      <c r="B264" s="3" t="s">
        <v>96</v>
      </c>
      <c r="C264" s="2" t="s">
        <v>6</v>
      </c>
      <c r="D264" s="2">
        <v>263</v>
      </c>
      <c r="E264" s="2" t="s">
        <v>729</v>
      </c>
      <c r="F264" t="s">
        <v>730</v>
      </c>
      <c r="G264" s="4">
        <v>44835</v>
      </c>
      <c r="H264" s="5">
        <v>0.30541666666666667</v>
      </c>
      <c r="I264" t="s">
        <v>9</v>
      </c>
      <c r="J264">
        <v>0</v>
      </c>
      <c r="K264">
        <v>0</v>
      </c>
      <c r="L264">
        <v>0</v>
      </c>
      <c r="M264" t="s">
        <v>10</v>
      </c>
      <c r="N264" t="s">
        <v>11</v>
      </c>
      <c r="O264">
        <v>1.923</v>
      </c>
      <c r="P264">
        <v>11.1068</v>
      </c>
      <c r="Q264">
        <v>0</v>
      </c>
      <c r="R264" t="s">
        <v>10</v>
      </c>
      <c r="S264" t="s">
        <v>731</v>
      </c>
      <c r="T264" s="4">
        <v>44835</v>
      </c>
      <c r="U264" s="5">
        <v>0.30541666666666667</v>
      </c>
      <c r="V264" t="s">
        <v>13</v>
      </c>
      <c r="W264">
        <v>1.153</v>
      </c>
      <c r="X264">
        <v>840.51319999999998</v>
      </c>
      <c r="Y264">
        <v>0</v>
      </c>
      <c r="Z264" t="s">
        <v>1689</v>
      </c>
      <c r="AA264">
        <v>2.2229999999999999</v>
      </c>
      <c r="AB264">
        <v>5.0726000000000004</v>
      </c>
      <c r="AC264">
        <v>0</v>
      </c>
      <c r="AD264" t="s">
        <v>10</v>
      </c>
      <c r="AE264">
        <f>P264*'Run 1 Curve Parameters'!$D$3+'Run 1 Curve Parameters'!$E$3</f>
        <v>-165.37784952867489</v>
      </c>
      <c r="AF264">
        <f>K264*'Run 1 Curve Parameters'!$D$2+'Run 1 Curve Parameters'!$E$2</f>
        <v>-108.77105542564095</v>
      </c>
    </row>
    <row r="265" spans="1:32">
      <c r="A265" s="2">
        <v>264</v>
      </c>
      <c r="B265" s="3" t="s">
        <v>5</v>
      </c>
      <c r="C265" s="2" t="s">
        <v>6</v>
      </c>
      <c r="D265" s="2">
        <v>264</v>
      </c>
      <c r="E265" s="2" t="s">
        <v>732</v>
      </c>
      <c r="F265" t="s">
        <v>733</v>
      </c>
      <c r="G265" s="4">
        <v>44835</v>
      </c>
      <c r="H265" s="5">
        <v>0.30916666666666665</v>
      </c>
      <c r="I265" t="s">
        <v>9</v>
      </c>
      <c r="J265">
        <v>1.41</v>
      </c>
      <c r="K265">
        <v>0.3352</v>
      </c>
      <c r="L265">
        <v>1.7677</v>
      </c>
      <c r="M265" t="s">
        <v>10</v>
      </c>
      <c r="N265" t="s">
        <v>11</v>
      </c>
      <c r="O265">
        <v>1.9359999999999999</v>
      </c>
      <c r="P265">
        <v>82.365200000000002</v>
      </c>
      <c r="Q265">
        <v>94.840400000000002</v>
      </c>
      <c r="R265" t="s">
        <v>10</v>
      </c>
      <c r="S265" t="s">
        <v>734</v>
      </c>
      <c r="T265" s="4">
        <v>44835</v>
      </c>
      <c r="U265" s="5">
        <v>0.30916666666666665</v>
      </c>
      <c r="V265" t="s">
        <v>13</v>
      </c>
      <c r="W265">
        <v>1.1659999999999999</v>
      </c>
      <c r="X265">
        <v>2964.8969000000002</v>
      </c>
      <c r="Y265">
        <v>112305.261</v>
      </c>
      <c r="Z265" t="s">
        <v>1689</v>
      </c>
      <c r="AA265">
        <v>2.2400000000000002</v>
      </c>
      <c r="AB265">
        <v>50.276200000000003</v>
      </c>
      <c r="AC265">
        <v>7.3000000000000001E-3</v>
      </c>
      <c r="AD265" t="s">
        <v>10</v>
      </c>
      <c r="AE265">
        <f>P265*'Run 1 Curve Parameters'!$D$3+'Run 1 Curve Parameters'!$E$3</f>
        <v>131.97803528000736</v>
      </c>
      <c r="AF265">
        <f>K265*'Run 1 Curve Parameters'!$D$2+'Run 1 Curve Parameters'!$E$2</f>
        <v>-106.73006538843448</v>
      </c>
    </row>
    <row r="266" spans="1:32">
      <c r="A266" s="2">
        <v>265</v>
      </c>
      <c r="B266" s="3" t="s">
        <v>103</v>
      </c>
      <c r="C266" s="2" t="s">
        <v>6</v>
      </c>
      <c r="D266" s="2">
        <v>265</v>
      </c>
      <c r="E266" s="2" t="s">
        <v>735</v>
      </c>
      <c r="F266" t="s">
        <v>736</v>
      </c>
      <c r="G266" s="4">
        <v>44835</v>
      </c>
      <c r="H266" s="5">
        <v>0.31292824074074072</v>
      </c>
      <c r="I266" t="s">
        <v>9</v>
      </c>
      <c r="J266">
        <v>1.4</v>
      </c>
      <c r="K266">
        <v>0.14119999999999999</v>
      </c>
      <c r="L266">
        <v>0.92859999999999998</v>
      </c>
      <c r="M266" t="s">
        <v>10</v>
      </c>
      <c r="N266" t="s">
        <v>11</v>
      </c>
      <c r="O266">
        <v>1.9259999999999999</v>
      </c>
      <c r="P266">
        <v>32.392699999999998</v>
      </c>
      <c r="Q266">
        <v>0</v>
      </c>
      <c r="R266" t="s">
        <v>10</v>
      </c>
      <c r="S266" t="s">
        <v>737</v>
      </c>
      <c r="T266" s="4">
        <v>44835</v>
      </c>
      <c r="U266" s="5">
        <v>0.31292824074074072</v>
      </c>
      <c r="V266" t="s">
        <v>13</v>
      </c>
      <c r="W266">
        <v>1.1599999999999999</v>
      </c>
      <c r="X266">
        <v>1716.9177999999999</v>
      </c>
      <c r="Y266">
        <v>35018.168700000002</v>
      </c>
      <c r="Z266" t="s">
        <v>1689</v>
      </c>
      <c r="AA266">
        <v>2.2330000000000001</v>
      </c>
      <c r="AB266">
        <v>19.450900000000001</v>
      </c>
      <c r="AC266">
        <v>0</v>
      </c>
      <c r="AD266" t="s">
        <v>10</v>
      </c>
      <c r="AE266">
        <f>P266*'Run 1 Curve Parameters'!$D$3+'Run 1 Curve Parameters'!$E$3</f>
        <v>-76.553407379410686</v>
      </c>
      <c r="AF266">
        <f>K266*'Run 1 Curve Parameters'!$D$2+'Run 1 Curve Parameters'!$E$2</f>
        <v>-107.911306639085</v>
      </c>
    </row>
    <row r="267" spans="1:32">
      <c r="A267" s="2">
        <v>266</v>
      </c>
      <c r="B267" s="3" t="s">
        <v>5</v>
      </c>
      <c r="C267" s="2" t="s">
        <v>6</v>
      </c>
      <c r="D267" s="2">
        <v>266</v>
      </c>
      <c r="E267" s="2" t="s">
        <v>738</v>
      </c>
      <c r="F267" t="s">
        <v>739</v>
      </c>
      <c r="G267" s="4">
        <v>44835</v>
      </c>
      <c r="H267" s="5">
        <v>0.31667824074074075</v>
      </c>
      <c r="I267" t="s">
        <v>9</v>
      </c>
      <c r="J267">
        <v>1.4</v>
      </c>
      <c r="K267">
        <v>0.35560000000000003</v>
      </c>
      <c r="L267">
        <v>1.8560000000000001</v>
      </c>
      <c r="M267" t="s">
        <v>10</v>
      </c>
      <c r="N267" t="s">
        <v>11</v>
      </c>
      <c r="O267">
        <v>1.9259999999999999</v>
      </c>
      <c r="P267">
        <v>99.606399999999994</v>
      </c>
      <c r="Q267">
        <v>158.55950000000001</v>
      </c>
      <c r="R267" t="s">
        <v>10</v>
      </c>
      <c r="S267" t="s">
        <v>740</v>
      </c>
      <c r="T267" s="4">
        <v>44835</v>
      </c>
      <c r="U267" s="5">
        <v>0.31667824074074075</v>
      </c>
      <c r="V267" t="s">
        <v>13</v>
      </c>
      <c r="W267">
        <v>1.163</v>
      </c>
      <c r="X267">
        <v>3128.1214</v>
      </c>
      <c r="Y267">
        <v>126646.4129</v>
      </c>
      <c r="Z267" t="s">
        <v>1689</v>
      </c>
      <c r="AA267">
        <v>2.23</v>
      </c>
      <c r="AB267">
        <v>63.4863</v>
      </c>
      <c r="AC267">
        <v>6.1499999999999999E-2</v>
      </c>
      <c r="AD267" t="s">
        <v>10</v>
      </c>
      <c r="AE267">
        <f>P267*'Run 1 Curve Parameters'!$D$3+'Run 1 Curve Parameters'!$E$3</f>
        <v>203.92425188272995</v>
      </c>
      <c r="AF267">
        <f>K267*'Run 1 Curve Parameters'!$D$2+'Run 1 Curve Parameters'!$E$2</f>
        <v>-106.6058523909434</v>
      </c>
    </row>
    <row r="268" spans="1:32">
      <c r="A268" s="2">
        <v>267</v>
      </c>
      <c r="B268" s="3" t="s">
        <v>110</v>
      </c>
      <c r="C268" s="2" t="s">
        <v>6</v>
      </c>
      <c r="D268" s="2">
        <v>267</v>
      </c>
      <c r="E268" s="2" t="s">
        <v>741</v>
      </c>
      <c r="F268" t="s">
        <v>742</v>
      </c>
      <c r="G268" s="4">
        <v>44835</v>
      </c>
      <c r="H268" s="5">
        <v>0.32042824074074078</v>
      </c>
      <c r="I268" t="s">
        <v>9</v>
      </c>
      <c r="J268">
        <v>1.3959999999999999</v>
      </c>
      <c r="K268">
        <v>0.22639999999999999</v>
      </c>
      <c r="L268">
        <v>1.2970999999999999</v>
      </c>
      <c r="M268" t="s">
        <v>10</v>
      </c>
      <c r="N268" t="s">
        <v>11</v>
      </c>
      <c r="O268">
        <v>1.92</v>
      </c>
      <c r="P268">
        <v>53.274299999999997</v>
      </c>
      <c r="Q268">
        <v>0</v>
      </c>
      <c r="R268" t="s">
        <v>10</v>
      </c>
      <c r="S268" t="s">
        <v>743</v>
      </c>
      <c r="T268" s="4">
        <v>44835</v>
      </c>
      <c r="U268" s="5">
        <v>0.32042824074074078</v>
      </c>
      <c r="V268" t="s">
        <v>13</v>
      </c>
      <c r="W268">
        <v>1.1559999999999999</v>
      </c>
      <c r="X268">
        <v>2189.3793999999998</v>
      </c>
      <c r="Y268">
        <v>60025.865100000003</v>
      </c>
      <c r="Z268" t="s">
        <v>1689</v>
      </c>
      <c r="AA268">
        <v>2.2229999999999999</v>
      </c>
      <c r="AB268">
        <v>32.925199999999997</v>
      </c>
      <c r="AC268">
        <v>0</v>
      </c>
      <c r="AD268" t="s">
        <v>10</v>
      </c>
      <c r="AE268">
        <f>P268*'Run 1 Curve Parameters'!$D$3+'Run 1 Curve Parameters'!$E$3</f>
        <v>10.583921612272803</v>
      </c>
      <c r="AF268">
        <f>K268*'Run 1 Curve Parameters'!$D$2+'Run 1 Curve Parameters'!$E$2</f>
        <v>-107.39253470838693</v>
      </c>
    </row>
    <row r="269" spans="1:32">
      <c r="A269" s="2">
        <v>268</v>
      </c>
      <c r="B269" s="3" t="s">
        <v>5</v>
      </c>
      <c r="C269" s="2" t="s">
        <v>6</v>
      </c>
      <c r="D269" s="2">
        <v>268</v>
      </c>
      <c r="E269" s="2" t="s">
        <v>744</v>
      </c>
      <c r="F269" t="s">
        <v>745</v>
      </c>
      <c r="G269" s="4">
        <v>44835</v>
      </c>
      <c r="H269" s="5">
        <v>0.32417824074074075</v>
      </c>
      <c r="I269" t="s">
        <v>9</v>
      </c>
      <c r="J269">
        <v>1.413</v>
      </c>
      <c r="K269">
        <v>0.35170000000000001</v>
      </c>
      <c r="L269">
        <v>1.8391</v>
      </c>
      <c r="M269" t="s">
        <v>10</v>
      </c>
      <c r="N269" t="s">
        <v>11</v>
      </c>
      <c r="O269">
        <v>1.9359999999999999</v>
      </c>
      <c r="P269">
        <v>101.24760000000001</v>
      </c>
      <c r="Q269">
        <v>164.6249</v>
      </c>
      <c r="R269" t="s">
        <v>10</v>
      </c>
      <c r="S269" t="s">
        <v>746</v>
      </c>
      <c r="T269" s="4">
        <v>44835</v>
      </c>
      <c r="U269" s="5">
        <v>0.32417824074074075</v>
      </c>
      <c r="V269" t="s">
        <v>13</v>
      </c>
      <c r="W269">
        <v>1.1659999999999999</v>
      </c>
      <c r="X269">
        <v>3255.1024000000002</v>
      </c>
      <c r="Y269">
        <v>139432.99059999999</v>
      </c>
      <c r="Z269" t="s">
        <v>1689</v>
      </c>
      <c r="AA269">
        <v>2.2400000000000002</v>
      </c>
      <c r="AB269">
        <v>64.050200000000004</v>
      </c>
      <c r="AC269">
        <v>6.3799999999999996E-2</v>
      </c>
      <c r="AD269" t="s">
        <v>10</v>
      </c>
      <c r="AE269">
        <f>P269*'Run 1 Curve Parameters'!$D$3+'Run 1 Curve Parameters'!$E$3</f>
        <v>210.77285468812573</v>
      </c>
      <c r="AF269">
        <f>K269*'Run 1 Curve Parameters'!$D$2+'Run 1 Curve Parameters'!$E$2</f>
        <v>-106.62959899340493</v>
      </c>
    </row>
    <row r="270" spans="1:32">
      <c r="A270" s="2">
        <v>269</v>
      </c>
      <c r="B270" s="3" t="s">
        <v>117</v>
      </c>
      <c r="C270" s="2" t="s">
        <v>6</v>
      </c>
      <c r="D270" s="2">
        <v>269</v>
      </c>
      <c r="E270" s="2" t="s">
        <v>747</v>
      </c>
      <c r="F270" t="s">
        <v>748</v>
      </c>
      <c r="G270" s="4">
        <v>44835</v>
      </c>
      <c r="H270" s="5">
        <v>0.32792824074074073</v>
      </c>
      <c r="I270" t="s">
        <v>9</v>
      </c>
      <c r="J270">
        <v>1.41</v>
      </c>
      <c r="K270">
        <v>0.26960000000000001</v>
      </c>
      <c r="L270">
        <v>1.484</v>
      </c>
      <c r="M270" t="s">
        <v>10</v>
      </c>
      <c r="N270" t="s">
        <v>11</v>
      </c>
      <c r="O270">
        <v>1.9330000000000001</v>
      </c>
      <c r="P270">
        <v>74.690799999999996</v>
      </c>
      <c r="Q270">
        <v>66.477699999999999</v>
      </c>
      <c r="R270" t="s">
        <v>10</v>
      </c>
      <c r="S270" t="s">
        <v>749</v>
      </c>
      <c r="T270" s="4">
        <v>44835</v>
      </c>
      <c r="U270" s="5">
        <v>0.32792824074074073</v>
      </c>
      <c r="V270" t="s">
        <v>13</v>
      </c>
      <c r="W270">
        <v>1.1659999999999999</v>
      </c>
      <c r="X270">
        <v>2719.0419000000002</v>
      </c>
      <c r="Y270">
        <v>93506.761400000003</v>
      </c>
      <c r="Z270" t="s">
        <v>1689</v>
      </c>
      <c r="AA270">
        <v>2.2400000000000002</v>
      </c>
      <c r="AB270">
        <v>46.763199999999998</v>
      </c>
      <c r="AC270">
        <v>0</v>
      </c>
      <c r="AD270" t="s">
        <v>10</v>
      </c>
      <c r="AE270">
        <f>P270*'Run 1 Curve Parameters'!$D$3+'Run 1 Curve Parameters'!$E$3</f>
        <v>99.953347630891585</v>
      </c>
      <c r="AF270">
        <f>K270*'Run 1 Curve Parameters'!$D$2+'Run 1 Curve Parameters'!$E$2</f>
        <v>-107.12949541958228</v>
      </c>
    </row>
    <row r="271" spans="1:32">
      <c r="A271" s="2">
        <v>270</v>
      </c>
      <c r="B271" s="3" t="s">
        <v>5</v>
      </c>
      <c r="C271" s="2" t="s">
        <v>6</v>
      </c>
      <c r="D271" s="2">
        <v>270</v>
      </c>
      <c r="E271" s="2" t="s">
        <v>750</v>
      </c>
      <c r="F271" t="s">
        <v>751</v>
      </c>
      <c r="G271" s="4">
        <v>44835</v>
      </c>
      <c r="H271" s="5">
        <v>0.33170138888888889</v>
      </c>
      <c r="I271" t="s">
        <v>9</v>
      </c>
      <c r="J271">
        <v>1.413</v>
      </c>
      <c r="K271">
        <v>0.30420000000000003</v>
      </c>
      <c r="L271">
        <v>1.6336999999999999</v>
      </c>
      <c r="M271" t="s">
        <v>10</v>
      </c>
      <c r="N271" t="s">
        <v>11</v>
      </c>
      <c r="O271">
        <v>1.9359999999999999</v>
      </c>
      <c r="P271">
        <v>84.588300000000004</v>
      </c>
      <c r="Q271">
        <v>103.0564</v>
      </c>
      <c r="R271" t="s">
        <v>10</v>
      </c>
      <c r="S271" t="s">
        <v>752</v>
      </c>
      <c r="T271" s="4">
        <v>44835</v>
      </c>
      <c r="U271" s="5">
        <v>0.33170138888888889</v>
      </c>
      <c r="V271" t="s">
        <v>13</v>
      </c>
      <c r="W271">
        <v>1.17</v>
      </c>
      <c r="X271">
        <v>3012.3308999999999</v>
      </c>
      <c r="Y271">
        <v>116313.92539999999</v>
      </c>
      <c r="Z271" t="s">
        <v>1689</v>
      </c>
      <c r="AA271">
        <v>2.2429999999999999</v>
      </c>
      <c r="AB271">
        <v>53.169800000000002</v>
      </c>
      <c r="AC271">
        <v>1.9199999999999998E-2</v>
      </c>
      <c r="AD271" t="s">
        <v>10</v>
      </c>
      <c r="AE271">
        <f>P271*'Run 1 Curve Parameters'!$D$3+'Run 1 Curve Parameters'!$E$3</f>
        <v>141.25486253852256</v>
      </c>
      <c r="AF271">
        <f>K271*'Run 1 Curve Parameters'!$D$2+'Run 1 Curve Parameters'!$E$2</f>
        <v>-106.91882043364151</v>
      </c>
    </row>
    <row r="272" spans="1:32">
      <c r="A272" s="2">
        <v>271</v>
      </c>
      <c r="B272" s="3" t="s">
        <v>124</v>
      </c>
      <c r="C272" s="2" t="s">
        <v>6</v>
      </c>
      <c r="D272" s="2">
        <v>271</v>
      </c>
      <c r="E272" s="2" t="s">
        <v>753</v>
      </c>
      <c r="F272" t="s">
        <v>754</v>
      </c>
      <c r="G272" s="4">
        <v>44835</v>
      </c>
      <c r="H272" s="5">
        <v>0.33546296296296302</v>
      </c>
      <c r="I272" t="s">
        <v>9</v>
      </c>
      <c r="J272">
        <v>1.41</v>
      </c>
      <c r="K272">
        <v>0.41139999999999999</v>
      </c>
      <c r="L272">
        <v>2.0973000000000002</v>
      </c>
      <c r="M272" t="s">
        <v>10</v>
      </c>
      <c r="N272" t="s">
        <v>11</v>
      </c>
      <c r="O272">
        <v>1.93</v>
      </c>
      <c r="P272">
        <v>101.0642</v>
      </c>
      <c r="Q272">
        <v>163.94710000000001</v>
      </c>
      <c r="R272" t="s">
        <v>10</v>
      </c>
      <c r="S272" t="s">
        <v>755</v>
      </c>
      <c r="T272" s="4">
        <v>44835</v>
      </c>
      <c r="U272" s="5">
        <v>0.33546296296296302</v>
      </c>
      <c r="V272" t="s">
        <v>13</v>
      </c>
      <c r="W272">
        <v>1.17</v>
      </c>
      <c r="X272">
        <v>3117.893</v>
      </c>
      <c r="Y272">
        <v>125713.00019999999</v>
      </c>
      <c r="Z272" t="s">
        <v>1689</v>
      </c>
      <c r="AA272">
        <v>2.23</v>
      </c>
      <c r="AB272">
        <v>66.3155</v>
      </c>
      <c r="AC272">
        <v>7.2999999999999995E-2</v>
      </c>
      <c r="AD272" t="s">
        <v>10</v>
      </c>
      <c r="AE272">
        <f>P272*'Run 1 Curve Parameters'!$D$3+'Run 1 Curve Parameters'!$E$3</f>
        <v>210.00754043361098</v>
      </c>
      <c r="AF272">
        <f>K272*'Run 1 Curve Parameters'!$D$2+'Run 1 Curve Parameters'!$E$2</f>
        <v>-106.26609330957072</v>
      </c>
    </row>
    <row r="273" spans="1:32">
      <c r="A273" s="2">
        <v>272</v>
      </c>
      <c r="B273" s="3" t="s">
        <v>5</v>
      </c>
      <c r="C273" s="2" t="s">
        <v>6</v>
      </c>
      <c r="D273" s="2">
        <v>272</v>
      </c>
      <c r="E273" s="2" t="s">
        <v>756</v>
      </c>
      <c r="F273" t="s">
        <v>757</v>
      </c>
      <c r="G273" s="4">
        <v>44835</v>
      </c>
      <c r="H273" s="5">
        <v>0.33921296296296299</v>
      </c>
      <c r="I273" t="s">
        <v>9</v>
      </c>
      <c r="J273">
        <v>1.4059999999999999</v>
      </c>
      <c r="K273">
        <v>0.39960000000000001</v>
      </c>
      <c r="L273">
        <v>2.0463</v>
      </c>
      <c r="M273" t="s">
        <v>10</v>
      </c>
      <c r="N273" t="s">
        <v>11</v>
      </c>
      <c r="O273">
        <v>1.9259999999999999</v>
      </c>
      <c r="P273">
        <v>105.9186</v>
      </c>
      <c r="Q273">
        <v>181.8878</v>
      </c>
      <c r="R273" t="s">
        <v>10</v>
      </c>
      <c r="S273" t="s">
        <v>758</v>
      </c>
      <c r="T273" s="4">
        <v>44835</v>
      </c>
      <c r="U273" s="5">
        <v>0.33921296296296299</v>
      </c>
      <c r="V273" t="s">
        <v>13</v>
      </c>
      <c r="W273">
        <v>1.163</v>
      </c>
      <c r="X273">
        <v>3231.3038000000001</v>
      </c>
      <c r="Y273">
        <v>136945.05230000001</v>
      </c>
      <c r="Z273" t="s">
        <v>1689</v>
      </c>
      <c r="AA273">
        <v>2.23</v>
      </c>
      <c r="AB273">
        <v>66.080299999999994</v>
      </c>
      <c r="AC273">
        <v>7.2099999999999997E-2</v>
      </c>
      <c r="AD273" t="s">
        <v>10</v>
      </c>
      <c r="AE273">
        <f>P273*'Run 1 Curve Parameters'!$D$3+'Run 1 Curve Parameters'!$E$3</f>
        <v>230.26458251167145</v>
      </c>
      <c r="AF273">
        <f>K273*'Run 1 Curve Parameters'!$D$2+'Run 1 Curve Parameters'!$E$2</f>
        <v>-106.33794200419791</v>
      </c>
    </row>
    <row r="274" spans="1:32">
      <c r="A274" s="2">
        <v>273</v>
      </c>
      <c r="B274" s="3" t="s">
        <v>131</v>
      </c>
      <c r="C274" s="2" t="s">
        <v>6</v>
      </c>
      <c r="D274" s="2">
        <v>273</v>
      </c>
      <c r="E274" s="2" t="s">
        <v>759</v>
      </c>
      <c r="F274" t="s">
        <v>760</v>
      </c>
      <c r="G274" s="4">
        <v>44835</v>
      </c>
      <c r="H274" s="5">
        <v>0.34296296296296297</v>
      </c>
      <c r="I274" t="s">
        <v>9</v>
      </c>
      <c r="J274">
        <v>1.413</v>
      </c>
      <c r="K274">
        <v>0.39800000000000002</v>
      </c>
      <c r="L274">
        <v>2.0394000000000001</v>
      </c>
      <c r="M274" t="s">
        <v>10</v>
      </c>
      <c r="N274" t="s">
        <v>11</v>
      </c>
      <c r="O274">
        <v>1.9359999999999999</v>
      </c>
      <c r="P274">
        <v>113.26860000000001</v>
      </c>
      <c r="Q274">
        <v>209.0515</v>
      </c>
      <c r="R274" t="s">
        <v>10</v>
      </c>
      <c r="S274" t="s">
        <v>761</v>
      </c>
      <c r="T274" s="4">
        <v>44835</v>
      </c>
      <c r="U274" s="5">
        <v>0.34296296296296297</v>
      </c>
      <c r="V274" t="s">
        <v>13</v>
      </c>
      <c r="W274">
        <v>1.17</v>
      </c>
      <c r="X274">
        <v>3400.2833999999998</v>
      </c>
      <c r="Y274">
        <v>156829.5411</v>
      </c>
      <c r="Z274" t="s">
        <v>1689</v>
      </c>
      <c r="AA274">
        <v>2.2400000000000002</v>
      </c>
      <c r="AB274">
        <v>78.841200000000001</v>
      </c>
      <c r="AC274">
        <v>0.1244</v>
      </c>
      <c r="AD274" t="s">
        <v>10</v>
      </c>
      <c r="AE274">
        <f>P274*'Run 1 Curve Parameters'!$D$3+'Run 1 Curve Parameters'!$E$3</f>
        <v>260.9355736277198</v>
      </c>
      <c r="AF274">
        <f>K274*'Run 1 Curve Parameters'!$D$2+'Run 1 Curve Parameters'!$E$2</f>
        <v>-106.34768420007957</v>
      </c>
    </row>
    <row r="275" spans="1:32">
      <c r="A275" s="2">
        <v>274</v>
      </c>
      <c r="B275" s="3" t="s">
        <v>5</v>
      </c>
      <c r="C275" s="2" t="s">
        <v>6</v>
      </c>
      <c r="D275" s="2">
        <v>274</v>
      </c>
      <c r="E275" s="2" t="s">
        <v>762</v>
      </c>
      <c r="F275" t="s">
        <v>763</v>
      </c>
      <c r="G275" s="4">
        <v>44835</v>
      </c>
      <c r="H275" s="5">
        <v>0.34672453703703704</v>
      </c>
      <c r="I275" t="s">
        <v>9</v>
      </c>
      <c r="J275">
        <v>1.393</v>
      </c>
      <c r="K275">
        <v>0.33119999999999999</v>
      </c>
      <c r="L275">
        <v>1.7504</v>
      </c>
      <c r="M275" t="s">
        <v>10</v>
      </c>
      <c r="N275" t="s">
        <v>11</v>
      </c>
      <c r="O275">
        <v>1.9159999999999999</v>
      </c>
      <c r="P275">
        <v>97.705699999999993</v>
      </c>
      <c r="Q275">
        <v>151.535</v>
      </c>
      <c r="R275" t="s">
        <v>10</v>
      </c>
      <c r="S275" t="s">
        <v>764</v>
      </c>
      <c r="T275" s="4">
        <v>44835</v>
      </c>
      <c r="U275" s="5">
        <v>0.34672453703703704</v>
      </c>
      <c r="V275" t="s">
        <v>13</v>
      </c>
      <c r="W275">
        <v>1.1559999999999999</v>
      </c>
      <c r="X275">
        <v>2960.1529999999998</v>
      </c>
      <c r="Y275">
        <v>111921.15640000001</v>
      </c>
      <c r="Z275" t="s">
        <v>1689</v>
      </c>
      <c r="AA275">
        <v>2.2160000000000002</v>
      </c>
      <c r="AB275">
        <v>63.328299999999999</v>
      </c>
      <c r="AC275">
        <v>6.08E-2</v>
      </c>
      <c r="AD275" t="s">
        <v>10</v>
      </c>
      <c r="AE275">
        <f>P275*'Run 1 Curve Parameters'!$D$3+'Run 1 Curve Parameters'!$E$3</f>
        <v>195.9927753093595</v>
      </c>
      <c r="AF275">
        <f>K275*'Run 1 Curve Parameters'!$D$2+'Run 1 Curve Parameters'!$E$2</f>
        <v>-106.75442087813862</v>
      </c>
    </row>
    <row r="276" spans="1:32">
      <c r="A276" s="2">
        <v>275</v>
      </c>
      <c r="B276" s="3" t="s">
        <v>138</v>
      </c>
      <c r="C276" s="2" t="s">
        <v>6</v>
      </c>
      <c r="D276" s="2">
        <v>275</v>
      </c>
      <c r="E276" s="2" t="s">
        <v>765</v>
      </c>
      <c r="F276" t="s">
        <v>766</v>
      </c>
      <c r="G276" s="4">
        <v>44835</v>
      </c>
      <c r="H276" s="5">
        <v>0.35047453703703701</v>
      </c>
      <c r="I276" t="s">
        <v>9</v>
      </c>
      <c r="J276">
        <v>1.403</v>
      </c>
      <c r="K276">
        <v>0.50319999999999998</v>
      </c>
      <c r="L276">
        <v>2.4944000000000002</v>
      </c>
      <c r="M276" t="s">
        <v>10</v>
      </c>
      <c r="N276" t="s">
        <v>11</v>
      </c>
      <c r="O276">
        <v>1.9259999999999999</v>
      </c>
      <c r="P276">
        <v>140.21950000000001</v>
      </c>
      <c r="Q276">
        <v>308.65519999999998</v>
      </c>
      <c r="R276" t="s">
        <v>10</v>
      </c>
      <c r="S276" t="s">
        <v>767</v>
      </c>
      <c r="T276" s="4">
        <v>44835</v>
      </c>
      <c r="U276" s="5">
        <v>0.35047453703703701</v>
      </c>
      <c r="V276" t="s">
        <v>13</v>
      </c>
      <c r="W276">
        <v>1.163</v>
      </c>
      <c r="X276">
        <v>3609.48</v>
      </c>
      <c r="Y276">
        <v>187356.04759999999</v>
      </c>
      <c r="Z276" t="s">
        <v>1689</v>
      </c>
      <c r="AA276">
        <v>2.23</v>
      </c>
      <c r="AB276">
        <v>90.102199999999996</v>
      </c>
      <c r="AC276">
        <v>0.17050000000000001</v>
      </c>
      <c r="AD276" t="s">
        <v>10</v>
      </c>
      <c r="AE276">
        <f>P276*'Run 1 Curve Parameters'!$D$3+'Run 1 Curve Parameters'!$E$3</f>
        <v>373.39963001812873</v>
      </c>
      <c r="AF276">
        <f>K276*'Run 1 Curve Parameters'!$D$2+'Run 1 Curve Parameters'!$E$2</f>
        <v>-105.70713482086083</v>
      </c>
    </row>
    <row r="277" spans="1:32">
      <c r="A277" s="2">
        <v>276</v>
      </c>
      <c r="B277" s="3" t="s">
        <v>5</v>
      </c>
      <c r="C277" s="2" t="s">
        <v>6</v>
      </c>
      <c r="D277" s="2">
        <v>276</v>
      </c>
      <c r="E277" s="2" t="s">
        <v>768</v>
      </c>
      <c r="F277" t="s">
        <v>769</v>
      </c>
      <c r="G277" s="4">
        <v>44835</v>
      </c>
      <c r="H277" s="5">
        <v>0.35423611111111114</v>
      </c>
      <c r="I277" t="s">
        <v>9</v>
      </c>
      <c r="J277">
        <v>1.403</v>
      </c>
      <c r="K277">
        <v>0.33069999999999999</v>
      </c>
      <c r="L277">
        <v>1.7483</v>
      </c>
      <c r="M277" t="s">
        <v>10</v>
      </c>
      <c r="N277" t="s">
        <v>11</v>
      </c>
      <c r="O277">
        <v>1.923</v>
      </c>
      <c r="P277">
        <v>88.958399999999997</v>
      </c>
      <c r="Q277">
        <v>119.2072</v>
      </c>
      <c r="R277" t="s">
        <v>10</v>
      </c>
      <c r="S277" t="s">
        <v>770</v>
      </c>
      <c r="T277" s="4">
        <v>44835</v>
      </c>
      <c r="U277" s="5">
        <v>0.35423611111111114</v>
      </c>
      <c r="V277" t="s">
        <v>13</v>
      </c>
      <c r="W277">
        <v>1.1599999999999999</v>
      </c>
      <c r="X277">
        <v>2980.2979999999998</v>
      </c>
      <c r="Y277">
        <v>113565.3361</v>
      </c>
      <c r="Z277" t="s">
        <v>1689</v>
      </c>
      <c r="AA277">
        <v>2.226</v>
      </c>
      <c r="AB277">
        <v>60.299100000000003</v>
      </c>
      <c r="AC277">
        <v>4.8399999999999999E-2</v>
      </c>
      <c r="AD277" t="s">
        <v>10</v>
      </c>
      <c r="AE277">
        <f>P277*'Run 1 Curve Parameters'!$D$3+'Run 1 Curve Parameters'!$E$3</f>
        <v>159.49095754209299</v>
      </c>
      <c r="AF277">
        <f>K277*'Run 1 Curve Parameters'!$D$2+'Run 1 Curve Parameters'!$E$2</f>
        <v>-106.75746531435163</v>
      </c>
    </row>
    <row r="278" spans="1:32">
      <c r="A278" s="2">
        <v>277</v>
      </c>
      <c r="B278" s="3" t="s">
        <v>5</v>
      </c>
      <c r="C278" s="2" t="s">
        <v>6</v>
      </c>
      <c r="D278" s="2">
        <v>277</v>
      </c>
      <c r="E278" s="2" t="s">
        <v>771</v>
      </c>
      <c r="F278" t="s">
        <v>772</v>
      </c>
      <c r="G278" s="4">
        <v>44835</v>
      </c>
      <c r="H278" s="5">
        <v>0.35798611111111112</v>
      </c>
      <c r="I278" t="s">
        <v>9</v>
      </c>
      <c r="J278">
        <v>1.4159999999999999</v>
      </c>
      <c r="K278">
        <v>0.35699999999999998</v>
      </c>
      <c r="L278">
        <v>1.8620000000000001</v>
      </c>
      <c r="M278" t="s">
        <v>10</v>
      </c>
      <c r="N278" t="s">
        <v>11</v>
      </c>
      <c r="O278">
        <v>1.94</v>
      </c>
      <c r="P278">
        <v>94.448999999999998</v>
      </c>
      <c r="Q278">
        <v>139.499</v>
      </c>
      <c r="R278" t="s">
        <v>10</v>
      </c>
      <c r="S278" t="s">
        <v>773</v>
      </c>
      <c r="T278" s="4">
        <v>44835</v>
      </c>
      <c r="U278" s="5">
        <v>0.35798611111111112</v>
      </c>
      <c r="V278" t="s">
        <v>13</v>
      </c>
      <c r="W278">
        <v>1.17</v>
      </c>
      <c r="X278">
        <v>3164.739</v>
      </c>
      <c r="Y278">
        <v>130213.3677</v>
      </c>
      <c r="Z278" t="s">
        <v>1689</v>
      </c>
      <c r="AA278">
        <v>2.2400000000000002</v>
      </c>
      <c r="AB278">
        <v>59.729300000000002</v>
      </c>
      <c r="AC278">
        <v>4.6100000000000002E-2</v>
      </c>
      <c r="AD278" t="s">
        <v>10</v>
      </c>
      <c r="AE278">
        <f>P278*'Run 1 Curve Parameters'!$D$3+'Run 1 Curve Parameters'!$E$3</f>
        <v>182.40281384437526</v>
      </c>
      <c r="AF278">
        <f>K278*'Run 1 Curve Parameters'!$D$2+'Run 1 Curve Parameters'!$E$2</f>
        <v>-106.59732796954694</v>
      </c>
    </row>
    <row r="279" spans="1:32">
      <c r="A279" s="2">
        <v>278</v>
      </c>
      <c r="B279" s="3" t="s">
        <v>5</v>
      </c>
      <c r="C279" s="2" t="s">
        <v>6</v>
      </c>
      <c r="D279" s="2">
        <v>278</v>
      </c>
      <c r="E279" s="2" t="s">
        <v>774</v>
      </c>
      <c r="F279" t="s">
        <v>775</v>
      </c>
      <c r="G279" s="4">
        <v>44835</v>
      </c>
      <c r="H279" s="5">
        <v>0.36173611111111109</v>
      </c>
      <c r="I279" t="s">
        <v>9</v>
      </c>
      <c r="J279">
        <v>1.413</v>
      </c>
      <c r="K279">
        <v>0.3054</v>
      </c>
      <c r="L279">
        <v>1.6388</v>
      </c>
      <c r="M279" t="s">
        <v>10</v>
      </c>
      <c r="N279" t="s">
        <v>11</v>
      </c>
      <c r="O279">
        <v>1.94</v>
      </c>
      <c r="P279">
        <v>87.213999999999999</v>
      </c>
      <c r="Q279">
        <v>112.7603</v>
      </c>
      <c r="R279" t="s">
        <v>10</v>
      </c>
      <c r="S279" t="s">
        <v>776</v>
      </c>
      <c r="T279" s="4">
        <v>44835</v>
      </c>
      <c r="U279" s="5">
        <v>0.36173611111111109</v>
      </c>
      <c r="V279" t="s">
        <v>13</v>
      </c>
      <c r="W279">
        <v>1.17</v>
      </c>
      <c r="X279">
        <v>3081.5513999999998</v>
      </c>
      <c r="Y279">
        <v>122396.576</v>
      </c>
      <c r="Z279" t="s">
        <v>1689</v>
      </c>
      <c r="AA279">
        <v>2.2400000000000002</v>
      </c>
      <c r="AB279">
        <v>56.320300000000003</v>
      </c>
      <c r="AC279">
        <v>3.2099999999999997E-2</v>
      </c>
      <c r="AD279" t="s">
        <v>10</v>
      </c>
      <c r="AE279">
        <f>P279*'Run 1 Curve Parameters'!$D$3+'Run 1 Curve Parameters'!$E$3</f>
        <v>152.21170898388419</v>
      </c>
      <c r="AF279">
        <f>K279*'Run 1 Curve Parameters'!$D$2+'Run 1 Curve Parameters'!$E$2</f>
        <v>-106.91151378673028</v>
      </c>
    </row>
    <row r="280" spans="1:32">
      <c r="A280" s="2">
        <v>279</v>
      </c>
      <c r="B280" s="3" t="s">
        <v>151</v>
      </c>
      <c r="C280" s="2" t="s">
        <v>6</v>
      </c>
      <c r="D280" s="2">
        <v>279</v>
      </c>
      <c r="E280" s="2" t="s">
        <v>777</v>
      </c>
      <c r="F280" t="s">
        <v>778</v>
      </c>
      <c r="G280" s="4">
        <v>44835</v>
      </c>
      <c r="H280" s="5">
        <v>0.36549768518518522</v>
      </c>
      <c r="I280" t="s">
        <v>9</v>
      </c>
      <c r="J280">
        <v>0</v>
      </c>
      <c r="K280">
        <v>0</v>
      </c>
      <c r="L280">
        <v>0</v>
      </c>
      <c r="M280" t="s">
        <v>10</v>
      </c>
      <c r="N280" t="s">
        <v>11</v>
      </c>
      <c r="O280">
        <v>1.923</v>
      </c>
      <c r="P280">
        <v>17.921199999999999</v>
      </c>
      <c r="Q280">
        <v>0</v>
      </c>
      <c r="R280" t="s">
        <v>10</v>
      </c>
      <c r="S280" t="s">
        <v>779</v>
      </c>
      <c r="T280" s="4">
        <v>44835</v>
      </c>
      <c r="U280" s="5">
        <v>0.36549768518518522</v>
      </c>
      <c r="V280" t="s">
        <v>13</v>
      </c>
      <c r="W280">
        <v>1.153</v>
      </c>
      <c r="X280">
        <v>836.04700000000003</v>
      </c>
      <c r="Y280">
        <v>0</v>
      </c>
      <c r="Z280" t="s">
        <v>1689</v>
      </c>
      <c r="AA280">
        <v>2.2360000000000002</v>
      </c>
      <c r="AB280">
        <v>6.3548999999999998</v>
      </c>
      <c r="AC280">
        <v>0</v>
      </c>
      <c r="AD280" t="s">
        <v>10</v>
      </c>
      <c r="AE280">
        <f>P280*'Run 1 Curve Parameters'!$D$3+'Run 1 Curve Parameters'!$E$3</f>
        <v>-136.94187648633482</v>
      </c>
      <c r="AF280">
        <f>K280*'Run 1 Curve Parameters'!$D$2+'Run 1 Curve Parameters'!$E$2</f>
        <v>-108.77105542564095</v>
      </c>
    </row>
    <row r="281" spans="1:32">
      <c r="A281" s="2">
        <v>280</v>
      </c>
      <c r="B281" s="3" t="s">
        <v>5</v>
      </c>
      <c r="C281" s="2" t="s">
        <v>6</v>
      </c>
      <c r="D281" s="2">
        <v>280</v>
      </c>
      <c r="E281" s="2" t="s">
        <v>780</v>
      </c>
      <c r="F281" t="s">
        <v>781</v>
      </c>
      <c r="G281" s="4">
        <v>44835</v>
      </c>
      <c r="H281" s="5">
        <v>0.36924768518518519</v>
      </c>
      <c r="I281" t="s">
        <v>9</v>
      </c>
      <c r="J281">
        <v>1.413</v>
      </c>
      <c r="K281">
        <v>0.35580000000000001</v>
      </c>
      <c r="L281">
        <v>1.8568</v>
      </c>
      <c r="M281" t="s">
        <v>10</v>
      </c>
      <c r="N281" t="s">
        <v>11</v>
      </c>
      <c r="O281">
        <v>1.9359999999999999</v>
      </c>
      <c r="P281">
        <v>106.1198</v>
      </c>
      <c r="Q281">
        <v>182.63130000000001</v>
      </c>
      <c r="R281" t="s">
        <v>10</v>
      </c>
      <c r="S281" t="s">
        <v>782</v>
      </c>
      <c r="T281" s="4">
        <v>44835</v>
      </c>
      <c r="U281" s="5">
        <v>0.36924768518518519</v>
      </c>
      <c r="V281" t="s">
        <v>13</v>
      </c>
      <c r="W281">
        <v>1.17</v>
      </c>
      <c r="X281">
        <v>3317.1448</v>
      </c>
      <c r="Y281">
        <v>146383.6226</v>
      </c>
      <c r="Z281" t="s">
        <v>1689</v>
      </c>
      <c r="AA281">
        <v>2.2400000000000002</v>
      </c>
      <c r="AB281">
        <v>66.504199999999997</v>
      </c>
      <c r="AC281">
        <v>7.3800000000000004E-2</v>
      </c>
      <c r="AD281" t="s">
        <v>10</v>
      </c>
      <c r="AE281">
        <f>P281*'Run 1 Curve Parameters'!$D$3+'Run 1 Curve Parameters'!$E$3</f>
        <v>231.10417481269855</v>
      </c>
      <c r="AF281">
        <f>K281*'Run 1 Curve Parameters'!$D$2+'Run 1 Curve Parameters'!$E$2</f>
        <v>-106.60463461645818</v>
      </c>
    </row>
    <row r="282" spans="1:32">
      <c r="A282" s="2">
        <v>281</v>
      </c>
      <c r="B282" s="3" t="s">
        <v>158</v>
      </c>
      <c r="C282" s="2" t="s">
        <v>6</v>
      </c>
      <c r="D282" s="2">
        <v>281</v>
      </c>
      <c r="E282" s="2" t="s">
        <v>783</v>
      </c>
      <c r="F282" t="s">
        <v>784</v>
      </c>
      <c r="G282" s="4">
        <v>44835</v>
      </c>
      <c r="H282" s="5">
        <v>0.37300925925925926</v>
      </c>
      <c r="I282" t="s">
        <v>9</v>
      </c>
      <c r="J282">
        <v>0</v>
      </c>
      <c r="K282">
        <v>0</v>
      </c>
      <c r="L282">
        <v>0</v>
      </c>
      <c r="M282" t="s">
        <v>10</v>
      </c>
      <c r="N282" t="s">
        <v>11</v>
      </c>
      <c r="O282">
        <v>1.923</v>
      </c>
      <c r="P282">
        <v>20.567</v>
      </c>
      <c r="Q282">
        <v>0</v>
      </c>
      <c r="R282" t="s">
        <v>10</v>
      </c>
      <c r="S282" t="s">
        <v>785</v>
      </c>
      <c r="T282" s="4">
        <v>44835</v>
      </c>
      <c r="U282" s="5">
        <v>0.37300925925925926</v>
      </c>
      <c r="V282" t="s">
        <v>13</v>
      </c>
      <c r="W282">
        <v>1.1559999999999999</v>
      </c>
      <c r="X282">
        <v>1639.7929999999999</v>
      </c>
      <c r="Y282">
        <v>31236.651399999999</v>
      </c>
      <c r="Z282" t="s">
        <v>1689</v>
      </c>
      <c r="AA282">
        <v>2.23</v>
      </c>
      <c r="AB282">
        <v>6.9696999999999996</v>
      </c>
      <c r="AC282">
        <v>0</v>
      </c>
      <c r="AD282" t="s">
        <v>10</v>
      </c>
      <c r="AE282">
        <f>P282*'Run 1 Curve Parameters'!$D$3+'Run 1 Curve Parameters'!$E$3</f>
        <v>-125.90115426934972</v>
      </c>
      <c r="AF282">
        <f>K282*'Run 1 Curve Parameters'!$D$2+'Run 1 Curve Parameters'!$E$2</f>
        <v>-108.77105542564095</v>
      </c>
    </row>
    <row r="283" spans="1:32">
      <c r="A283" s="2">
        <v>282</v>
      </c>
      <c r="B283" s="3" t="s">
        <v>5</v>
      </c>
      <c r="C283" s="2" t="s">
        <v>6</v>
      </c>
      <c r="D283" s="2">
        <v>282</v>
      </c>
      <c r="E283" s="2" t="s">
        <v>786</v>
      </c>
      <c r="F283" t="s">
        <v>787</v>
      </c>
      <c r="G283" s="4">
        <v>44835</v>
      </c>
      <c r="H283" s="5">
        <v>0.37677083333333333</v>
      </c>
      <c r="I283" t="s">
        <v>9</v>
      </c>
      <c r="J283">
        <v>1.4059999999999999</v>
      </c>
      <c r="K283">
        <v>0.36180000000000001</v>
      </c>
      <c r="L283">
        <v>1.8828</v>
      </c>
      <c r="M283" t="s">
        <v>10</v>
      </c>
      <c r="N283" t="s">
        <v>11</v>
      </c>
      <c r="O283">
        <v>1.9259999999999999</v>
      </c>
      <c r="P283">
        <v>98.303700000000006</v>
      </c>
      <c r="Q283">
        <v>153.745</v>
      </c>
      <c r="R283" t="s">
        <v>10</v>
      </c>
      <c r="S283" t="s">
        <v>788</v>
      </c>
      <c r="T283" s="4">
        <v>44835</v>
      </c>
      <c r="U283" s="5">
        <v>0.37677083333333333</v>
      </c>
      <c r="V283" t="s">
        <v>13</v>
      </c>
      <c r="W283">
        <v>1.163</v>
      </c>
      <c r="X283">
        <v>3134.6559999999999</v>
      </c>
      <c r="Y283">
        <v>127281.8241</v>
      </c>
      <c r="Z283" t="s">
        <v>1689</v>
      </c>
      <c r="AA283">
        <v>2.226</v>
      </c>
      <c r="AB283">
        <v>62.6066</v>
      </c>
      <c r="AC283">
        <v>5.7799999999999997E-2</v>
      </c>
      <c r="AD283" t="s">
        <v>10</v>
      </c>
      <c r="AE283">
        <f>P283*'Run 1 Curve Parameters'!$D$3+'Run 1 Curve Parameters'!$E$3</f>
        <v>198.4881838382571</v>
      </c>
      <c r="AF283">
        <f>K283*'Run 1 Curve Parameters'!$D$2+'Run 1 Curve Parameters'!$E$2</f>
        <v>-106.56810138190198</v>
      </c>
    </row>
    <row r="284" spans="1:32">
      <c r="A284" s="2">
        <v>283</v>
      </c>
      <c r="B284" s="3" t="s">
        <v>165</v>
      </c>
      <c r="C284" s="2" t="s">
        <v>6</v>
      </c>
      <c r="D284" s="2">
        <v>283</v>
      </c>
      <c r="E284" s="2" t="s">
        <v>789</v>
      </c>
      <c r="F284" t="s">
        <v>790</v>
      </c>
      <c r="G284" s="4">
        <v>44835</v>
      </c>
      <c r="H284" s="5">
        <v>0.38052083333333336</v>
      </c>
      <c r="I284" t="s">
        <v>9</v>
      </c>
      <c r="J284">
        <v>0</v>
      </c>
      <c r="K284">
        <v>0</v>
      </c>
      <c r="L284">
        <v>0</v>
      </c>
      <c r="M284" t="s">
        <v>10</v>
      </c>
      <c r="N284" t="s">
        <v>11</v>
      </c>
      <c r="O284">
        <v>1.923</v>
      </c>
      <c r="P284">
        <v>10.5108</v>
      </c>
      <c r="Q284">
        <v>0</v>
      </c>
      <c r="R284" t="s">
        <v>10</v>
      </c>
      <c r="S284" t="s">
        <v>791</v>
      </c>
      <c r="T284" s="4">
        <v>44835</v>
      </c>
      <c r="U284" s="5">
        <v>0.38052083333333336</v>
      </c>
      <c r="V284" t="s">
        <v>13</v>
      </c>
      <c r="W284">
        <v>1.1559999999999999</v>
      </c>
      <c r="X284">
        <v>2026.193</v>
      </c>
      <c r="Y284">
        <v>51009.0098</v>
      </c>
      <c r="Z284" t="s">
        <v>1689</v>
      </c>
      <c r="AA284">
        <v>2.23</v>
      </c>
      <c r="AB284">
        <v>6.2000999999999999</v>
      </c>
      <c r="AC284">
        <v>0</v>
      </c>
      <c r="AD284" t="s">
        <v>10</v>
      </c>
      <c r="AE284">
        <f>P284*'Run 1 Curve Parameters'!$D$3+'Run 1 Curve Parameters'!$E$3</f>
        <v>-167.86491220964967</v>
      </c>
      <c r="AF284">
        <f>K284*'Run 1 Curve Parameters'!$D$2+'Run 1 Curve Parameters'!$E$2</f>
        <v>-108.77105542564095</v>
      </c>
    </row>
    <row r="285" spans="1:32">
      <c r="A285" s="2">
        <v>284</v>
      </c>
      <c r="B285" s="3" t="s">
        <v>5</v>
      </c>
      <c r="C285" s="2" t="s">
        <v>6</v>
      </c>
      <c r="D285" s="2">
        <v>284</v>
      </c>
      <c r="E285" s="2" t="s">
        <v>792</v>
      </c>
      <c r="F285" t="s">
        <v>793</v>
      </c>
      <c r="G285" s="4">
        <v>44835</v>
      </c>
      <c r="H285" s="5">
        <v>0.38427083333333334</v>
      </c>
      <c r="I285" t="s">
        <v>9</v>
      </c>
      <c r="J285">
        <v>1.393</v>
      </c>
      <c r="K285">
        <v>0.37219999999999998</v>
      </c>
      <c r="L285">
        <v>1.9278</v>
      </c>
      <c r="M285" t="s">
        <v>10</v>
      </c>
      <c r="N285" t="s">
        <v>11</v>
      </c>
      <c r="O285">
        <v>1.9159999999999999</v>
      </c>
      <c r="P285">
        <v>99.922899999999998</v>
      </c>
      <c r="Q285">
        <v>159.72919999999999</v>
      </c>
      <c r="R285" t="s">
        <v>10</v>
      </c>
      <c r="S285" t="s">
        <v>794</v>
      </c>
      <c r="T285" s="4">
        <v>44835</v>
      </c>
      <c r="U285" s="5">
        <v>0.38427083333333334</v>
      </c>
      <c r="V285" t="s">
        <v>13</v>
      </c>
      <c r="W285">
        <v>1.1599999999999999</v>
      </c>
      <c r="X285">
        <v>2980.4605999999999</v>
      </c>
      <c r="Y285">
        <v>113579.288</v>
      </c>
      <c r="Z285" t="s">
        <v>1689</v>
      </c>
      <c r="AA285">
        <v>2.2200000000000002</v>
      </c>
      <c r="AB285">
        <v>65.514099999999999</v>
      </c>
      <c r="AC285">
        <v>6.9800000000000001E-2</v>
      </c>
      <c r="AD285" t="s">
        <v>10</v>
      </c>
      <c r="AE285">
        <f>P285*'Run 1 Curve Parameters'!$D$3+'Run 1 Curve Parameters'!$E$3</f>
        <v>205.24498231650267</v>
      </c>
      <c r="AF285">
        <f>K285*'Run 1 Curve Parameters'!$D$2+'Run 1 Curve Parameters'!$E$2</f>
        <v>-106.50477710867123</v>
      </c>
    </row>
    <row r="286" spans="1:32">
      <c r="A286" s="2">
        <v>285</v>
      </c>
      <c r="B286" s="3" t="s">
        <v>172</v>
      </c>
      <c r="C286" s="2" t="s">
        <v>6</v>
      </c>
      <c r="D286" s="2">
        <v>285</v>
      </c>
      <c r="E286" s="2" t="s">
        <v>795</v>
      </c>
      <c r="F286" t="s">
        <v>796</v>
      </c>
      <c r="G286" s="4">
        <v>44835</v>
      </c>
      <c r="H286" s="5">
        <v>0.38803240740740735</v>
      </c>
      <c r="I286" t="s">
        <v>9</v>
      </c>
      <c r="J286">
        <v>0</v>
      </c>
      <c r="K286">
        <v>0</v>
      </c>
      <c r="L286">
        <v>0</v>
      </c>
      <c r="M286" t="s">
        <v>10</v>
      </c>
      <c r="N286" t="s">
        <v>11</v>
      </c>
      <c r="O286">
        <v>1.9259999999999999</v>
      </c>
      <c r="P286">
        <v>11.102600000000001</v>
      </c>
      <c r="Q286">
        <v>0</v>
      </c>
      <c r="R286" t="s">
        <v>10</v>
      </c>
      <c r="S286" t="s">
        <v>797</v>
      </c>
      <c r="T286" s="4">
        <v>44835</v>
      </c>
      <c r="U286" s="5">
        <v>0.38803240740740735</v>
      </c>
      <c r="V286" t="s">
        <v>13</v>
      </c>
      <c r="W286">
        <v>1.1599999999999999</v>
      </c>
      <c r="X286">
        <v>2753.8782000000001</v>
      </c>
      <c r="Y286">
        <v>96041.597099999999</v>
      </c>
      <c r="Z286" t="s">
        <v>1689</v>
      </c>
      <c r="AA286">
        <v>2.23</v>
      </c>
      <c r="AB286">
        <v>6.3875999999999999</v>
      </c>
      <c r="AC286">
        <v>0</v>
      </c>
      <c r="AD286" t="s">
        <v>10</v>
      </c>
      <c r="AE286">
        <f>P286*'Run 1 Curve Parameters'!$D$3+'Run 1 Curve Parameters'!$E$3</f>
        <v>-165.39537580931261</v>
      </c>
      <c r="AF286">
        <f>K286*'Run 1 Curve Parameters'!$D$2+'Run 1 Curve Parameters'!$E$2</f>
        <v>-108.77105542564095</v>
      </c>
    </row>
    <row r="287" spans="1:32">
      <c r="A287" s="2">
        <v>286</v>
      </c>
      <c r="B287" s="3" t="s">
        <v>5</v>
      </c>
      <c r="C287" s="2" t="s">
        <v>6</v>
      </c>
      <c r="D287" s="2">
        <v>286</v>
      </c>
      <c r="E287" s="2" t="s">
        <v>798</v>
      </c>
      <c r="F287" t="s">
        <v>799</v>
      </c>
      <c r="G287" s="4">
        <v>44835</v>
      </c>
      <c r="H287" s="5">
        <v>0.39178240740740744</v>
      </c>
      <c r="I287" t="s">
        <v>9</v>
      </c>
      <c r="J287">
        <v>1.41</v>
      </c>
      <c r="K287">
        <v>0.311</v>
      </c>
      <c r="L287">
        <v>1.6631</v>
      </c>
      <c r="M287" t="s">
        <v>10</v>
      </c>
      <c r="N287" t="s">
        <v>11</v>
      </c>
      <c r="O287">
        <v>1.93</v>
      </c>
      <c r="P287">
        <v>78.779399999999995</v>
      </c>
      <c r="Q287">
        <v>81.588200000000001</v>
      </c>
      <c r="R287" t="s">
        <v>10</v>
      </c>
      <c r="S287" t="s">
        <v>800</v>
      </c>
      <c r="T287" s="4">
        <v>44835</v>
      </c>
      <c r="U287" s="5">
        <v>0.39178240740740744</v>
      </c>
      <c r="V287" t="s">
        <v>13</v>
      </c>
      <c r="W287">
        <v>1.1659999999999999</v>
      </c>
      <c r="X287">
        <v>2864.2564000000002</v>
      </c>
      <c r="Y287">
        <v>104290.54240000001</v>
      </c>
      <c r="Z287" t="s">
        <v>1689</v>
      </c>
      <c r="AA287">
        <v>2.2330000000000001</v>
      </c>
      <c r="AB287">
        <v>53.826999999999998</v>
      </c>
      <c r="AC287">
        <v>2.1899999999999999E-2</v>
      </c>
      <c r="AD287" t="s">
        <v>10</v>
      </c>
      <c r="AE287">
        <f>P287*'Run 1 Curve Parameters'!$D$3+'Run 1 Curve Parameters'!$E$3</f>
        <v>117.01476453933714</v>
      </c>
      <c r="AF287">
        <f>K287*'Run 1 Curve Parameters'!$D$2+'Run 1 Curve Parameters'!$E$2</f>
        <v>-106.87741610114449</v>
      </c>
    </row>
    <row r="288" spans="1:32">
      <c r="A288" s="2">
        <v>287</v>
      </c>
      <c r="B288" s="3" t="s">
        <v>179</v>
      </c>
      <c r="C288" s="2" t="s">
        <v>6</v>
      </c>
      <c r="D288" s="2">
        <v>287</v>
      </c>
      <c r="E288" s="2" t="s">
        <v>801</v>
      </c>
      <c r="F288" t="s">
        <v>802</v>
      </c>
      <c r="G288" s="4">
        <v>44835</v>
      </c>
      <c r="H288" s="5">
        <v>0.39553240740740742</v>
      </c>
      <c r="I288" t="s">
        <v>9</v>
      </c>
      <c r="J288">
        <v>0</v>
      </c>
      <c r="K288">
        <v>0</v>
      </c>
      <c r="L288">
        <v>0</v>
      </c>
      <c r="M288" t="s">
        <v>10</v>
      </c>
      <c r="N288" t="s">
        <v>11</v>
      </c>
      <c r="O288">
        <v>1.923</v>
      </c>
      <c r="P288">
        <v>13.2797</v>
      </c>
      <c r="Q288">
        <v>0</v>
      </c>
      <c r="R288" t="s">
        <v>10</v>
      </c>
      <c r="S288" t="s">
        <v>803</v>
      </c>
      <c r="T288" s="4">
        <v>44835</v>
      </c>
      <c r="U288" s="5">
        <v>0.39553240740740742</v>
      </c>
      <c r="V288" t="s">
        <v>13</v>
      </c>
      <c r="W288">
        <v>1.1599999999999999</v>
      </c>
      <c r="X288">
        <v>3394.9783000000002</v>
      </c>
      <c r="Y288">
        <v>156120.0068</v>
      </c>
      <c r="Z288" t="s">
        <v>1689</v>
      </c>
      <c r="AA288">
        <v>2.2160000000000002</v>
      </c>
      <c r="AB288">
        <v>6.2514000000000003</v>
      </c>
      <c r="AC288">
        <v>0</v>
      </c>
      <c r="AD288" t="s">
        <v>10</v>
      </c>
      <c r="AE288">
        <f>P288*'Run 1 Curve Parameters'!$D$3+'Run 1 Curve Parameters'!$E$3</f>
        <v>-156.31050305302028</v>
      </c>
      <c r="AF288">
        <f>K288*'Run 1 Curve Parameters'!$D$2+'Run 1 Curve Parameters'!$E$2</f>
        <v>-108.77105542564095</v>
      </c>
    </row>
    <row r="289" spans="1:32">
      <c r="A289" s="2">
        <v>288</v>
      </c>
      <c r="B289" s="3" t="s">
        <v>5</v>
      </c>
      <c r="C289" s="2" t="s">
        <v>6</v>
      </c>
      <c r="D289" s="2">
        <v>288</v>
      </c>
      <c r="E289" s="2" t="s">
        <v>804</v>
      </c>
      <c r="F289" t="s">
        <v>805</v>
      </c>
      <c r="G289" s="4">
        <v>44835</v>
      </c>
      <c r="H289" s="5">
        <v>0.39929398148148149</v>
      </c>
      <c r="I289" t="s">
        <v>9</v>
      </c>
      <c r="J289">
        <v>1.4059999999999999</v>
      </c>
      <c r="K289">
        <v>0.39960000000000001</v>
      </c>
      <c r="L289">
        <v>2.0463</v>
      </c>
      <c r="M289" t="s">
        <v>10</v>
      </c>
      <c r="N289" t="s">
        <v>11</v>
      </c>
      <c r="O289">
        <v>1.923</v>
      </c>
      <c r="P289">
        <v>109.82810000000001</v>
      </c>
      <c r="Q289">
        <v>196.33629999999999</v>
      </c>
      <c r="R289" t="s">
        <v>10</v>
      </c>
      <c r="S289" t="s">
        <v>806</v>
      </c>
      <c r="T289" s="4">
        <v>44835</v>
      </c>
      <c r="U289" s="5">
        <v>0.39929398148148149</v>
      </c>
      <c r="V289" t="s">
        <v>13</v>
      </c>
      <c r="W289">
        <v>1.1599999999999999</v>
      </c>
      <c r="X289">
        <v>3299.4834000000001</v>
      </c>
      <c r="Y289">
        <v>144392.33869999999</v>
      </c>
      <c r="Z289" t="s">
        <v>1689</v>
      </c>
      <c r="AA289">
        <v>2.226</v>
      </c>
      <c r="AB289">
        <v>69.6614</v>
      </c>
      <c r="AC289">
        <v>8.6800000000000002E-2</v>
      </c>
      <c r="AD289" t="s">
        <v>10</v>
      </c>
      <c r="AE289">
        <f>P289*'Run 1 Curve Parameters'!$D$3+'Run 1 Curve Parameters'!$E$3</f>
        <v>246.57862873863621</v>
      </c>
      <c r="AF289">
        <f>K289*'Run 1 Curve Parameters'!$D$2+'Run 1 Curve Parameters'!$E$2</f>
        <v>-106.33794200419791</v>
      </c>
    </row>
    <row r="290" spans="1:32">
      <c r="A290" s="2">
        <v>289</v>
      </c>
      <c r="B290" s="3" t="s">
        <v>5</v>
      </c>
      <c r="C290" s="2" t="s">
        <v>6</v>
      </c>
      <c r="D290" s="2">
        <v>289</v>
      </c>
      <c r="E290" s="2" t="s">
        <v>807</v>
      </c>
      <c r="F290" t="s">
        <v>808</v>
      </c>
      <c r="G290" s="4">
        <v>44835</v>
      </c>
      <c r="H290" s="5">
        <v>0.40304398148148146</v>
      </c>
      <c r="I290" t="s">
        <v>9</v>
      </c>
      <c r="J290">
        <v>1.4</v>
      </c>
      <c r="K290">
        <v>0.3337</v>
      </c>
      <c r="L290">
        <v>1.7612000000000001</v>
      </c>
      <c r="M290" t="s">
        <v>10</v>
      </c>
      <c r="N290" t="s">
        <v>11</v>
      </c>
      <c r="O290">
        <v>1.9159999999999999</v>
      </c>
      <c r="P290">
        <v>86.935599999999994</v>
      </c>
      <c r="Q290">
        <v>111.73139999999999</v>
      </c>
      <c r="R290" t="s">
        <v>10</v>
      </c>
      <c r="S290" t="s">
        <v>809</v>
      </c>
      <c r="T290" s="4">
        <v>44835</v>
      </c>
      <c r="U290" s="5">
        <v>0.40304398148148146</v>
      </c>
      <c r="V290" t="s">
        <v>13</v>
      </c>
      <c r="W290">
        <v>1.1599999999999999</v>
      </c>
      <c r="X290">
        <v>2851.2806</v>
      </c>
      <c r="Y290">
        <v>103295.98299999999</v>
      </c>
      <c r="Z290" t="s">
        <v>1689</v>
      </c>
      <c r="AA290">
        <v>2.2160000000000002</v>
      </c>
      <c r="AB290">
        <v>54.069899999999997</v>
      </c>
      <c r="AC290">
        <v>2.29E-2</v>
      </c>
      <c r="AD290" t="s">
        <v>10</v>
      </c>
      <c r="AE290">
        <f>P290*'Run 1 Curve Parameters'!$D$3+'Run 1 Curve Parameters'!$E$3</f>
        <v>151.04996695303959</v>
      </c>
      <c r="AF290">
        <f>K290*'Run 1 Curve Parameters'!$D$2+'Run 1 Curve Parameters'!$E$2</f>
        <v>-106.73919869707353</v>
      </c>
    </row>
    <row r="291" spans="1:32">
      <c r="A291" s="2">
        <v>290</v>
      </c>
      <c r="B291" s="3" t="s">
        <v>5</v>
      </c>
      <c r="C291" s="2" t="s">
        <v>6</v>
      </c>
      <c r="D291" s="2">
        <v>290</v>
      </c>
      <c r="E291" s="2" t="s">
        <v>810</v>
      </c>
      <c r="F291" t="s">
        <v>811</v>
      </c>
      <c r="G291" s="4">
        <v>44835</v>
      </c>
      <c r="H291" s="5">
        <v>0.40680555555555559</v>
      </c>
      <c r="I291" t="s">
        <v>9</v>
      </c>
      <c r="J291">
        <v>1.413</v>
      </c>
      <c r="K291">
        <v>0.35539999999999999</v>
      </c>
      <c r="L291">
        <v>1.8551</v>
      </c>
      <c r="M291" t="s">
        <v>10</v>
      </c>
      <c r="N291" t="s">
        <v>11</v>
      </c>
      <c r="O291">
        <v>1.9359999999999999</v>
      </c>
      <c r="P291">
        <v>99.642200000000003</v>
      </c>
      <c r="Q291">
        <v>158.6918</v>
      </c>
      <c r="R291" t="s">
        <v>10</v>
      </c>
      <c r="S291" t="s">
        <v>812</v>
      </c>
      <c r="T291" s="4">
        <v>44835</v>
      </c>
      <c r="U291" s="5">
        <v>0.40680555555555559</v>
      </c>
      <c r="V291" t="s">
        <v>13</v>
      </c>
      <c r="W291">
        <v>1.17</v>
      </c>
      <c r="X291">
        <v>3258.3261000000002</v>
      </c>
      <c r="Y291">
        <v>139770.0006</v>
      </c>
      <c r="Z291" t="s">
        <v>1689</v>
      </c>
      <c r="AA291">
        <v>2.2400000000000002</v>
      </c>
      <c r="AB291">
        <v>62.866399999999999</v>
      </c>
      <c r="AC291">
        <v>5.8900000000000001E-2</v>
      </c>
      <c r="AD291" t="s">
        <v>10</v>
      </c>
      <c r="AE291">
        <f>P291*'Run 1 Curve Parameters'!$D$3+'Run 1 Curve Parameters'!$E$3</f>
        <v>204.07364256054694</v>
      </c>
      <c r="AF291">
        <f>K291*'Run 1 Curve Parameters'!$D$2+'Run 1 Curve Parameters'!$E$2</f>
        <v>-106.6070701654286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4645-7D66-0345-B458-D4FA64015C41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DFC-30AE-814C-A01B-4C6F3AA6CF2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Standard Concentrations</vt:lpstr>
      <vt:lpstr>Run 1 Curves 1</vt:lpstr>
      <vt:lpstr>Run 1 Curves 2</vt:lpstr>
      <vt:lpstr>Run 1 Curve Parameters</vt:lpstr>
      <vt:lpstr>Data Run 1</vt:lpstr>
      <vt:lpstr>Standards Run 2</vt:lpstr>
      <vt:lpstr>Data Run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2022-11-16T17:30:02Z</dcterms:created>
  <dcterms:modified xsi:type="dcterms:W3CDTF">2022-11-17T13:11:08Z</dcterms:modified>
</cp:coreProperties>
</file>