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ewirtzman/Google Drive/Methane Research/"/>
    </mc:Choice>
  </mc:AlternateContent>
  <xr:revisionPtr revIDLastSave="0" documentId="8_{1E425DCD-BD7B-704D-9907-B6E4EB9DFD4C}" xr6:coauthVersionLast="36" xr6:coauthVersionMax="36" xr10:uidLastSave="{00000000-0000-0000-0000-000000000000}"/>
  <bookViews>
    <workbookView xWindow="1180" yWindow="1460" windowWidth="27240" windowHeight="16040" activeTab="2" xr2:uid="{9712D15C-B0F9-F74D-A30B-1616BA1E05F1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Sheet1!$A$1:$A$201</definedName>
  </definedNames>
  <calcPr calcId="181029"/>
  <pivotCaches>
    <pivotCache cacheId="3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0" i="1" l="1"/>
  <c r="F200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35" i="1"/>
  <c r="F35" i="1"/>
  <c r="G34" i="1"/>
  <c r="F34" i="1"/>
  <c r="G33" i="1"/>
  <c r="F33" i="1"/>
  <c r="G32" i="1"/>
  <c r="F32" i="1"/>
  <c r="G31" i="1"/>
  <c r="F31" i="1"/>
  <c r="G30" i="1"/>
  <c r="F30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29" i="1"/>
  <c r="F29" i="1"/>
  <c r="G28" i="1"/>
  <c r="F28" i="1"/>
  <c r="G27" i="1"/>
  <c r="F27" i="1"/>
  <c r="G26" i="1"/>
  <c r="F26" i="1"/>
  <c r="G25" i="1"/>
  <c r="F25" i="1"/>
  <c r="G24" i="1"/>
  <c r="F24" i="1"/>
  <c r="G187" i="1"/>
  <c r="F187" i="1"/>
  <c r="G186" i="1"/>
  <c r="F186" i="1"/>
  <c r="G185" i="1"/>
  <c r="F185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23" i="1"/>
  <c r="F23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85" i="1"/>
  <c r="F85" i="1"/>
  <c r="G84" i="1"/>
  <c r="F84" i="1"/>
  <c r="G83" i="1"/>
  <c r="F83" i="1"/>
  <c r="G22" i="1"/>
  <c r="F22" i="1"/>
  <c r="G21" i="1"/>
  <c r="F21" i="1"/>
  <c r="G20" i="1"/>
  <c r="F20" i="1"/>
  <c r="G19" i="1"/>
  <c r="F19" i="1"/>
  <c r="G18" i="1"/>
  <c r="F18" i="1"/>
  <c r="G17" i="1"/>
  <c r="F17" i="1"/>
  <c r="G171" i="1"/>
  <c r="F171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162" i="1"/>
  <c r="F162" i="1"/>
  <c r="G161" i="1"/>
  <c r="F161" i="1"/>
  <c r="G160" i="1"/>
  <c r="F160" i="1"/>
  <c r="G159" i="1"/>
  <c r="F159" i="1"/>
  <c r="G158" i="1"/>
  <c r="F158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</calcChain>
</file>

<file path=xl/sharedStrings.xml><?xml version="1.0" encoding="utf-8"?>
<sst xmlns="http://schemas.openxmlformats.org/spreadsheetml/2006/main" count="627" uniqueCount="207">
  <si>
    <t>Plot</t>
  </si>
  <si>
    <t>Species</t>
  </si>
  <si>
    <t>Tree ID</t>
  </si>
  <si>
    <t>DBH</t>
  </si>
  <si>
    <t>Notes</t>
  </si>
  <si>
    <t>Label_O</t>
  </si>
  <si>
    <t>Label_A</t>
  </si>
  <si>
    <t>Lowland</t>
  </si>
  <si>
    <t>ACRU</t>
  </si>
  <si>
    <t>RM1</t>
  </si>
  <si>
    <t>RM2</t>
  </si>
  <si>
    <t>RM3</t>
  </si>
  <si>
    <t>RM4</t>
  </si>
  <si>
    <t>RM5</t>
  </si>
  <si>
    <t>RM6</t>
  </si>
  <si>
    <t>RM7</t>
  </si>
  <si>
    <t>RM8</t>
  </si>
  <si>
    <t>RM9</t>
  </si>
  <si>
    <t>RM10</t>
  </si>
  <si>
    <t>RM11</t>
  </si>
  <si>
    <t>RM12</t>
  </si>
  <si>
    <t>RM13</t>
  </si>
  <si>
    <t>RM16</t>
  </si>
  <si>
    <t>RM14</t>
  </si>
  <si>
    <t>Untagged</t>
  </si>
  <si>
    <t>Stream</t>
  </si>
  <si>
    <t>Ridge</t>
  </si>
  <si>
    <t>QURU</t>
  </si>
  <si>
    <t>RO1</t>
  </si>
  <si>
    <t>RO2</t>
  </si>
  <si>
    <t>RO3</t>
  </si>
  <si>
    <t>Hollow trunk</t>
  </si>
  <si>
    <t>RO4</t>
  </si>
  <si>
    <t>RO5</t>
  </si>
  <si>
    <t>RO6</t>
  </si>
  <si>
    <t>RO9</t>
  </si>
  <si>
    <t>RO7</t>
  </si>
  <si>
    <t>RO8</t>
  </si>
  <si>
    <t>RO10</t>
  </si>
  <si>
    <t>Surrounded by pine saplings</t>
  </si>
  <si>
    <t>RO11</t>
  </si>
  <si>
    <t>RO12</t>
  </si>
  <si>
    <t>RO13</t>
  </si>
  <si>
    <t>RO14</t>
  </si>
  <si>
    <t>RO15</t>
  </si>
  <si>
    <t>RO16</t>
  </si>
  <si>
    <t>RO17</t>
  </si>
  <si>
    <t>RO18</t>
  </si>
  <si>
    <t>Lab</t>
  </si>
  <si>
    <t>ACSA</t>
  </si>
  <si>
    <t>SM1</t>
  </si>
  <si>
    <t>SM2</t>
  </si>
  <si>
    <t>SM3</t>
  </si>
  <si>
    <t>SM4</t>
  </si>
  <si>
    <t>SM5</t>
  </si>
  <si>
    <t>SM6</t>
  </si>
  <si>
    <t>SM7</t>
  </si>
  <si>
    <t>SM8</t>
  </si>
  <si>
    <t>SM9</t>
  </si>
  <si>
    <t>SM10</t>
  </si>
  <si>
    <t>SM11</t>
  </si>
  <si>
    <t>SM12</t>
  </si>
  <si>
    <t>SM13</t>
  </si>
  <si>
    <t>SM14</t>
  </si>
  <si>
    <t>SM15</t>
  </si>
  <si>
    <t>SMR1</t>
  </si>
  <si>
    <t>BELE</t>
  </si>
  <si>
    <t>BBX1</t>
  </si>
  <si>
    <t>BBX2</t>
  </si>
  <si>
    <t>BBX3</t>
  </si>
  <si>
    <t>BBX4</t>
  </si>
  <si>
    <t>BBX6</t>
  </si>
  <si>
    <t>BBX7</t>
  </si>
  <si>
    <t>BB1</t>
  </si>
  <si>
    <t>BB2</t>
  </si>
  <si>
    <t>BB4</t>
  </si>
  <si>
    <t>BB5</t>
  </si>
  <si>
    <t>BB6</t>
  </si>
  <si>
    <t>BB8</t>
  </si>
  <si>
    <t>BB7</t>
  </si>
  <si>
    <t>BB9</t>
  </si>
  <si>
    <t>BB10</t>
  </si>
  <si>
    <t>BB10'</t>
  </si>
  <si>
    <t>BB11</t>
  </si>
  <si>
    <t>BB12</t>
  </si>
  <si>
    <t>BB13</t>
  </si>
  <si>
    <t>BB14</t>
  </si>
  <si>
    <t>BB16</t>
  </si>
  <si>
    <t>BB16'</t>
  </si>
  <si>
    <t>BEAL</t>
  </si>
  <si>
    <t>YBX1</t>
  </si>
  <si>
    <t>YB16</t>
  </si>
  <si>
    <t>YB1</t>
  </si>
  <si>
    <t>YB2</t>
  </si>
  <si>
    <t>YB3</t>
  </si>
  <si>
    <t>YB4</t>
  </si>
  <si>
    <t>YB5</t>
  </si>
  <si>
    <t>By river</t>
  </si>
  <si>
    <t>YB6</t>
  </si>
  <si>
    <t>YB7</t>
  </si>
  <si>
    <t>YB9</t>
  </si>
  <si>
    <t>YB8</t>
  </si>
  <si>
    <t>YB10</t>
  </si>
  <si>
    <t>YB11</t>
  </si>
  <si>
    <t>YB14</t>
  </si>
  <si>
    <t>YB13</t>
  </si>
  <si>
    <t>YB15</t>
  </si>
  <si>
    <t>BEPA</t>
  </si>
  <si>
    <t>PB2</t>
  </si>
  <si>
    <t>PB1</t>
  </si>
  <si>
    <t>PB3</t>
  </si>
  <si>
    <t>PB4</t>
  </si>
  <si>
    <t>PB5</t>
  </si>
  <si>
    <t>FAGR</t>
  </si>
  <si>
    <t>AB1</t>
  </si>
  <si>
    <t>AB2</t>
  </si>
  <si>
    <t>AB3</t>
  </si>
  <si>
    <t>AB4</t>
  </si>
  <si>
    <t>AB4/6</t>
  </si>
  <si>
    <t>Fix label</t>
  </si>
  <si>
    <t>AB3/5</t>
  </si>
  <si>
    <t>AB6</t>
  </si>
  <si>
    <t>BBD cankers</t>
  </si>
  <si>
    <t>AB6'</t>
  </si>
  <si>
    <t>Bark stripped by beavers</t>
  </si>
  <si>
    <t>AB5</t>
  </si>
  <si>
    <t>AB8</t>
  </si>
  <si>
    <t>Cankers</t>
  </si>
  <si>
    <t>AB10</t>
  </si>
  <si>
    <t>AB9</t>
  </si>
  <si>
    <t>AB11</t>
  </si>
  <si>
    <t>PIST</t>
  </si>
  <si>
    <t>WPX1</t>
  </si>
  <si>
    <t>WPX2</t>
  </si>
  <si>
    <t>WPX3</t>
  </si>
  <si>
    <t>WPX4</t>
  </si>
  <si>
    <t>WPX5</t>
  </si>
  <si>
    <t>WPX6</t>
  </si>
  <si>
    <t>WP1</t>
  </si>
  <si>
    <t>WP3</t>
  </si>
  <si>
    <t>WP2</t>
  </si>
  <si>
    <t>WP4</t>
  </si>
  <si>
    <t>WP5</t>
  </si>
  <si>
    <t>WP6</t>
  </si>
  <si>
    <t>WP7</t>
  </si>
  <si>
    <t>WP9</t>
  </si>
  <si>
    <t>WP10</t>
  </si>
  <si>
    <t>WP11</t>
  </si>
  <si>
    <t>WP12</t>
  </si>
  <si>
    <t>By beaver pond</t>
  </si>
  <si>
    <t>By river past dam</t>
  </si>
  <si>
    <t>WP13</t>
  </si>
  <si>
    <t>WP14</t>
  </si>
  <si>
    <t>TSCA</t>
  </si>
  <si>
    <t>HX1</t>
  </si>
  <si>
    <t>HX2</t>
  </si>
  <si>
    <t>HX3</t>
  </si>
  <si>
    <t>HX4</t>
  </si>
  <si>
    <t>HX5</t>
  </si>
  <si>
    <t>HX6</t>
  </si>
  <si>
    <t>H1</t>
  </si>
  <si>
    <t>H4</t>
  </si>
  <si>
    <t>H3</t>
  </si>
  <si>
    <t>H2</t>
  </si>
  <si>
    <t>H5</t>
  </si>
  <si>
    <t>H6</t>
  </si>
  <si>
    <t>H7</t>
  </si>
  <si>
    <t>H8</t>
  </si>
  <si>
    <t>H9</t>
  </si>
  <si>
    <t>H14</t>
  </si>
  <si>
    <t>H15</t>
  </si>
  <si>
    <t>H12</t>
  </si>
  <si>
    <t>H12'</t>
  </si>
  <si>
    <t>H11</t>
  </si>
  <si>
    <t>H10</t>
  </si>
  <si>
    <t>FRAM</t>
  </si>
  <si>
    <t>WA1</t>
  </si>
  <si>
    <t>WA2</t>
  </si>
  <si>
    <t>WA3</t>
  </si>
  <si>
    <t>WA4</t>
  </si>
  <si>
    <t>WA5</t>
  </si>
  <si>
    <t>WA6</t>
  </si>
  <si>
    <t>WA7</t>
  </si>
  <si>
    <t>WA8</t>
  </si>
  <si>
    <t>WA9</t>
  </si>
  <si>
    <t>WA10</t>
  </si>
  <si>
    <t>WA11</t>
  </si>
  <si>
    <t>WA12</t>
  </si>
  <si>
    <t>WA13</t>
  </si>
  <si>
    <t>WA14</t>
  </si>
  <si>
    <t>WA15</t>
  </si>
  <si>
    <t>PRSE</t>
  </si>
  <si>
    <t>BC1</t>
  </si>
  <si>
    <t>QUAL</t>
  </si>
  <si>
    <t>WO1</t>
  </si>
  <si>
    <t>WO2</t>
  </si>
  <si>
    <t>QUVE</t>
  </si>
  <si>
    <t>BO1</t>
  </si>
  <si>
    <t>BO2</t>
  </si>
  <si>
    <t>BO3</t>
  </si>
  <si>
    <t>NA</t>
  </si>
  <si>
    <t>BC4</t>
  </si>
  <si>
    <t>BC5</t>
  </si>
  <si>
    <t>BC2</t>
  </si>
  <si>
    <t>Row Labels</t>
  </si>
  <si>
    <t>Grand Total</t>
  </si>
  <si>
    <t>Count of DBH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</si>
</sst>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85.369128935185" createdVersion="6" refreshedVersion="6" minRefreshableVersion="3" recordCount="199" xr:uid="{D7810889-DBA1-FA4A-B413-127ED272F4AC}">
  <cacheSource type="worksheet">
    <worksheetSource ref="A1:G200" sheet="Sheet1"/>
  </cacheSource>
  <cacheFields count="7">
    <cacheField name="Plot" numFmtId="0">
      <sharedItems count="3">
        <s v="Lab"/>
        <s v="Lowland"/>
        <s v="Ridge"/>
      </sharedItems>
    </cacheField>
    <cacheField name="Species" numFmtId="0">
      <sharedItems/>
    </cacheField>
    <cacheField name="Tree ID" numFmtId="0">
      <sharedItems/>
    </cacheField>
    <cacheField name="DBH" numFmtId="0">
      <sharedItems containsMixedTypes="1" containsNumber="1" minValue="20" maxValue="96" count="72">
        <n v="27"/>
        <n v="37"/>
        <n v="27.5"/>
        <n v="29"/>
        <n v="24"/>
        <n v="43"/>
        <n v="26.5"/>
        <n v="26"/>
        <n v="32.5"/>
        <n v="30"/>
        <n v="29.5"/>
        <n v="30.5"/>
        <n v="25.5"/>
        <n v="31.5"/>
        <n v="32"/>
        <n v="22.5"/>
        <n v="35.5"/>
        <n v="20.5"/>
        <n v="21.5"/>
        <n v="47"/>
        <n v="38.5"/>
        <n v="40.5"/>
        <n v="66"/>
        <n v="96"/>
        <n v="33"/>
        <n v="47.5"/>
        <n v="23"/>
        <n v="34.5"/>
        <n v="34"/>
        <n v="21"/>
        <n v="40"/>
        <n v="58"/>
        <n v="23.5"/>
        <n v="38"/>
        <n v="37.5"/>
        <n v="39"/>
        <n v="41"/>
        <n v="28"/>
        <n v="33.5"/>
        <n v="22"/>
        <n v="55"/>
        <n v="48"/>
        <n v="54.5"/>
        <n v="44"/>
        <n v="41.5"/>
        <n v="36.5"/>
        <n v="31"/>
        <n v="20"/>
        <n v="28.5"/>
        <n v="43.5"/>
        <n v="42.5"/>
        <n v="72"/>
        <n v="70"/>
        <n v="58.5"/>
        <n v="69.5"/>
        <n v="48.5"/>
        <n v="52.5"/>
        <n v="64"/>
        <n v="45"/>
        <n v="33.799999999999997"/>
        <n v="59.5"/>
        <n v="49"/>
        <n v="36"/>
        <s v="NA"/>
        <n v="35"/>
        <n v="42"/>
        <n v="50.5"/>
        <n v="24.5"/>
        <n v="25"/>
        <n v="68.5"/>
        <n v="46"/>
        <n v="68"/>
      </sharedItems>
    </cacheField>
    <cacheField name="Notes" numFmtId="0">
      <sharedItems containsBlank="1"/>
    </cacheField>
    <cacheField name="Label_O" numFmtId="0">
      <sharedItems/>
    </cacheField>
    <cacheField name="Label_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s v="ACSA"/>
    <s v="SM1"/>
    <x v="0"/>
    <m/>
    <s v="JDG_Methane_YMF_x000a_Lab_ACSA_SM1_x000a_Organic Soil - July 2021"/>
    <s v="JDG_Methane_YMF_x000a_Lab_ACSA_SM1_x000a_Mineral Soil - July 2021"/>
  </r>
  <r>
    <x v="0"/>
    <s v="ACSA"/>
    <s v="SM2"/>
    <x v="1"/>
    <m/>
    <s v="JDG_Methane_YMF_x000a_Lab_ACSA_SM2_x000a_Organic Soil - July 2021"/>
    <s v="JDG_Methane_YMF_x000a_Lab_ACSA_SM2_x000a_Mineral Soil - July 2021"/>
  </r>
  <r>
    <x v="0"/>
    <s v="ACSA"/>
    <s v="SM3"/>
    <x v="2"/>
    <m/>
    <s v="JDG_Methane_YMF_x000a_Lab_ACSA_SM3_x000a_Organic Soil - July 2021"/>
    <s v="JDG_Methane_YMF_x000a_Lab_ACSA_SM3_x000a_Mineral Soil - July 2021"/>
  </r>
  <r>
    <x v="0"/>
    <s v="ACSA"/>
    <s v="SM4"/>
    <x v="3"/>
    <m/>
    <s v="JDG_Methane_YMF_x000a_Lab_ACSA_SM4_x000a_Organic Soil - July 2021"/>
    <s v="JDG_Methane_YMF_x000a_Lab_ACSA_SM4_x000a_Mineral Soil - July 2021"/>
  </r>
  <r>
    <x v="0"/>
    <s v="ACSA"/>
    <s v="SM5"/>
    <x v="0"/>
    <m/>
    <s v="JDG_Methane_YMF_x000a_Lab_ACSA_SM5_x000a_Organic Soil - July 2021"/>
    <s v="JDG_Methane_YMF_x000a_Lab_ACSA_SM5_x000a_Mineral Soil - July 2021"/>
  </r>
  <r>
    <x v="0"/>
    <s v="ACSA"/>
    <s v="SM6"/>
    <x v="4"/>
    <m/>
    <s v="JDG_Methane_YMF_x000a_Lab_ACSA_SM6_x000a_Organic Soil - July 2021"/>
    <s v="JDG_Methane_YMF_x000a_Lab_ACSA_SM6_x000a_Mineral Soil - July 2021"/>
  </r>
  <r>
    <x v="0"/>
    <s v="ACSA"/>
    <s v="SM7"/>
    <x v="5"/>
    <m/>
    <s v="JDG_Methane_YMF_x000a_Lab_ACSA_SM7_x000a_Organic Soil - July 2021"/>
    <s v="JDG_Methane_YMF_x000a_Lab_ACSA_SM7_x000a_Mineral Soil - July 2021"/>
  </r>
  <r>
    <x v="0"/>
    <s v="ACSA"/>
    <s v="SM8"/>
    <x v="6"/>
    <m/>
    <s v="JDG_Methane_YMF_x000a_Lab_ACSA_SM8_x000a_Organic Soil - July 2021"/>
    <s v="JDG_Methane_YMF_x000a_Lab_ACSA_SM8_x000a_Mineral Soil - July 2021"/>
  </r>
  <r>
    <x v="0"/>
    <s v="ACSA"/>
    <s v="SM9"/>
    <x v="7"/>
    <m/>
    <s v="JDG_Methane_YMF_x000a_Lab_ACSA_SM9_x000a_Organic Soil - July 2021"/>
    <s v="JDG_Methane_YMF_x000a_Lab_ACSA_SM9_x000a_Mineral Soil - July 2021"/>
  </r>
  <r>
    <x v="0"/>
    <s v="ACSA"/>
    <s v="SM10"/>
    <x v="8"/>
    <m/>
    <s v="JDG_Methane_YMF_x000a_Lab_ACSA_SM10_x000a_Organic Soil - July 2021"/>
    <s v="JDG_Methane_YMF_x000a_Lab_ACSA_SM10_x000a_Mineral Soil - July 2021"/>
  </r>
  <r>
    <x v="0"/>
    <s v="ACSA"/>
    <s v="SM11"/>
    <x v="9"/>
    <m/>
    <s v="JDG_Methane_YMF_x000a_Lab_ACSA_SM11_x000a_Organic Soil - July 2021"/>
    <s v="JDG_Methane_YMF_x000a_Lab_ACSA_SM11_x000a_Mineral Soil - July 2021"/>
  </r>
  <r>
    <x v="0"/>
    <s v="ACSA"/>
    <s v="SM12"/>
    <x v="10"/>
    <m/>
    <s v="JDG_Methane_YMF_x000a_Lab_ACSA_SM12_x000a_Organic Soil - July 2021"/>
    <s v="JDG_Methane_YMF_x000a_Lab_ACSA_SM12_x000a_Mineral Soil - July 2021"/>
  </r>
  <r>
    <x v="0"/>
    <s v="ACSA"/>
    <s v="SM13"/>
    <x v="11"/>
    <m/>
    <s v="JDG_Methane_YMF_x000a_Lab_ACSA_SM13_x000a_Organic Soil - July 2021"/>
    <s v="JDG_Methane_YMF_x000a_Lab_ACSA_SM13_x000a_Mineral Soil - July 2021"/>
  </r>
  <r>
    <x v="0"/>
    <s v="ACSA"/>
    <s v="SM14"/>
    <x v="7"/>
    <m/>
    <s v="JDG_Methane_YMF_x000a_Lab_ACSA_SM14_x000a_Organic Soil - July 2021"/>
    <s v="JDG_Methane_YMF_x000a_Lab_ACSA_SM14_x000a_Mineral Soil - July 2021"/>
  </r>
  <r>
    <x v="0"/>
    <s v="ACSA"/>
    <s v="SM15"/>
    <x v="12"/>
    <m/>
    <s v="JDG_Methane_YMF_x000a_Lab_ACSA_SM15_x000a_Organic Soil - July 2021"/>
    <s v="JDG_Methane_YMF_x000a_Lab_ACSA_SM15_x000a_Mineral Soil - July 2021"/>
  </r>
  <r>
    <x v="0"/>
    <s v="BELE"/>
    <s v="BBX1"/>
    <x v="13"/>
    <m/>
    <s v="JDG_Methane_YMF_x000a_Lab_BELE_BBX1_x000a_Organic Soil - July 2021"/>
    <s v="JDG_Methane_YMF_x000a_Lab_BELE_BBX1_x000a_Mineral Soil - July 2021"/>
  </r>
  <r>
    <x v="0"/>
    <s v="BELE"/>
    <s v="BBX2"/>
    <x v="14"/>
    <m/>
    <s v="JDG_Methane_YMF_x000a_Lab_BELE_BBX2_x000a_Organic Soil - July 2021"/>
    <s v="JDG_Methane_YMF_x000a_Lab_BELE_BBX2_x000a_Mineral Soil - July 2021"/>
  </r>
  <r>
    <x v="0"/>
    <s v="BELE"/>
    <s v="BBX3"/>
    <x v="15"/>
    <m/>
    <s v="JDG_Methane_YMF_x000a_Lab_BELE_BBX3_x000a_Organic Soil - July 2021"/>
    <s v="JDG_Methane_YMF_x000a_Lab_BELE_BBX3_x000a_Mineral Soil - July 2021"/>
  </r>
  <r>
    <x v="0"/>
    <s v="BELE"/>
    <s v="BBX4"/>
    <x v="16"/>
    <m/>
    <s v="JDG_Methane_YMF_x000a_Lab_BELE_BBX4_x000a_Organic Soil - July 2021"/>
    <s v="JDG_Methane_YMF_x000a_Lab_BELE_BBX4_x000a_Mineral Soil - July 2021"/>
  </r>
  <r>
    <x v="0"/>
    <s v="BELE"/>
    <s v="BBX6"/>
    <x v="17"/>
    <m/>
    <s v="JDG_Methane_YMF_x000a_Lab_BELE_BBX6_x000a_Organic Soil - July 2021"/>
    <s v="JDG_Methane_YMF_x000a_Lab_BELE_BBX6_x000a_Mineral Soil - July 2021"/>
  </r>
  <r>
    <x v="0"/>
    <s v="BELE"/>
    <s v="BBX7"/>
    <x v="18"/>
    <m/>
    <s v="JDG_Methane_YMF_x000a_Lab_BELE_BBX7_x000a_Organic Soil - July 2021"/>
    <s v="JDG_Methane_YMF_x000a_Lab_BELE_BBX7_x000a_Mineral Soil - July 2021"/>
  </r>
  <r>
    <x v="0"/>
    <s v="BEAL"/>
    <s v="YBX1"/>
    <x v="13"/>
    <m/>
    <s v="JDG_Methane_YMF_x000a_Lab_BEAL_YBX1_x000a_Organic Soil - July 2021"/>
    <s v="JDG_Methane_YMF_x000a_Lab_BEAL_YBX1_x000a_Mineral Soil - July 2021"/>
  </r>
  <r>
    <x v="0"/>
    <s v="PIST"/>
    <s v="WPX1"/>
    <x v="19"/>
    <m/>
    <s v="JDG_Methane_YMF_x000a_Lab_PIST_WPX1_x000a_Organic Soil - July 2021"/>
    <s v="JDG_Methane_YMF_x000a_Lab_PIST_WPX1_x000a_Mineral Soil - July 2021"/>
  </r>
  <r>
    <x v="0"/>
    <s v="PIST"/>
    <s v="WPX2"/>
    <x v="2"/>
    <m/>
    <s v="JDG_Methane_YMF_x000a_Lab_PIST_WPX2_x000a_Organic Soil - July 2021"/>
    <s v="JDG_Methane_YMF_x000a_Lab_PIST_WPX2_x000a_Mineral Soil - July 2021"/>
  </r>
  <r>
    <x v="0"/>
    <s v="PIST"/>
    <s v="WPX3"/>
    <x v="20"/>
    <m/>
    <s v="JDG_Methane_YMF_x000a_Lab_PIST_WPX3_x000a_Organic Soil - July 2021"/>
    <s v="JDG_Methane_YMF_x000a_Lab_PIST_WPX3_x000a_Mineral Soil - July 2021"/>
  </r>
  <r>
    <x v="0"/>
    <s v="PIST"/>
    <s v="WPX4"/>
    <x v="21"/>
    <m/>
    <s v="JDG_Methane_YMF_x000a_Lab_PIST_WPX4_x000a_Organic Soil - July 2021"/>
    <s v="JDG_Methane_YMF_x000a_Lab_PIST_WPX4_x000a_Mineral Soil - July 2021"/>
  </r>
  <r>
    <x v="0"/>
    <s v="PIST"/>
    <s v="WPX5"/>
    <x v="22"/>
    <m/>
    <s v="JDG_Methane_YMF_x000a_Lab_PIST_WPX5_x000a_Organic Soil - July 2021"/>
    <s v="JDG_Methane_YMF_x000a_Lab_PIST_WPX5_x000a_Mineral Soil - July 2021"/>
  </r>
  <r>
    <x v="0"/>
    <s v="PIST"/>
    <s v="WPX6"/>
    <x v="23"/>
    <m/>
    <s v="JDG_Methane_YMF_x000a_Lab_PIST_WPX6_x000a_Organic Soil - July 2021"/>
    <s v="JDG_Methane_YMF_x000a_Lab_PIST_WPX6_x000a_Mineral Soil - July 2021"/>
  </r>
  <r>
    <x v="0"/>
    <s v="TSCA"/>
    <s v="HX1"/>
    <x v="24"/>
    <m/>
    <s v="JDG_Methane_YMF_x000a_Lab_TSCA_HX1_x000a_Organic Soil - July 2021"/>
    <s v="JDG_Methane_YMF_x000a_Lab_TSCA_HX1_x000a_Mineral Soil - July 2021"/>
  </r>
  <r>
    <x v="0"/>
    <s v="TSCA"/>
    <s v="HX2"/>
    <x v="25"/>
    <m/>
    <s v="JDG_Methane_YMF_x000a_Lab_TSCA_HX2_x000a_Organic Soil - July 2021"/>
    <s v="JDG_Methane_YMF_x000a_Lab_TSCA_HX2_x000a_Mineral Soil - July 2021"/>
  </r>
  <r>
    <x v="0"/>
    <s v="TSCA"/>
    <s v="HX3"/>
    <x v="21"/>
    <m/>
    <s v="JDG_Methane_YMF_x000a_Lab_TSCA_HX3_x000a_Organic Soil - July 2021"/>
    <s v="JDG_Methane_YMF_x000a_Lab_TSCA_HX3_x000a_Mineral Soil - July 2021"/>
  </r>
  <r>
    <x v="0"/>
    <s v="TSCA"/>
    <s v="HX4"/>
    <x v="26"/>
    <m/>
    <s v="JDG_Methane_YMF_x000a_Lab_TSCA_HX4_x000a_Organic Soil - July 2021"/>
    <s v="JDG_Methane_YMF_x000a_Lab_TSCA_HX4_x000a_Mineral Soil - July 2021"/>
  </r>
  <r>
    <x v="0"/>
    <s v="TSCA"/>
    <s v="HX5"/>
    <x v="27"/>
    <m/>
    <s v="JDG_Methane_YMF_x000a_Lab_TSCA_HX5_x000a_Organic Soil - July 2021"/>
    <s v="JDG_Methane_YMF_x000a_Lab_TSCA_HX5_x000a_Mineral Soil - July 2021"/>
  </r>
  <r>
    <x v="0"/>
    <s v="TSCA"/>
    <s v="HX6"/>
    <x v="5"/>
    <m/>
    <s v="JDG_Methane_YMF_x000a_Lab_TSCA_HX6_x000a_Organic Soil - July 2021"/>
    <s v="JDG_Methane_YMF_x000a_Lab_TSCA_HX6_x000a_Mineral Soil - July 2021"/>
  </r>
  <r>
    <x v="0"/>
    <s v="FRAM"/>
    <s v="WA1"/>
    <x v="1"/>
    <m/>
    <s v="JDG_Methane_YMF_x000a_Lab_FRAM_WA1_x000a_Organic Soil - July 2021"/>
    <s v="JDG_Methane_YMF_x000a_Lab_FRAM_WA1_x000a_Mineral Soil - July 2021"/>
  </r>
  <r>
    <x v="0"/>
    <s v="FRAM"/>
    <s v="WA2"/>
    <x v="27"/>
    <m/>
    <s v="JDG_Methane_YMF_x000a_Lab_FRAM_WA2_x000a_Organic Soil - July 2021"/>
    <s v="JDG_Methane_YMF_x000a_Lab_FRAM_WA2_x000a_Mineral Soil - July 2021"/>
  </r>
  <r>
    <x v="0"/>
    <s v="FRAM"/>
    <s v="WA3"/>
    <x v="15"/>
    <m/>
    <s v="JDG_Methane_YMF_x000a_Lab_FRAM_WA3_x000a_Organic Soil - July 2021"/>
    <s v="JDG_Methane_YMF_x000a_Lab_FRAM_WA3_x000a_Mineral Soil - July 2021"/>
  </r>
  <r>
    <x v="0"/>
    <s v="FRAM"/>
    <s v="WA4"/>
    <x v="28"/>
    <m/>
    <s v="JDG_Methane_YMF_x000a_Lab_FRAM_WA4_x000a_Organic Soil - July 2021"/>
    <s v="JDG_Methane_YMF_x000a_Lab_FRAM_WA4_x000a_Mineral Soil - July 2021"/>
  </r>
  <r>
    <x v="0"/>
    <s v="FRAM"/>
    <s v="WA5"/>
    <x v="1"/>
    <m/>
    <s v="JDG_Methane_YMF_x000a_Lab_FRAM_WA5_x000a_Organic Soil - July 2021"/>
    <s v="JDG_Methane_YMF_x000a_Lab_FRAM_WA5_x000a_Mineral Soil - July 2021"/>
  </r>
  <r>
    <x v="0"/>
    <s v="FRAM"/>
    <s v="WA6"/>
    <x v="29"/>
    <m/>
    <s v="JDG_Methane_YMF_x000a_Lab_FRAM_WA6_x000a_Organic Soil - July 2021"/>
    <s v="JDG_Methane_YMF_x000a_Lab_FRAM_WA6_x000a_Mineral Soil - July 2021"/>
  </r>
  <r>
    <x v="0"/>
    <s v="FRAM"/>
    <s v="WA7"/>
    <x v="30"/>
    <m/>
    <s v="JDG_Methane_YMF_x000a_Lab_FRAM_WA7_x000a_Organic Soil - July 2021"/>
    <s v="JDG_Methane_YMF_x000a_Lab_FRAM_WA7_x000a_Mineral Soil - July 2021"/>
  </r>
  <r>
    <x v="0"/>
    <s v="FRAM"/>
    <s v="WA8"/>
    <x v="14"/>
    <m/>
    <s v="JDG_Methane_YMF_x000a_Lab_FRAM_WA8_x000a_Organic Soil - July 2021"/>
    <s v="JDG_Methane_YMF_x000a_Lab_FRAM_WA8_x000a_Mineral Soil - July 2021"/>
  </r>
  <r>
    <x v="0"/>
    <s v="FRAM"/>
    <s v="WA9"/>
    <x v="11"/>
    <m/>
    <s v="JDG_Methane_YMF_x000a_Lab_FRAM_WA9_x000a_Organic Soil - July 2021"/>
    <s v="JDG_Methane_YMF_x000a_Lab_FRAM_WA9_x000a_Mineral Soil - July 2021"/>
  </r>
  <r>
    <x v="0"/>
    <s v="FRAM"/>
    <s v="WA10"/>
    <x v="24"/>
    <m/>
    <s v="JDG_Methane_YMF_x000a_Lab_FRAM_WA10_x000a_Organic Soil - July 2021"/>
    <s v="JDG_Methane_YMF_x000a_Lab_FRAM_WA10_x000a_Mineral Soil - July 2021"/>
  </r>
  <r>
    <x v="0"/>
    <s v="FRAM"/>
    <s v="WA11"/>
    <x v="0"/>
    <m/>
    <s v="JDG_Methane_YMF_x000a_Lab_FRAM_WA11_x000a_Organic Soil - July 2021"/>
    <s v="JDG_Methane_YMF_x000a_Lab_FRAM_WA11_x000a_Mineral Soil - July 2021"/>
  </r>
  <r>
    <x v="0"/>
    <s v="FRAM"/>
    <s v="WA12"/>
    <x v="31"/>
    <m/>
    <s v="JDG_Methane_YMF_x000a_Lab_FRAM_WA12_x000a_Organic Soil - July 2021"/>
    <s v="JDG_Methane_YMF_x000a_Lab_FRAM_WA12_x000a_Mineral Soil - July 2021"/>
  </r>
  <r>
    <x v="0"/>
    <s v="FRAM"/>
    <s v="WA13"/>
    <x v="32"/>
    <m/>
    <s v="JDG_Methane_YMF_x000a_Lab_FRAM_WA13_x000a_Organic Soil - July 2021"/>
    <s v="JDG_Methane_YMF_x000a_Lab_FRAM_WA13_x000a_Mineral Soil - July 2021"/>
  </r>
  <r>
    <x v="0"/>
    <s v="FRAM"/>
    <s v="WA14"/>
    <x v="25"/>
    <m/>
    <s v="JDG_Methane_YMF_x000a_Lab_FRAM_WA14_x000a_Organic Soil - July 2021"/>
    <s v="JDG_Methane_YMF_x000a_Lab_FRAM_WA14_x000a_Mineral Soil - July 2021"/>
  </r>
  <r>
    <x v="0"/>
    <s v="FRAM"/>
    <s v="WA15"/>
    <x v="15"/>
    <m/>
    <s v="JDG_Methane_YMF_x000a_Lab_FRAM_WA15_x000a_Organic Soil - July 2021"/>
    <s v="JDG_Methane_YMF_x000a_Lab_FRAM_WA15_x000a_Mineral Soil - July 2021"/>
  </r>
  <r>
    <x v="1"/>
    <s v="ACRU"/>
    <s v="RM1"/>
    <x v="33"/>
    <m/>
    <s v="JDG_Methane_YMF_x000a_Lowland_ACRU_RM1_x000a_Organic Soil - July 2021"/>
    <s v="JDG_Methane_YMF_x000a_Lowland_ACRU_RM1_x000a_Mineral Soil - July 2021"/>
  </r>
  <r>
    <x v="1"/>
    <s v="ACRU"/>
    <s v="RM2"/>
    <x v="33"/>
    <m/>
    <s v="JDG_Methane_YMF_x000a_Lowland_ACRU_RM2_x000a_Organic Soil - July 2021"/>
    <s v="JDG_Methane_YMF_x000a_Lowland_ACRU_RM2_x000a_Mineral Soil - July 2021"/>
  </r>
  <r>
    <x v="1"/>
    <s v="ACRU"/>
    <s v="RM3"/>
    <x v="34"/>
    <m/>
    <s v="JDG_Methane_YMF_x000a_Lowland_ACRU_RM3_x000a_Organic Soil - July 2021"/>
    <s v="JDG_Methane_YMF_x000a_Lowland_ACRU_RM3_x000a_Mineral Soil - July 2021"/>
  </r>
  <r>
    <x v="1"/>
    <s v="ACRU"/>
    <s v="RM4"/>
    <x v="35"/>
    <m/>
    <s v="JDG_Methane_YMF_x000a_Lowland_ACRU_RM4_x000a_Organic Soil - July 2021"/>
    <s v="JDG_Methane_YMF_x000a_Lowland_ACRU_RM4_x000a_Mineral Soil - July 2021"/>
  </r>
  <r>
    <x v="1"/>
    <s v="ACRU"/>
    <s v="RM5"/>
    <x v="24"/>
    <m/>
    <s v="JDG_Methane_YMF_x000a_Lowland_ACRU_RM5_x000a_Organic Soil - July 2021"/>
    <s v="JDG_Methane_YMF_x000a_Lowland_ACRU_RM5_x000a_Mineral Soil - July 2021"/>
  </r>
  <r>
    <x v="1"/>
    <s v="ACRU"/>
    <s v="RM6"/>
    <x v="36"/>
    <m/>
    <s v="JDG_Methane_YMF_x000a_Lowland_ACRU_RM6_x000a_Organic Soil - July 2021"/>
    <s v="JDG_Methane_YMF_x000a_Lowland_ACRU_RM6_x000a_Mineral Soil - July 2021"/>
  </r>
  <r>
    <x v="1"/>
    <s v="ACRU"/>
    <s v="RM7"/>
    <x v="37"/>
    <m/>
    <s v="JDG_Methane_YMF_x000a_Lowland_ACRU_RM7_x000a_Organic Soil - July 2021"/>
    <s v="JDG_Methane_YMF_x000a_Lowland_ACRU_RM7_x000a_Mineral Soil - July 2021"/>
  </r>
  <r>
    <x v="1"/>
    <s v="ACRU"/>
    <s v="RM8"/>
    <x v="11"/>
    <m/>
    <s v="JDG_Methane_YMF_x000a_Lowland_ACRU_RM8_x000a_Organic Soil - July 2021"/>
    <s v="JDG_Methane_YMF_x000a_Lowland_ACRU_RM8_x000a_Mineral Soil - July 2021"/>
  </r>
  <r>
    <x v="1"/>
    <s v="ACRU"/>
    <s v="RM9"/>
    <x v="4"/>
    <m/>
    <s v="JDG_Methane_YMF_x000a_Lowland_ACRU_RM9_x000a_Organic Soil - July 2021"/>
    <s v="JDG_Methane_YMF_x000a_Lowland_ACRU_RM9_x000a_Mineral Soil - July 2021"/>
  </r>
  <r>
    <x v="1"/>
    <s v="ACRU"/>
    <s v="RM10"/>
    <x v="10"/>
    <m/>
    <s v="JDG_Methane_YMF_x000a_Lowland_ACRU_RM10_x000a_Organic Soil - July 2021"/>
    <s v="JDG_Methane_YMF_x000a_Lowland_ACRU_RM10_x000a_Mineral Soil - July 2021"/>
  </r>
  <r>
    <x v="1"/>
    <s v="ACRU"/>
    <s v="RM11"/>
    <x v="21"/>
    <m/>
    <s v="JDG_Methane_YMF_x000a_Lowland_ACRU_RM11_x000a_Organic Soil - July 2021"/>
    <s v="JDG_Methane_YMF_x000a_Lowland_ACRU_RM11_x000a_Mineral Soil - July 2021"/>
  </r>
  <r>
    <x v="1"/>
    <s v="ACRU"/>
    <s v="RM12"/>
    <x v="0"/>
    <m/>
    <s v="JDG_Methane_YMF_x000a_Lowland_ACRU_RM12_x000a_Organic Soil - July 2021"/>
    <s v="JDG_Methane_YMF_x000a_Lowland_ACRU_RM12_x000a_Mineral Soil - July 2021"/>
  </r>
  <r>
    <x v="1"/>
    <s v="ACRU"/>
    <s v="RM13"/>
    <x v="6"/>
    <m/>
    <s v="JDG_Methane_YMF_x000a_Lowland_ACRU_RM13_x000a_Organic Soil - July 2021"/>
    <s v="JDG_Methane_YMF_x000a_Lowland_ACRU_RM13_x000a_Mineral Soil - July 2021"/>
  </r>
  <r>
    <x v="1"/>
    <s v="ACRU"/>
    <s v="RM16"/>
    <x v="38"/>
    <m/>
    <s v="JDG_Methane_YMF_x000a_Lowland_ACRU_RM16_x000a_Organic Soil - July 2021"/>
    <s v="JDG_Methane_YMF_x000a_Lowland_ACRU_RM16_x000a_Mineral Soil - July 2021"/>
  </r>
  <r>
    <x v="1"/>
    <s v="ACRU"/>
    <s v="RM14"/>
    <x v="0"/>
    <m/>
    <s v="JDG_Methane_YMF_x000a_Lowland_ACRU_RM14_x000a_Organic Soil - July 2021"/>
    <s v="JDG_Methane_YMF_x000a_Lowland_ACRU_RM14_x000a_Mineral Soil - July 2021"/>
  </r>
  <r>
    <x v="1"/>
    <s v="ACRU"/>
    <s v="Untagged"/>
    <x v="39"/>
    <s v="Stream"/>
    <s v="JDG_Methane_YMF_x000a_Lowland_ACRU_Untagged_x000a_Organic Soil - July 2021"/>
    <s v="JDG_Methane_YMF_x000a_Lowland_ACRU_Untagged_x000a_Mineral Soil - July 2021"/>
  </r>
  <r>
    <x v="1"/>
    <s v="QURU"/>
    <s v="RO1"/>
    <x v="40"/>
    <m/>
    <s v="JDG_Methane_YMF_x000a_Lowland_QURU_RO1_x000a_Organic Soil - July 2021"/>
    <s v="JDG_Methane_YMF_x000a_Lowland_QURU_RO1_x000a_Mineral Soil - July 2021"/>
  </r>
  <r>
    <x v="1"/>
    <s v="QURU"/>
    <s v="RO2"/>
    <x v="8"/>
    <m/>
    <s v="JDG_Methane_YMF_x000a_Lowland_QURU_RO2_x000a_Organic Soil - July 2021"/>
    <s v="JDG_Methane_YMF_x000a_Lowland_QURU_RO2_x000a_Mineral Soil - July 2021"/>
  </r>
  <r>
    <x v="1"/>
    <s v="QURU"/>
    <s v="RO3"/>
    <x v="41"/>
    <s v="Hollow trunk"/>
    <s v="JDG_Methane_YMF_x000a_Lowland_QURU_RO3_x000a_Organic Soil - July 2021"/>
    <s v="JDG_Methane_YMF_x000a_Lowland_QURU_RO3_x000a_Mineral Soil - July 2021"/>
  </r>
  <r>
    <x v="1"/>
    <s v="QURU"/>
    <s v="RO4"/>
    <x v="36"/>
    <m/>
    <s v="JDG_Methane_YMF_x000a_Lowland_QURU_RO4_x000a_Organic Soil - July 2021"/>
    <s v="JDG_Methane_YMF_x000a_Lowland_QURU_RO4_x000a_Mineral Soil - July 2021"/>
  </r>
  <r>
    <x v="1"/>
    <s v="QURU"/>
    <s v="RO5"/>
    <x v="21"/>
    <m/>
    <s v="JDG_Methane_YMF_x000a_Lowland_QURU_RO5_x000a_Organic Soil - July 2021"/>
    <s v="JDG_Methane_YMF_x000a_Lowland_QURU_RO5_x000a_Mineral Soil - July 2021"/>
  </r>
  <r>
    <x v="1"/>
    <s v="QURU"/>
    <s v="RO6"/>
    <x v="42"/>
    <m/>
    <s v="JDG_Methane_YMF_x000a_Lowland_QURU_RO6_x000a_Organic Soil - July 2021"/>
    <s v="JDG_Methane_YMF_x000a_Lowland_QURU_RO6_x000a_Mineral Soil - July 2021"/>
  </r>
  <r>
    <x v="1"/>
    <s v="QURU"/>
    <s v="RO9"/>
    <x v="19"/>
    <m/>
    <s v="JDG_Methane_YMF_x000a_Lowland_QURU_RO9_x000a_Organic Soil - July 2021"/>
    <s v="JDG_Methane_YMF_x000a_Lowland_QURU_RO9_x000a_Mineral Soil - July 2021"/>
  </r>
  <r>
    <x v="1"/>
    <s v="QURU"/>
    <s v="RO7"/>
    <x v="38"/>
    <m/>
    <s v="JDG_Methane_YMF_x000a_Lowland_QURU_RO7_x000a_Organic Soil - July 2021"/>
    <s v="JDG_Methane_YMF_x000a_Lowland_QURU_RO7_x000a_Mineral Soil - July 2021"/>
  </r>
  <r>
    <x v="1"/>
    <s v="QURU"/>
    <s v="RO8"/>
    <x v="35"/>
    <m/>
    <s v="JDG_Methane_YMF_x000a_Lowland_QURU_RO8_x000a_Organic Soil - July 2021"/>
    <s v="JDG_Methane_YMF_x000a_Lowland_QURU_RO8_x000a_Mineral Soil - July 2021"/>
  </r>
  <r>
    <x v="1"/>
    <s v="QURU"/>
    <s v="RO10"/>
    <x v="27"/>
    <s v="Surrounded by pine saplings"/>
    <s v="JDG_Methane_YMF_x000a_Lowland_QURU_RO10_x000a_Organic Soil - July 2021"/>
    <s v="JDG_Methane_YMF_x000a_Lowland_QURU_RO10_x000a_Mineral Soil - July 2021"/>
  </r>
  <r>
    <x v="1"/>
    <s v="QURU"/>
    <s v="RO11"/>
    <x v="43"/>
    <m/>
    <s v="JDG_Methane_YMF_x000a_Lowland_QURU_RO11_x000a_Organic Soil - July 2021"/>
    <s v="JDG_Methane_YMF_x000a_Lowland_QURU_RO11_x000a_Mineral Soil - July 2021"/>
  </r>
  <r>
    <x v="1"/>
    <s v="QURU"/>
    <s v="RO12"/>
    <x v="43"/>
    <m/>
    <s v="JDG_Methane_YMF_x000a_Lowland_QURU_RO12_x000a_Organic Soil - July 2021"/>
    <s v="JDG_Methane_YMF_x000a_Lowland_QURU_RO12_x000a_Mineral Soil - July 2021"/>
  </r>
  <r>
    <x v="1"/>
    <s v="QURU"/>
    <s v="RO13"/>
    <x v="44"/>
    <m/>
    <s v="JDG_Methane_YMF_x000a_Lowland_QURU_RO13_x000a_Organic Soil - July 2021"/>
    <s v="JDG_Methane_YMF_x000a_Lowland_QURU_RO13_x000a_Mineral Soil - July 2021"/>
  </r>
  <r>
    <x v="1"/>
    <s v="QURU"/>
    <s v="RO14"/>
    <x v="1"/>
    <m/>
    <s v="JDG_Methane_YMF_x000a_Lowland_QURU_RO14_x000a_Organic Soil - July 2021"/>
    <s v="JDG_Methane_YMF_x000a_Lowland_QURU_RO14_x000a_Mineral Soil - July 2021"/>
  </r>
  <r>
    <x v="1"/>
    <s v="QURU"/>
    <s v="RO15"/>
    <x v="45"/>
    <m/>
    <s v="JDG_Methane_YMF_x000a_Lowland_QURU_RO15_x000a_Organic Soil - July 2021"/>
    <s v="JDG_Methane_YMF_x000a_Lowland_QURU_RO15_x000a_Mineral Soil - July 2021"/>
  </r>
  <r>
    <x v="1"/>
    <s v="QURU"/>
    <s v="RO16"/>
    <x v="27"/>
    <m/>
    <s v="JDG_Methane_YMF_x000a_Lowland_QURU_RO16_x000a_Organic Soil - July 2021"/>
    <s v="JDG_Methane_YMF_x000a_Lowland_QURU_RO16_x000a_Mineral Soil - July 2021"/>
  </r>
  <r>
    <x v="1"/>
    <s v="BELE"/>
    <s v="BB1"/>
    <x v="6"/>
    <m/>
    <s v="JDG_Methane_YMF_x000a_Lowland_BELE_BB1_x000a_Organic Soil - July 2021"/>
    <s v="JDG_Methane_YMF_x000a_Lowland_BELE_BB1_x000a_Mineral Soil - July 2021"/>
  </r>
  <r>
    <x v="1"/>
    <s v="BELE"/>
    <s v="BB2"/>
    <x v="11"/>
    <m/>
    <s v="JDG_Methane_YMF_x000a_Lowland_BELE_BB2_x000a_Organic Soil - July 2021"/>
    <s v="JDG_Methane_YMF_x000a_Lowland_BELE_BB2_x000a_Mineral Soil - July 2021"/>
  </r>
  <r>
    <x v="1"/>
    <s v="BELE"/>
    <s v="BB4"/>
    <x v="28"/>
    <m/>
    <s v="JDG_Methane_YMF_x000a_Lowland_BELE_BB4_x000a_Organic Soil - July 2021"/>
    <s v="JDG_Methane_YMF_x000a_Lowland_BELE_BB4_x000a_Mineral Soil - July 2021"/>
  </r>
  <r>
    <x v="1"/>
    <s v="BEAL"/>
    <s v="YB16"/>
    <x v="39"/>
    <m/>
    <s v="JDG_Methane_YMF_x000a_Lowland_BEAL_YB16_x000a_Organic Soil - July 2021"/>
    <s v="JDG_Methane_YMF_x000a_Lowland_BEAL_YB16_x000a_Mineral Soil - July 2021"/>
  </r>
  <r>
    <x v="1"/>
    <s v="BEAL"/>
    <s v="YB1"/>
    <x v="29"/>
    <m/>
    <s v="JDG_Methane_YMF_x000a_Lowland_BEAL_YB1_x000a_Organic Soil - July 2021"/>
    <s v="JDG_Methane_YMF_x000a_Lowland_BEAL_YB1_x000a_Mineral Soil - July 2021"/>
  </r>
  <r>
    <x v="1"/>
    <s v="BEAL"/>
    <s v="YB2"/>
    <x v="6"/>
    <s v="Hollow trunk"/>
    <s v="JDG_Methane_YMF_x000a_Lowland_BEAL_YB2_x000a_Organic Soil - July 2021"/>
    <s v="JDG_Methane_YMF_x000a_Lowland_BEAL_YB2_x000a_Mineral Soil - July 2021"/>
  </r>
  <r>
    <x v="1"/>
    <s v="BEAL"/>
    <s v="YB3"/>
    <x v="37"/>
    <m/>
    <s v="JDG_Methane_YMF_x000a_Lowland_BEAL_YB3_x000a_Organic Soil - July 2021"/>
    <s v="JDG_Methane_YMF_x000a_Lowland_BEAL_YB3_x000a_Mineral Soil - July 2021"/>
  </r>
  <r>
    <x v="1"/>
    <s v="BEAL"/>
    <s v="YB4"/>
    <x v="46"/>
    <m/>
    <s v="JDG_Methane_YMF_x000a_Lowland_BEAL_YB4_x000a_Organic Soil - July 2021"/>
    <s v="JDG_Methane_YMF_x000a_Lowland_BEAL_YB4_x000a_Mineral Soil - July 2021"/>
  </r>
  <r>
    <x v="1"/>
    <s v="BEAL"/>
    <s v="YB5"/>
    <x v="46"/>
    <s v="By river"/>
    <s v="JDG_Methane_YMF_x000a_Lowland_BEAL_YB5_x000a_Organic Soil - July 2021"/>
    <s v="JDG_Methane_YMF_x000a_Lowland_BEAL_YB5_x000a_Mineral Soil - July 2021"/>
  </r>
  <r>
    <x v="1"/>
    <s v="BEAL"/>
    <s v="YB6"/>
    <x v="47"/>
    <m/>
    <s v="JDG_Methane_YMF_x000a_Lowland_BEAL_YB6_x000a_Organic Soil - July 2021"/>
    <s v="JDG_Methane_YMF_x000a_Lowland_BEAL_YB6_x000a_Mineral Soil - July 2021"/>
  </r>
  <r>
    <x v="1"/>
    <s v="BEAL"/>
    <s v="YB7"/>
    <x v="15"/>
    <m/>
    <s v="JDG_Methane_YMF_x000a_Lowland_BEAL_YB7_x000a_Organic Soil - July 2021"/>
    <s v="JDG_Methane_YMF_x000a_Lowland_BEAL_YB7_x000a_Mineral Soil - July 2021"/>
  </r>
  <r>
    <x v="1"/>
    <s v="BEAL"/>
    <s v="YB9"/>
    <x v="7"/>
    <m/>
    <s v="JDG_Methane_YMF_x000a_Lowland_BEAL_YB9_x000a_Organic Soil - July 2021"/>
    <s v="JDG_Methane_YMF_x000a_Lowland_BEAL_YB9_x000a_Mineral Soil - July 2021"/>
  </r>
  <r>
    <x v="1"/>
    <s v="BEAL"/>
    <s v="YB8"/>
    <x v="12"/>
    <m/>
    <s v="JDG_Methane_YMF_x000a_Lowland_BEAL_YB8_x000a_Organic Soil - July 2021"/>
    <s v="JDG_Methane_YMF_x000a_Lowland_BEAL_YB8_x000a_Mineral Soil - July 2021"/>
  </r>
  <r>
    <x v="1"/>
    <s v="BEAL"/>
    <s v="YB10"/>
    <x v="18"/>
    <m/>
    <s v="JDG_Methane_YMF_x000a_Lowland_BEAL_YB10_x000a_Organic Soil - July 2021"/>
    <s v="JDG_Methane_YMF_x000a_Lowland_BEAL_YB10_x000a_Mineral Soil - July 2021"/>
  </r>
  <r>
    <x v="1"/>
    <s v="BEAL"/>
    <s v="YB11"/>
    <x v="18"/>
    <m/>
    <s v="JDG_Methane_YMF_x000a_Lowland_BEAL_YB11_x000a_Organic Soil - July 2021"/>
    <s v="JDG_Methane_YMF_x000a_Lowland_BEAL_YB11_x000a_Mineral Soil - July 2021"/>
  </r>
  <r>
    <x v="1"/>
    <s v="BEAL"/>
    <s v="YB14"/>
    <x v="29"/>
    <m/>
    <s v="JDG_Methane_YMF_x000a_Lowland_BEAL_YB14_x000a_Organic Soil - July 2021"/>
    <s v="JDG_Methane_YMF_x000a_Lowland_BEAL_YB14_x000a_Mineral Soil - July 2021"/>
  </r>
  <r>
    <x v="1"/>
    <s v="BEAL"/>
    <s v="YB13"/>
    <x v="29"/>
    <m/>
    <s v="JDG_Methane_YMF_x000a_Lowland_BEAL_YB13_x000a_Organic Soil - July 2021"/>
    <s v="JDG_Methane_YMF_x000a_Lowland_BEAL_YB13_x000a_Mineral Soil - July 2021"/>
  </r>
  <r>
    <x v="1"/>
    <s v="BEAL"/>
    <s v="YB16"/>
    <x v="39"/>
    <m/>
    <s v="JDG_Methane_YMF_x000a_Lowland_BEAL_YB16_x000a_Organic Soil - July 2021"/>
    <s v="JDG_Methane_YMF_x000a_Lowland_BEAL_YB16_x000a_Mineral Soil - July 2021"/>
  </r>
  <r>
    <x v="1"/>
    <s v="BEAL"/>
    <s v="YB15"/>
    <x v="4"/>
    <m/>
    <s v="JDG_Methane_YMF_x000a_Lowland_BEAL_YB15_x000a_Organic Soil - July 2021"/>
    <s v="JDG_Methane_YMF_x000a_Lowland_BEAL_YB15_x000a_Mineral Soil - July 2021"/>
  </r>
  <r>
    <x v="1"/>
    <s v="BEPA"/>
    <s v="PB2"/>
    <x v="27"/>
    <m/>
    <s v="JDG_Methane_YMF_x000a_Lowland_BEPA_PB2_x000a_Organic Soil - July 2021"/>
    <s v="JDG_Methane_YMF_x000a_Lowland_BEPA_PB2_x000a_Mineral Soil - July 2021"/>
  </r>
  <r>
    <x v="1"/>
    <s v="BEPA"/>
    <s v="PB1"/>
    <x v="3"/>
    <m/>
    <s v="JDG_Methane_YMF_x000a_Lowland_BEPA_PB1_x000a_Organic Soil - July 2021"/>
    <s v="JDG_Methane_YMF_x000a_Lowland_BEPA_PB1_x000a_Mineral Soil - July 2021"/>
  </r>
  <r>
    <x v="1"/>
    <s v="BEPA"/>
    <s v="PB3"/>
    <x v="27"/>
    <m/>
    <s v="JDG_Methane_YMF_x000a_Lowland_BEPA_PB3_x000a_Organic Soil - July 2021"/>
    <s v="JDG_Methane_YMF_x000a_Lowland_BEPA_PB3_x000a_Mineral Soil - July 2021"/>
  </r>
  <r>
    <x v="1"/>
    <s v="BEPA"/>
    <s v="PB4"/>
    <x v="26"/>
    <m/>
    <s v="JDG_Methane_YMF_x000a_Lowland_BEPA_PB4_x000a_Organic Soil - July 2021"/>
    <s v="JDG_Methane_YMF_x000a_Lowland_BEPA_PB4_x000a_Mineral Soil - July 2021"/>
  </r>
  <r>
    <x v="1"/>
    <s v="BEPA"/>
    <s v="PB5"/>
    <x v="34"/>
    <m/>
    <s v="JDG_Methane_YMF_x000a_Lowland_BEPA_PB5_x000a_Organic Soil - July 2021"/>
    <s v="JDG_Methane_YMF_x000a_Lowland_BEPA_PB5_x000a_Mineral Soil - July 2021"/>
  </r>
  <r>
    <x v="1"/>
    <s v="FAGR"/>
    <s v="AB1"/>
    <x v="2"/>
    <m/>
    <s v="JDG_Methane_YMF_x000a_Lowland_FAGR_AB1_x000a_Organic Soil - July 2021"/>
    <s v="JDG_Methane_YMF_x000a_Lowland_FAGR_AB1_x000a_Mineral Soil - July 2021"/>
  </r>
  <r>
    <x v="1"/>
    <s v="FAGR"/>
    <s v="AB2"/>
    <x v="12"/>
    <m/>
    <s v="JDG_Methane_YMF_x000a_Lowland_FAGR_AB2_x000a_Organic Soil - July 2021"/>
    <s v="JDG_Methane_YMF_x000a_Lowland_FAGR_AB2_x000a_Mineral Soil - July 2021"/>
  </r>
  <r>
    <x v="1"/>
    <s v="FAGR"/>
    <s v="AB3"/>
    <x v="48"/>
    <m/>
    <s v="JDG_Methane_YMF_x000a_Lowland_FAGR_AB3_x000a_Organic Soil - July 2021"/>
    <s v="JDG_Methane_YMF_x000a_Lowland_FAGR_AB3_x000a_Mineral Soil - July 2021"/>
  </r>
  <r>
    <x v="1"/>
    <s v="FAGR"/>
    <s v="AB4"/>
    <x v="7"/>
    <m/>
    <s v="JDG_Methane_YMF_x000a_Lowland_FAGR_AB4_x000a_Organic Soil - July 2021"/>
    <s v="JDG_Methane_YMF_x000a_Lowland_FAGR_AB4_x000a_Mineral Soil - July 2021"/>
  </r>
  <r>
    <x v="1"/>
    <s v="FAGR"/>
    <s v="AB4/6"/>
    <x v="15"/>
    <s v="Fix label"/>
    <s v="JDG_Methane_YMF_x000a_Lowland_FAGR_AB4/6_x000a_Organic Soil - July 2021"/>
    <s v="JDG_Methane_YMF_x000a_Lowland_FAGR_AB4/6_x000a_Mineral Soil - July 2021"/>
  </r>
  <r>
    <x v="1"/>
    <s v="FAGR"/>
    <s v="AB3/5"/>
    <x v="49"/>
    <s v="Fix label"/>
    <s v="JDG_Methane_YMF_x000a_Lowland_FAGR_AB3/5_x000a_Organic Soil - July 2021"/>
    <s v="JDG_Methane_YMF_x000a_Lowland_FAGR_AB3/5_x000a_Mineral Soil - July 2021"/>
  </r>
  <r>
    <x v="1"/>
    <s v="FAGR"/>
    <s v="AB6"/>
    <x v="50"/>
    <s v="BBD cankers"/>
    <s v="JDG_Methane_YMF_x000a_Lowland_FAGR_AB6_x000a_Organic Soil - July 2021"/>
    <s v="JDG_Methane_YMF_x000a_Lowland_FAGR_AB6_x000a_Mineral Soil - July 2021"/>
  </r>
  <r>
    <x v="1"/>
    <s v="FAGR"/>
    <s v="AB6'"/>
    <x v="46"/>
    <s v="Bark stripped by beavers"/>
    <s v="JDG_Methane_YMF_x000a_Lowland_FAGR_AB6'_x000a_Organic Soil - July 2021"/>
    <s v="JDG_Methane_YMF_x000a_Lowland_FAGR_AB6'_x000a_Mineral Soil - July 2021"/>
  </r>
  <r>
    <x v="1"/>
    <s v="FAGR"/>
    <s v="AB5"/>
    <x v="45"/>
    <s v="Bark stripped by beavers"/>
    <s v="JDG_Methane_YMF_x000a_Lowland_FAGR_AB5_x000a_Organic Soil - July 2021"/>
    <s v="JDG_Methane_YMF_x000a_Lowland_FAGR_AB5_x000a_Mineral Soil - July 2021"/>
  </r>
  <r>
    <x v="1"/>
    <s v="FAGR"/>
    <s v="AB8"/>
    <x v="7"/>
    <s v="Cankers"/>
    <s v="JDG_Methane_YMF_x000a_Lowland_FAGR_AB8_x000a_Organic Soil - July 2021"/>
    <s v="JDG_Methane_YMF_x000a_Lowland_FAGR_AB8_x000a_Mineral Soil - July 2021"/>
  </r>
  <r>
    <x v="1"/>
    <s v="PIST"/>
    <s v="WP1"/>
    <x v="51"/>
    <m/>
    <s v="JDG_Methane_YMF_x000a_Lowland_PIST_WP1_x000a_Organic Soil - July 2021"/>
    <s v="JDG_Methane_YMF_x000a_Lowland_PIST_WP1_x000a_Mineral Soil - July 2021"/>
  </r>
  <r>
    <x v="1"/>
    <s v="PIST"/>
    <s v="WP3"/>
    <x v="52"/>
    <m/>
    <s v="JDG_Methane_YMF_x000a_Lowland_PIST_WP3_x000a_Organic Soil - July 2021"/>
    <s v="JDG_Methane_YMF_x000a_Lowland_PIST_WP3_x000a_Mineral Soil - July 2021"/>
  </r>
  <r>
    <x v="1"/>
    <s v="PIST"/>
    <s v="WP2"/>
    <x v="28"/>
    <m/>
    <s v="JDG_Methane_YMF_x000a_Lowland_PIST_WP2_x000a_Organic Soil - July 2021"/>
    <s v="JDG_Methane_YMF_x000a_Lowland_PIST_WP2_x000a_Mineral Soil - July 2021"/>
  </r>
  <r>
    <x v="1"/>
    <s v="PIST"/>
    <s v="WP4"/>
    <x v="53"/>
    <m/>
    <s v="JDG_Methane_YMF_x000a_Lowland_PIST_WP4_x000a_Organic Soil - July 2021"/>
    <s v="JDG_Methane_YMF_x000a_Lowland_PIST_WP4_x000a_Mineral Soil - July 2021"/>
  </r>
  <r>
    <x v="1"/>
    <s v="PIST"/>
    <s v="WP5"/>
    <x v="54"/>
    <m/>
    <s v="JDG_Methane_YMF_x000a_Lowland_PIST_WP5_x000a_Organic Soil - July 2021"/>
    <s v="JDG_Methane_YMF_x000a_Lowland_PIST_WP5_x000a_Mineral Soil - July 2021"/>
  </r>
  <r>
    <x v="1"/>
    <s v="PIST"/>
    <s v="WP6"/>
    <x v="49"/>
    <m/>
    <s v="JDG_Methane_YMF_x000a_Lowland_PIST_WP6_x000a_Organic Soil - July 2021"/>
    <s v="JDG_Methane_YMF_x000a_Lowland_PIST_WP6_x000a_Mineral Soil - July 2021"/>
  </r>
  <r>
    <x v="1"/>
    <s v="PIST"/>
    <s v="WP7"/>
    <x v="55"/>
    <m/>
    <s v="JDG_Methane_YMF_x000a_Lowland_PIST_WP7_x000a_Organic Soil - July 2021"/>
    <s v="JDG_Methane_YMF_x000a_Lowland_PIST_WP7_x000a_Mineral Soil - July 2021"/>
  </r>
  <r>
    <x v="1"/>
    <s v="PIST"/>
    <s v="WP9"/>
    <x v="55"/>
    <m/>
    <s v="JDG_Methane_YMF_x000a_Lowland_PIST_WP9_x000a_Organic Soil - July 2021"/>
    <s v="JDG_Methane_YMF_x000a_Lowland_PIST_WP9_x000a_Mineral Soil - July 2021"/>
  </r>
  <r>
    <x v="1"/>
    <s v="PIST"/>
    <s v="WP10"/>
    <x v="55"/>
    <m/>
    <s v="JDG_Methane_YMF_x000a_Lowland_PIST_WP10_x000a_Organic Soil - July 2021"/>
    <s v="JDG_Methane_YMF_x000a_Lowland_PIST_WP10_x000a_Mineral Soil - July 2021"/>
  </r>
  <r>
    <x v="1"/>
    <s v="PIST"/>
    <s v="WP11"/>
    <x v="24"/>
    <m/>
    <s v="JDG_Methane_YMF_x000a_Lowland_PIST_WP11_x000a_Organic Soil - July 2021"/>
    <s v="JDG_Methane_YMF_x000a_Lowland_PIST_WP11_x000a_Mineral Soil - July 2021"/>
  </r>
  <r>
    <x v="1"/>
    <s v="PIST"/>
    <s v="WP12"/>
    <x v="56"/>
    <m/>
    <s v="JDG_Methane_YMF_x000a_Lowland_PIST_WP12_x000a_Organic Soil - July 2021"/>
    <s v="JDG_Methane_YMF_x000a_Lowland_PIST_WP12_x000a_Mineral Soil - July 2021"/>
  </r>
  <r>
    <x v="1"/>
    <s v="PIST"/>
    <s v="Untagged"/>
    <x v="57"/>
    <s v="By beaver pond"/>
    <s v="JDG_Methane_YMF_x000a_Lowland_PIST_Untagged_x000a_Organic Soil - July 2021"/>
    <s v="JDG_Methane_YMF_x000a_Lowland_PIST_Untagged_x000a_Mineral Soil - July 2021"/>
  </r>
  <r>
    <x v="1"/>
    <s v="PIST"/>
    <s v="Untagged"/>
    <x v="58"/>
    <s v="By river past dam"/>
    <s v="JDG_Methane_YMF_x000a_Lowland_PIST_Untagged_x000a_Organic Soil - July 2021"/>
    <s v="JDG_Methane_YMF_x000a_Lowland_PIST_Untagged_x000a_Mineral Soil - July 2021"/>
  </r>
  <r>
    <x v="1"/>
    <s v="PIST"/>
    <s v="WP13"/>
    <x v="7"/>
    <m/>
    <s v="JDG_Methane_YMF_x000a_Lowland_PIST_WP13_x000a_Organic Soil - July 2021"/>
    <s v="JDG_Methane_YMF_x000a_Lowland_PIST_WP13_x000a_Mineral Soil - July 2021"/>
  </r>
  <r>
    <x v="1"/>
    <s v="PIST"/>
    <s v="WP14"/>
    <x v="0"/>
    <m/>
    <s v="JDG_Methane_YMF_x000a_Lowland_PIST_WP14_x000a_Organic Soil - July 2021"/>
    <s v="JDG_Methane_YMF_x000a_Lowland_PIST_WP14_x000a_Mineral Soil - July 2021"/>
  </r>
  <r>
    <x v="1"/>
    <s v="TSCA"/>
    <s v="H1"/>
    <x v="9"/>
    <m/>
    <s v="JDG_Methane_YMF_x000a_Lowland_TSCA_H1_x000a_Organic Soil - July 2021"/>
    <s v="JDG_Methane_YMF_x000a_Lowland_TSCA_H1_x000a_Mineral Soil - July 2021"/>
  </r>
  <r>
    <x v="1"/>
    <s v="TSCA"/>
    <s v="H4"/>
    <x v="24"/>
    <m/>
    <s v="JDG_Methane_YMF_x000a_Lowland_TSCA_H4_x000a_Organic Soil - July 2021"/>
    <s v="JDG_Methane_YMF_x000a_Lowland_TSCA_H4_x000a_Mineral Soil - July 2021"/>
  </r>
  <r>
    <x v="1"/>
    <s v="TSCA"/>
    <s v="H3"/>
    <x v="46"/>
    <m/>
    <s v="JDG_Methane_YMF_x000a_Lowland_TSCA_H3_x000a_Organic Soil - July 2021"/>
    <s v="JDG_Methane_YMF_x000a_Lowland_TSCA_H3_x000a_Mineral Soil - July 2021"/>
  </r>
  <r>
    <x v="1"/>
    <s v="TSCA"/>
    <s v="H2"/>
    <x v="21"/>
    <m/>
    <s v="JDG_Methane_YMF_x000a_Lowland_TSCA_H2_x000a_Organic Soil - July 2021"/>
    <s v="JDG_Methane_YMF_x000a_Lowland_TSCA_H2_x000a_Mineral Soil - July 2021"/>
  </r>
  <r>
    <x v="1"/>
    <s v="TSCA"/>
    <s v="H5"/>
    <x v="58"/>
    <m/>
    <s v="JDG_Methane_YMF_x000a_Lowland_TSCA_H5_x000a_Organic Soil - July 2021"/>
    <s v="JDG_Methane_YMF_x000a_Lowland_TSCA_H5_x000a_Mineral Soil - July 2021"/>
  </r>
  <r>
    <x v="1"/>
    <s v="TSCA"/>
    <s v="H6"/>
    <x v="21"/>
    <m/>
    <s v="JDG_Methane_YMF_x000a_Lowland_TSCA_H6_x000a_Organic Soil - July 2021"/>
    <s v="JDG_Methane_YMF_x000a_Lowland_TSCA_H6_x000a_Mineral Soil - July 2021"/>
  </r>
  <r>
    <x v="1"/>
    <s v="TSCA"/>
    <s v="H7"/>
    <x v="8"/>
    <m/>
    <s v="JDG_Methane_YMF_x000a_Lowland_TSCA_H7_x000a_Organic Soil - July 2021"/>
    <s v="JDG_Methane_YMF_x000a_Lowland_TSCA_H7_x000a_Mineral Soil - July 2021"/>
  </r>
  <r>
    <x v="1"/>
    <s v="TSCA"/>
    <s v="H8"/>
    <x v="59"/>
    <m/>
    <s v="JDG_Methane_YMF_x000a_Lowland_TSCA_H8_x000a_Organic Soil - July 2021"/>
    <s v="JDG_Methane_YMF_x000a_Lowland_TSCA_H8_x000a_Mineral Soil - July 2021"/>
  </r>
  <r>
    <x v="1"/>
    <s v="TSCA"/>
    <s v="H9"/>
    <x v="46"/>
    <m/>
    <s v="JDG_Methane_YMF_x000a_Lowland_TSCA_H9_x000a_Organic Soil - July 2021"/>
    <s v="JDG_Methane_YMF_x000a_Lowland_TSCA_H9_x000a_Mineral Soil - July 2021"/>
  </r>
  <r>
    <x v="1"/>
    <s v="TSCA"/>
    <s v="Untagged"/>
    <x v="7"/>
    <s v="By beaver pond"/>
    <s v="JDG_Methane_YMF_x000a_Lowland_TSCA_Untagged_x000a_Organic Soil - July 2021"/>
    <s v="JDG_Methane_YMF_x000a_Lowland_TSCA_Untagged_x000a_Mineral Soil - July 2021"/>
  </r>
  <r>
    <x v="1"/>
    <s v="TSCA"/>
    <s v="Untagged"/>
    <x v="60"/>
    <s v="By beaver pond"/>
    <s v="JDG_Methane_YMF_x000a_Lowland_TSCA_Untagged_x000a_Organic Soil - July 2021"/>
    <s v="JDG_Methane_YMF_x000a_Lowland_TSCA_Untagged_x000a_Mineral Soil - July 2021"/>
  </r>
  <r>
    <x v="1"/>
    <s v="TSCA"/>
    <s v="H14"/>
    <x v="9"/>
    <m/>
    <s v="JDG_Methane_YMF_x000a_Lowland_TSCA_H14_x000a_Organic Soil - July 2021"/>
    <s v="JDG_Methane_YMF_x000a_Lowland_TSCA_H14_x000a_Mineral Soil - July 2021"/>
  </r>
  <r>
    <x v="1"/>
    <s v="TSCA"/>
    <s v="H15"/>
    <x v="19"/>
    <m/>
    <s v="JDG_Methane_YMF_x000a_Lowland_TSCA_H15_x000a_Organic Soil - July 2021"/>
    <s v="JDG_Methane_YMF_x000a_Lowland_TSCA_H15_x000a_Mineral Soil - July 2021"/>
  </r>
  <r>
    <x v="1"/>
    <s v="TSCA"/>
    <s v="H12"/>
    <x v="61"/>
    <m/>
    <s v="JDG_Methane_YMF_x000a_Lowland_TSCA_H12_x000a_Organic Soil - July 2021"/>
    <s v="JDG_Methane_YMF_x000a_Lowland_TSCA_H12_x000a_Mineral Soil - July 2021"/>
  </r>
  <r>
    <x v="1"/>
    <s v="TSCA"/>
    <s v="H12'"/>
    <x v="7"/>
    <m/>
    <s v="JDG_Methane_YMF_x000a_Lowland_TSCA_H12'_x000a_Organic Soil - July 2021"/>
    <s v="JDG_Methane_YMF_x000a_Lowland_TSCA_H12'_x000a_Mineral Soil - July 2021"/>
  </r>
  <r>
    <x v="1"/>
    <s v="TSCA"/>
    <s v="H14"/>
    <x v="62"/>
    <m/>
    <s v="JDG_Methane_YMF_x000a_Lowland_TSCA_H14_x000a_Organic Soil - July 2021"/>
    <s v="JDG_Methane_YMF_x000a_Lowland_TSCA_H14_x000a_Mineral Soil - July 2021"/>
  </r>
  <r>
    <x v="1"/>
    <s v="TSCA"/>
    <s v="H11"/>
    <x v="33"/>
    <m/>
    <s v="JDG_Methane_YMF_x000a_Lowland_TSCA_H11_x000a_Organic Soil - July 2021"/>
    <s v="JDG_Methane_YMF_x000a_Lowland_TSCA_H11_x000a_Mineral Soil - July 2021"/>
  </r>
  <r>
    <x v="1"/>
    <s v="TSCA"/>
    <s v="H10"/>
    <x v="43"/>
    <m/>
    <s v="JDG_Methane_YMF_x000a_Lowland_TSCA_H10_x000a_Organic Soil - July 2021"/>
    <s v="JDG_Methane_YMF_x000a_Lowland_TSCA_H10_x000a_Mineral Soil - July 2021"/>
  </r>
  <r>
    <x v="1"/>
    <s v="PRSE"/>
    <s v="BC1"/>
    <x v="48"/>
    <m/>
    <s v="JDG_Methane_YMF_x000a_Lowland_PRSE_BC1_x000a_Organic Soil - July 2021"/>
    <s v="JDG_Methane_YMF_x000a_Lowland_PRSE_BC1_x000a_Mineral Soil - July 2021"/>
  </r>
  <r>
    <x v="1"/>
    <s v="QUAL"/>
    <s v="WO1"/>
    <x v="35"/>
    <m/>
    <s v="JDG_Methane_YMF_x000a_Lowland_QUAL_WO1_x000a_Organic Soil - July 2021"/>
    <s v="JDG_Methane_YMF_x000a_Lowland_QUAL_WO1_x000a_Mineral Soil - July 2021"/>
  </r>
  <r>
    <x v="1"/>
    <s v="QUAL"/>
    <s v="WO2"/>
    <x v="36"/>
    <m/>
    <s v="JDG_Methane_YMF_x000a_Lowland_QUAL_WO2_x000a_Organic Soil - July 2021"/>
    <s v="JDG_Methane_YMF_x000a_Lowland_QUAL_WO2_x000a_Mineral Soil - July 2021"/>
  </r>
  <r>
    <x v="1"/>
    <s v="QUVE"/>
    <s v="BO1"/>
    <x v="1"/>
    <m/>
    <s v="JDG_Methane_YMF_x000a_Lowland_QUVE_BO1_x000a_Organic Soil - July 2021"/>
    <s v="JDG_Methane_YMF_x000a_Lowland_QUVE_BO1_x000a_Mineral Soil - July 2021"/>
  </r>
  <r>
    <x v="1"/>
    <s v="QUVE"/>
    <s v="BO2"/>
    <x v="33"/>
    <m/>
    <s v="JDG_Methane_YMF_x000a_Lowland_QUVE_BO2_x000a_Organic Soil - July 2021"/>
    <s v="JDG_Methane_YMF_x000a_Lowland_QUVE_BO2_x000a_Mineral Soil - July 2021"/>
  </r>
  <r>
    <x v="1"/>
    <s v="QUVE"/>
    <s v="BO3"/>
    <x v="63"/>
    <m/>
    <s v="JDG_Methane_YMF_x000a_Lowland_QUVE_BO3_x000a_Organic Soil - July 2021"/>
    <s v="JDG_Methane_YMF_x000a_Lowland_QUVE_BO3_x000a_Mineral Soil - July 2021"/>
  </r>
  <r>
    <x v="1"/>
    <s v="PRSE"/>
    <s v="BC4"/>
    <x v="55"/>
    <m/>
    <s v="JDG_Methane_YMF_x000a_Lowland_PRSE_BC4_x000a_Organic Soil - July 2021"/>
    <s v="JDG_Methane_YMF_x000a_Lowland_PRSE_BC4_x000a_Mineral Soil - July 2021"/>
  </r>
  <r>
    <x v="1"/>
    <s v="PRSE"/>
    <s v="BC5"/>
    <x v="28"/>
    <m/>
    <s v="JDG_Methane_YMF_x000a_Lowland_PRSE_BC5_x000a_Organic Soil - July 2021"/>
    <s v="JDG_Methane_YMF_x000a_Lowland_PRSE_BC5_x000a_Mineral Soil - July 2021"/>
  </r>
  <r>
    <x v="2"/>
    <s v="ACRU"/>
    <s v="Untagged"/>
    <x v="29"/>
    <m/>
    <s v="JDG_Methane_YMF_x000a_Ridge_ACRU_Untagged_x000a_Organic Soil - July 2021"/>
    <s v="JDG_Methane_YMF_x000a_Ridge_ACRU_Untagged_x000a_Mineral Soil - July 2021"/>
  </r>
  <r>
    <x v="2"/>
    <s v="ACRU"/>
    <s v="Untagged"/>
    <x v="37"/>
    <m/>
    <s v="JDG_Methane_YMF_x000a_Ridge_ACRU_Untagged_x000a_Organic Soil - July 2021"/>
    <s v="JDG_Methane_YMF_x000a_Ridge_ACRU_Untagged_x000a_Mineral Soil - July 2021"/>
  </r>
  <r>
    <x v="2"/>
    <s v="ACRU"/>
    <s v="Untagged"/>
    <x v="32"/>
    <m/>
    <s v="JDG_Methane_YMF_x000a_Ridge_ACRU_Untagged_x000a_Organic Soil - July 2021"/>
    <s v="JDG_Methane_YMF_x000a_Ridge_ACRU_Untagged_x000a_Mineral Soil - July 2021"/>
  </r>
  <r>
    <x v="2"/>
    <s v="ACRU"/>
    <s v="Untagged"/>
    <x v="4"/>
    <m/>
    <s v="JDG_Methane_YMF_x000a_Ridge_ACRU_Untagged_x000a_Organic Soil - July 2021"/>
    <s v="JDG_Methane_YMF_x000a_Ridge_ACRU_Untagged_x000a_Mineral Soil - July 2021"/>
  </r>
  <r>
    <x v="2"/>
    <s v="ACRU"/>
    <s v="Untagged"/>
    <x v="3"/>
    <m/>
    <s v="JDG_Methane_YMF_x000a_Ridge_ACRU_Untagged_x000a_Organic Soil - July 2021"/>
    <s v="JDG_Methane_YMF_x000a_Ridge_ACRU_Untagged_x000a_Mineral Soil - July 2021"/>
  </r>
  <r>
    <x v="2"/>
    <s v="QURU"/>
    <s v="RO17"/>
    <x v="64"/>
    <m/>
    <s v="JDG_Methane_YMF_x000a_Ridge_QURU_RO17_x000a_Organic Soil - July 2021"/>
    <s v="JDG_Methane_YMF_x000a_Ridge_QURU_RO17_x000a_Mineral Soil - July 2021"/>
  </r>
  <r>
    <x v="2"/>
    <s v="QURU"/>
    <s v="RO18"/>
    <x v="65"/>
    <m/>
    <s v="JDG_Methane_YMF_x000a_Ridge_QURU_RO18_x000a_Organic Soil - July 2021"/>
    <s v="JDG_Methane_YMF_x000a_Ridge_QURU_RO18_x000a_Mineral Soil - July 2021"/>
  </r>
  <r>
    <x v="2"/>
    <s v="QURU"/>
    <s v="Untagged"/>
    <x v="44"/>
    <m/>
    <s v="JDG_Methane_YMF_x000a_Ridge_QURU_Untagged_x000a_Organic Soil - July 2021"/>
    <s v="JDG_Methane_YMF_x000a_Ridge_QURU_Untagged_x000a_Mineral Soil - July 2021"/>
  </r>
  <r>
    <x v="2"/>
    <s v="QURU"/>
    <s v="Untagged"/>
    <x v="50"/>
    <m/>
    <s v="JDG_Methane_YMF_x000a_Ridge_QURU_Untagged_x000a_Organic Soil - July 2021"/>
    <s v="JDG_Methane_YMF_x000a_Ridge_QURU_Untagged_x000a_Mineral Soil - July 2021"/>
  </r>
  <r>
    <x v="2"/>
    <s v="QURU"/>
    <s v="Untagged"/>
    <x v="66"/>
    <m/>
    <s v="JDG_Methane_YMF_x000a_Ridge_QURU_Untagged_x000a_Organic Soil - July 2021"/>
    <s v="JDG_Methane_YMF_x000a_Ridge_QURU_Untagged_x000a_Mineral Soil - July 2021"/>
  </r>
  <r>
    <x v="2"/>
    <s v="QURU"/>
    <s v="Untagged"/>
    <x v="16"/>
    <m/>
    <s v="JDG_Methane_YMF_x000a_Ridge_QURU_Untagged_x000a_Organic Soil - July 2021"/>
    <s v="JDG_Methane_YMF_x000a_Ridge_QURU_Untagged_x000a_Mineral Soil - July 2021"/>
  </r>
  <r>
    <x v="2"/>
    <s v="QURU"/>
    <s v="Untagged"/>
    <x v="0"/>
    <m/>
    <s v="JDG_Methane_YMF_x000a_Ridge_QURU_Untagged_x000a_Organic Soil - July 2021"/>
    <s v="JDG_Methane_YMF_x000a_Ridge_QURU_Untagged_x000a_Mineral Soil - July 2021"/>
  </r>
  <r>
    <x v="2"/>
    <s v="QURU"/>
    <s v="Untagged"/>
    <x v="58"/>
    <m/>
    <s v="JDG_Methane_YMF_x000a_Ridge_QURU_Untagged_x000a_Organic Soil - July 2021"/>
    <s v="JDG_Methane_YMF_x000a_Ridge_QURU_Untagged_x000a_Mineral Soil - July 2021"/>
  </r>
  <r>
    <x v="2"/>
    <s v="ACSA"/>
    <s v="SMR1"/>
    <x v="36"/>
    <s v="Ridge"/>
    <s v="JDG_Methane_YMF_x000a_Ridge_ACSA_SMR1_x000a_Organic Soil - July 2021"/>
    <s v="JDG_Methane_YMF_x000a_Ridge_ACSA_SMR1_x000a_Mineral Soil - July 2021"/>
  </r>
  <r>
    <x v="2"/>
    <s v="BELE"/>
    <s v="BB5"/>
    <x v="13"/>
    <m/>
    <s v="JDG_Methane_YMF_x000a_Ridge_BELE_BB5_x000a_Organic Soil - July 2021"/>
    <s v="JDG_Methane_YMF_x000a_Ridge_BELE_BB5_x000a_Mineral Soil - July 2021"/>
  </r>
  <r>
    <x v="2"/>
    <s v="BELE"/>
    <s v="BB6"/>
    <x v="10"/>
    <m/>
    <s v="JDG_Methane_YMF_x000a_Ridge_BELE_BB6_x000a_Organic Soil - July 2021"/>
    <s v="JDG_Methane_YMF_x000a_Ridge_BELE_BB6_x000a_Mineral Soil - July 2021"/>
  </r>
  <r>
    <x v="2"/>
    <s v="BELE"/>
    <s v="BB8"/>
    <x v="15"/>
    <m/>
    <s v="JDG_Methane_YMF_x000a_Ridge_BELE_BB8_x000a_Organic Soil - July 2021"/>
    <s v="JDG_Methane_YMF_x000a_Ridge_BELE_BB8_x000a_Mineral Soil - July 2021"/>
  </r>
  <r>
    <x v="2"/>
    <s v="BELE"/>
    <s v="BB7"/>
    <x v="14"/>
    <m/>
    <s v="JDG_Methane_YMF_x000a_Ridge_BELE_BB7_x000a_Organic Soil - July 2021"/>
    <s v="JDG_Methane_YMF_x000a_Ridge_BELE_BB7_x000a_Mineral Soil - July 2021"/>
  </r>
  <r>
    <x v="2"/>
    <s v="BELE"/>
    <s v="BB9"/>
    <x v="28"/>
    <m/>
    <s v="JDG_Methane_YMF_x000a_Ridge_BELE_BB9_x000a_Organic Soil - July 2021"/>
    <s v="JDG_Methane_YMF_x000a_Ridge_BELE_BB9_x000a_Mineral Soil - July 2021"/>
  </r>
  <r>
    <x v="2"/>
    <s v="BELE"/>
    <s v="BB10"/>
    <x v="48"/>
    <m/>
    <s v="JDG_Methane_YMF_x000a_Ridge_BELE_BB10_x000a_Organic Soil - July 2021"/>
    <s v="JDG_Methane_YMF_x000a_Ridge_BELE_BB10_x000a_Mineral Soil - July 2021"/>
  </r>
  <r>
    <x v="2"/>
    <s v="BELE"/>
    <s v="BB10'"/>
    <x v="3"/>
    <m/>
    <s v="JDG_Methane_YMF_x000a_Ridge_BELE_BB10'_x000a_Organic Soil - July 2021"/>
    <s v="JDG_Methane_YMF_x000a_Ridge_BELE_BB10'_x000a_Mineral Soil - July 2021"/>
  </r>
  <r>
    <x v="2"/>
    <s v="BELE"/>
    <s v="BB11"/>
    <x v="13"/>
    <m/>
    <s v="JDG_Methane_YMF_x000a_Ridge_BELE_BB11_x000a_Organic Soil - July 2021"/>
    <s v="JDG_Methane_YMF_x000a_Ridge_BELE_BB11_x000a_Mineral Soil - July 2021"/>
  </r>
  <r>
    <x v="2"/>
    <s v="BELE"/>
    <s v="BB12"/>
    <x v="6"/>
    <m/>
    <s v="JDG_Methane_YMF_x000a_Ridge_BELE_BB12_x000a_Organic Soil - July 2021"/>
    <s v="JDG_Methane_YMF_x000a_Ridge_BELE_BB12_x000a_Mineral Soil - July 2021"/>
  </r>
  <r>
    <x v="2"/>
    <s v="BELE"/>
    <s v="BB13"/>
    <x v="46"/>
    <m/>
    <s v="JDG_Methane_YMF_x000a_Ridge_BELE_BB13_x000a_Organic Soil - July 2021"/>
    <s v="JDG_Methane_YMF_x000a_Ridge_BELE_BB13_x000a_Mineral Soil - July 2021"/>
  </r>
  <r>
    <x v="2"/>
    <s v="BELE"/>
    <s v="BB14"/>
    <x v="67"/>
    <m/>
    <s v="JDG_Methane_YMF_x000a_Ridge_BELE_BB14_x000a_Organic Soil - July 2021"/>
    <s v="JDG_Methane_YMF_x000a_Ridge_BELE_BB14_x000a_Mineral Soil - July 2021"/>
  </r>
  <r>
    <x v="2"/>
    <s v="BELE"/>
    <s v="BB16"/>
    <x v="38"/>
    <m/>
    <s v="JDG_Methane_YMF_x000a_Ridge_BELE_BB16_x000a_Organic Soil - July 2021"/>
    <s v="JDG_Methane_YMF_x000a_Ridge_BELE_BB16_x000a_Mineral Soil - July 2021"/>
  </r>
  <r>
    <x v="2"/>
    <s v="BELE"/>
    <s v="BB16'"/>
    <x v="68"/>
    <m/>
    <s v="JDG_Methane_YMF_x000a_Ridge_BELE_BB16'_x000a_Organic Soil - July 2021"/>
    <s v="JDG_Methane_YMF_x000a_Ridge_BELE_BB16'_x000a_Mineral Soil - July 2021"/>
  </r>
  <r>
    <x v="2"/>
    <s v="FAGR"/>
    <s v="AB10"/>
    <x v="47"/>
    <m/>
    <s v="JDG_Methane_YMF_x000a_Ridge_FAGR_AB10_x000a_Organic Soil - July 2021"/>
    <s v="JDG_Methane_YMF_x000a_Ridge_FAGR_AB10_x000a_Mineral Soil - July 2021"/>
  </r>
  <r>
    <x v="2"/>
    <s v="FAGR"/>
    <s v="AB9"/>
    <x v="17"/>
    <m/>
    <s v="JDG_Methane_YMF_x000a_Ridge_FAGR_AB9_x000a_Organic Soil - July 2021"/>
    <s v="JDG_Methane_YMF_x000a_Ridge_FAGR_AB9_x000a_Mineral Soil - July 2021"/>
  </r>
  <r>
    <x v="2"/>
    <s v="FAGR"/>
    <s v="AB11"/>
    <x v="12"/>
    <m/>
    <s v="JDG_Methane_YMF_x000a_Ridge_FAGR_AB11_x000a_Organic Soil - July 2021"/>
    <s v="JDG_Methane_YMF_x000a_Ridge_FAGR_AB11_x000a_Mineral Soil - July 2021"/>
  </r>
  <r>
    <x v="2"/>
    <s v="PIST"/>
    <s v="Untagged"/>
    <x v="69"/>
    <m/>
    <s v="JDG_Methane_YMF_x000a_Ridge_PIST_Untagged_x000a_Organic Soil - July 2021"/>
    <s v="JDG_Methane_YMF_x000a_Ridge_PIST_Untagged_x000a_Mineral Soil - July 2021"/>
  </r>
  <r>
    <x v="2"/>
    <s v="PIST"/>
    <s v="Untagged"/>
    <x v="58"/>
    <m/>
    <s v="JDG_Methane_YMF_x000a_Ridge_PIST_Untagged_x000a_Organic Soil - July 2021"/>
    <s v="JDG_Methane_YMF_x000a_Ridge_PIST_Untagged_x000a_Mineral Soil - July 2021"/>
  </r>
  <r>
    <x v="2"/>
    <s v="PIST"/>
    <s v="Untagged"/>
    <x v="70"/>
    <m/>
    <s v="JDG_Methane_YMF_x000a_Ridge_PIST_Untagged_x000a_Organic Soil - July 2021"/>
    <s v="JDG_Methane_YMF_x000a_Ridge_PIST_Untagged_x000a_Mineral Soil - July 2021"/>
  </r>
  <r>
    <x v="2"/>
    <s v="PIST"/>
    <s v="Untagged"/>
    <x v="70"/>
    <m/>
    <s v="JDG_Methane_YMF_x000a_Ridge_PIST_Untagged_x000a_Organic Soil - July 2021"/>
    <s v="JDG_Methane_YMF_x000a_Ridge_PIST_Untagged_x000a_Mineral Soil - July 2021"/>
  </r>
  <r>
    <x v="2"/>
    <s v="PIST"/>
    <s v="Untagged"/>
    <x v="26"/>
    <m/>
    <s v="JDG_Methane_YMF_x000a_Ridge_PIST_Untagged_x000a_Organic Soil - July 2021"/>
    <s v="JDG_Methane_YMF_x000a_Ridge_PIST_Untagged_x000a_Mineral Soil - July 2021"/>
  </r>
  <r>
    <x v="2"/>
    <s v="PIST"/>
    <s v="Untagged"/>
    <x v="38"/>
    <m/>
    <s v="JDG_Methane_YMF_x000a_Ridge_PIST_Untagged_x000a_Organic Soil - July 2021"/>
    <s v="JDG_Methane_YMF_x000a_Ridge_PIST_Untagged_x000a_Mineral Soil - July 2021"/>
  </r>
  <r>
    <x v="2"/>
    <s v="TSCA"/>
    <s v="Untagged"/>
    <x v="64"/>
    <m/>
    <s v="JDG_Methane_YMF_x000a_Ridge_TSCA_Untagged_x000a_Organic Soil - July 2021"/>
    <s v="JDG_Methane_YMF_x000a_Ridge_TSCA_Untagged_x000a_Mineral Soil - July 2021"/>
  </r>
  <r>
    <x v="2"/>
    <s v="TSCA"/>
    <s v="Untagged"/>
    <x v="71"/>
    <m/>
    <s v="JDG_Methane_YMF_x000a_Ridge_TSCA_Untagged_x000a_Organic Soil - July 2021"/>
    <s v="JDG_Methane_YMF_x000a_Ridge_TSCA_Untagged_x000a_Mineral Soil - July 2021"/>
  </r>
  <r>
    <x v="2"/>
    <s v="TSCA"/>
    <s v="Untagged"/>
    <x v="26"/>
    <m/>
    <s v="JDG_Methane_YMF_x000a_Ridge_TSCA_Untagged_x000a_Organic Soil - July 2021"/>
    <s v="JDG_Methane_YMF_x000a_Ridge_TSCA_Untagged_x000a_Mineral Soil - July 2021"/>
  </r>
  <r>
    <x v="2"/>
    <s v="TSCA"/>
    <s v="Untagged"/>
    <x v="48"/>
    <m/>
    <s v="JDG_Methane_YMF_x000a_Ridge_TSCA_Untagged_x000a_Organic Soil - July 2021"/>
    <s v="JDG_Methane_YMF_x000a_Ridge_TSCA_Untagged_x000a_Mineral Soil - July 2021"/>
  </r>
  <r>
    <x v="2"/>
    <s v="TSCA"/>
    <s v="Untagged"/>
    <x v="26"/>
    <m/>
    <s v="JDG_Methane_YMF_x000a_Ridge_TSCA_Untagged_x000a_Organic Soil - July 2021"/>
    <s v="JDG_Methane_YMF_x000a_Ridge_TSCA_Untagged_x000a_Mineral Soil - July 2021"/>
  </r>
  <r>
    <x v="2"/>
    <s v="TSCA"/>
    <s v="Untagged"/>
    <x v="14"/>
    <m/>
    <s v="JDG_Methane_YMF_x000a_Ridge_TSCA_Untagged_x000a_Organic Soil - July 2021"/>
    <s v="JDG_Methane_YMF_x000a_Ridge_TSCA_Untagged_x000a_Mineral Soil - July 2021"/>
  </r>
  <r>
    <x v="2"/>
    <s v="PRSE"/>
    <s v="BC2"/>
    <x v="46"/>
    <m/>
    <s v="JDG_Methane_YMF_x000a_Ridge_PRSE_BC2_x000a_Organic Soil - July 2021"/>
    <s v="JDG_Methane_YMF_x000a_Ridge_PRSE_BC2_x000a_Mineral Soil - July 20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06384-4CA4-C947-8DDF-B4E34AE51F66}" name="PivotTable10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79FE1-1318-3644-A6A5-81C14C886886}" name="PivotTable11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7"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73">
        <item x="47"/>
        <item x="17"/>
        <item x="29"/>
        <item x="18"/>
        <item x="39"/>
        <item x="15"/>
        <item x="26"/>
        <item x="32"/>
        <item x="4"/>
        <item x="67"/>
        <item x="68"/>
        <item x="12"/>
        <item x="7"/>
        <item x="6"/>
        <item x="0"/>
        <item x="2"/>
        <item x="37"/>
        <item x="48"/>
        <item x="3"/>
        <item x="10"/>
        <item x="9"/>
        <item x="11"/>
        <item x="46"/>
        <item x="13"/>
        <item x="14"/>
        <item x="8"/>
        <item x="24"/>
        <item x="38"/>
        <item x="59"/>
        <item x="28"/>
        <item x="27"/>
        <item x="64"/>
        <item x="16"/>
        <item x="62"/>
        <item x="45"/>
        <item x="1"/>
        <item x="34"/>
        <item x="33"/>
        <item x="20"/>
        <item x="35"/>
        <item x="30"/>
        <item x="21"/>
        <item x="36"/>
        <item x="44"/>
        <item x="65"/>
        <item x="50"/>
        <item x="5"/>
        <item x="49"/>
        <item x="43"/>
        <item x="58"/>
        <item x="70"/>
        <item x="19"/>
        <item x="25"/>
        <item x="41"/>
        <item x="55"/>
        <item x="61"/>
        <item x="66"/>
        <item x="56"/>
        <item x="42"/>
        <item x="40"/>
        <item x="31"/>
        <item x="53"/>
        <item x="60"/>
        <item x="57"/>
        <item x="22"/>
        <item x="71"/>
        <item x="69"/>
        <item x="54"/>
        <item x="52"/>
        <item x="51"/>
        <item x="23"/>
        <item x="63"/>
        <item t="default"/>
      </items>
    </pivotField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BH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DBB2-0245-5F4B-95A5-5951F2698D95}">
  <dimension ref="A3:C20"/>
  <sheetViews>
    <sheetView workbookViewId="0">
      <selection activeCell="B15" sqref="B15"/>
    </sheetView>
  </sheetViews>
  <sheetFormatPr baseColWidth="10" defaultRowHeight="16" x14ac:dyDescent="0.2"/>
  <sheetData>
    <row r="3" spans="1:3" x14ac:dyDescent="0.2">
      <c r="A3" s="2"/>
      <c r="B3" s="3"/>
      <c r="C3" s="4"/>
    </row>
    <row r="4" spans="1:3" x14ac:dyDescent="0.2">
      <c r="A4" s="5"/>
      <c r="B4" s="6"/>
      <c r="C4" s="7"/>
    </row>
    <row r="5" spans="1:3" x14ac:dyDescent="0.2">
      <c r="A5" s="5"/>
      <c r="B5" s="6"/>
      <c r="C5" s="7"/>
    </row>
    <row r="6" spans="1:3" x14ac:dyDescent="0.2">
      <c r="A6" s="5"/>
      <c r="B6" s="6"/>
      <c r="C6" s="7"/>
    </row>
    <row r="7" spans="1:3" x14ac:dyDescent="0.2">
      <c r="A7" s="5"/>
      <c r="B7" s="6"/>
      <c r="C7" s="7"/>
    </row>
    <row r="8" spans="1:3" x14ac:dyDescent="0.2">
      <c r="A8" s="5"/>
      <c r="B8" s="6"/>
      <c r="C8" s="7"/>
    </row>
    <row r="9" spans="1:3" x14ac:dyDescent="0.2">
      <c r="A9" s="5"/>
      <c r="B9" s="6"/>
      <c r="C9" s="7"/>
    </row>
    <row r="10" spans="1:3" x14ac:dyDescent="0.2">
      <c r="A10" s="5"/>
      <c r="B10" s="6"/>
      <c r="C10" s="7"/>
    </row>
    <row r="11" spans="1:3" x14ac:dyDescent="0.2">
      <c r="A11" s="5"/>
      <c r="B11" s="6"/>
      <c r="C11" s="7"/>
    </row>
    <row r="12" spans="1:3" x14ac:dyDescent="0.2">
      <c r="A12" s="5"/>
      <c r="B12" s="6"/>
      <c r="C12" s="7"/>
    </row>
    <row r="13" spans="1:3" x14ac:dyDescent="0.2">
      <c r="A13" s="5"/>
      <c r="B13" s="6"/>
      <c r="C13" s="7"/>
    </row>
    <row r="14" spans="1:3" x14ac:dyDescent="0.2">
      <c r="A14" s="5"/>
      <c r="B14" s="6"/>
      <c r="C14" s="7"/>
    </row>
    <row r="15" spans="1:3" x14ac:dyDescent="0.2">
      <c r="A15" s="5"/>
      <c r="B15" s="6"/>
      <c r="C15" s="7"/>
    </row>
    <row r="16" spans="1:3" x14ac:dyDescent="0.2">
      <c r="A16" s="5"/>
      <c r="B16" s="6"/>
      <c r="C16" s="7"/>
    </row>
    <row r="17" spans="1:3" x14ac:dyDescent="0.2">
      <c r="A17" s="5"/>
      <c r="B17" s="6"/>
      <c r="C17" s="7"/>
    </row>
    <row r="18" spans="1:3" x14ac:dyDescent="0.2">
      <c r="A18" s="5"/>
      <c r="B18" s="6"/>
      <c r="C18" s="7"/>
    </row>
    <row r="19" spans="1:3" x14ac:dyDescent="0.2">
      <c r="A19" s="5"/>
      <c r="B19" s="6"/>
      <c r="C19" s="7"/>
    </row>
    <row r="20" spans="1:3" x14ac:dyDescent="0.2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4866-71FE-5B41-842F-E095D02851BF}">
  <dimension ref="A3:B7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2.33203125" bestFit="1" customWidth="1"/>
  </cols>
  <sheetData>
    <row r="3" spans="1:2" x14ac:dyDescent="0.2">
      <c r="A3" s="11" t="s">
        <v>204</v>
      </c>
      <c r="B3" t="s">
        <v>206</v>
      </c>
    </row>
    <row r="4" spans="1:2" x14ac:dyDescent="0.2">
      <c r="A4" s="12" t="s">
        <v>48</v>
      </c>
      <c r="B4" s="13">
        <v>49</v>
      </c>
    </row>
    <row r="5" spans="1:2" x14ac:dyDescent="0.2">
      <c r="A5" s="12" t="s">
        <v>7</v>
      </c>
      <c r="B5" s="13">
        <v>107</v>
      </c>
    </row>
    <row r="6" spans="1:2" x14ac:dyDescent="0.2">
      <c r="A6" s="12" t="s">
        <v>26</v>
      </c>
      <c r="B6" s="13">
        <v>43</v>
      </c>
    </row>
    <row r="7" spans="1:2" x14ac:dyDescent="0.2">
      <c r="A7" s="12" t="s">
        <v>205</v>
      </c>
      <c r="B7" s="13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F623-81AA-BF49-AD24-49D6265E8BD5}">
  <sheetPr filterMode="1">
    <pageSetUpPr fitToPage="1"/>
  </sheetPr>
  <dimension ref="A1:G201"/>
  <sheetViews>
    <sheetView tabSelected="1" workbookViewId="0">
      <pane ySplit="1" topLeftCell="A158" activePane="bottomLeft" state="frozen"/>
      <selection pane="bottomLeft" activeCell="F178" sqref="F178"/>
    </sheetView>
  </sheetViews>
  <sheetFormatPr baseColWidth="10" defaultRowHeight="16" x14ac:dyDescent="0.2"/>
  <cols>
    <col min="1" max="1" width="8" bestFit="1" customWidth="1"/>
    <col min="6" max="6" width="59.6640625" bestFit="1" customWidth="1"/>
    <col min="7" max="7" width="59.832031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hidden="1" x14ac:dyDescent="0.2">
      <c r="A2" s="1" t="s">
        <v>48</v>
      </c>
      <c r="B2" s="1" t="s">
        <v>49</v>
      </c>
      <c r="C2" s="1" t="s">
        <v>50</v>
      </c>
      <c r="D2" s="1">
        <v>27</v>
      </c>
      <c r="F2" s="1" t="str">
        <f>"JDG_Methane_YMF"&amp;CHAR(10)&amp;A2&amp;"_"&amp;B2&amp;"_"&amp;C2&amp;CHAR(10)&amp;"Organic Soil - July 2021"</f>
        <v>JDG_Methane_YMF
Lab_ACSA_SM1
Organic Soil - July 2021</v>
      </c>
      <c r="G2" s="1" t="str">
        <f>"JDG_Methane_YMF"&amp;CHAR(10)&amp;A2&amp;"_"&amp;B2&amp;"_"&amp;C2&amp;CHAR(10)&amp;"Mineral Soil - July 2021"</f>
        <v>JDG_Methane_YMF
Lab_ACSA_SM1
Mineral Soil - July 2021</v>
      </c>
    </row>
    <row r="3" spans="1:7" s="1" customFormat="1" hidden="1" x14ac:dyDescent="0.2">
      <c r="A3" s="1" t="s">
        <v>48</v>
      </c>
      <c r="B3" s="1" t="s">
        <v>49</v>
      </c>
      <c r="C3" s="1" t="s">
        <v>51</v>
      </c>
      <c r="D3" s="1">
        <v>37</v>
      </c>
      <c r="F3" s="1" t="str">
        <f>"JDG_Methane_YMF"&amp;CHAR(10)&amp;A3&amp;"_"&amp;B3&amp;"_"&amp;C3&amp;CHAR(10)&amp;"Organic Soil - July 2021"</f>
        <v>JDG_Methane_YMF
Lab_ACSA_SM2
Organic Soil - July 2021</v>
      </c>
      <c r="G3" s="1" t="str">
        <f>"JDG_Methane_YMF"&amp;CHAR(10)&amp;A3&amp;"_"&amp;B3&amp;"_"&amp;C3&amp;CHAR(10)&amp;"Mineral Soil - July 2021"</f>
        <v>JDG_Methane_YMF
Lab_ACSA_SM2
Mineral Soil - July 2021</v>
      </c>
    </row>
    <row r="4" spans="1:7" s="1" customFormat="1" hidden="1" x14ac:dyDescent="0.2">
      <c r="A4" s="1" t="s">
        <v>48</v>
      </c>
      <c r="B4" s="1" t="s">
        <v>49</v>
      </c>
      <c r="C4" s="1" t="s">
        <v>52</v>
      </c>
      <c r="D4" s="1">
        <v>27.5</v>
      </c>
      <c r="F4" s="1" t="str">
        <f>"JDG_Methane_YMF"&amp;CHAR(10)&amp;A4&amp;"_"&amp;B4&amp;"_"&amp;C4&amp;CHAR(10)&amp;"Organic Soil - July 2021"</f>
        <v>JDG_Methane_YMF
Lab_ACSA_SM3
Organic Soil - July 2021</v>
      </c>
      <c r="G4" s="1" t="str">
        <f>"JDG_Methane_YMF"&amp;CHAR(10)&amp;A4&amp;"_"&amp;B4&amp;"_"&amp;C4&amp;CHAR(10)&amp;"Mineral Soil - July 2021"</f>
        <v>JDG_Methane_YMF
Lab_ACSA_SM3
Mineral Soil - July 2021</v>
      </c>
    </row>
    <row r="5" spans="1:7" s="1" customFormat="1" hidden="1" x14ac:dyDescent="0.2">
      <c r="A5" s="1" t="s">
        <v>48</v>
      </c>
      <c r="B5" s="1" t="s">
        <v>49</v>
      </c>
      <c r="C5" s="1" t="s">
        <v>53</v>
      </c>
      <c r="D5" s="1">
        <v>29</v>
      </c>
      <c r="F5" s="1" t="str">
        <f>"JDG_Methane_YMF"&amp;CHAR(10)&amp;A5&amp;"_"&amp;B5&amp;"_"&amp;C5&amp;CHAR(10)&amp;"Organic Soil - July 2021"</f>
        <v>JDG_Methane_YMF
Lab_ACSA_SM4
Organic Soil - July 2021</v>
      </c>
      <c r="G5" s="1" t="str">
        <f>"JDG_Methane_YMF"&amp;CHAR(10)&amp;A5&amp;"_"&amp;B5&amp;"_"&amp;C5&amp;CHAR(10)&amp;"Mineral Soil - July 2021"</f>
        <v>JDG_Methane_YMF
Lab_ACSA_SM4
Mineral Soil - July 2021</v>
      </c>
    </row>
    <row r="6" spans="1:7" s="1" customFormat="1" hidden="1" x14ac:dyDescent="0.2">
      <c r="A6" s="1" t="s">
        <v>48</v>
      </c>
      <c r="B6" s="1" t="s">
        <v>49</v>
      </c>
      <c r="C6" s="1" t="s">
        <v>54</v>
      </c>
      <c r="D6" s="1">
        <v>27</v>
      </c>
      <c r="F6" s="1" t="str">
        <f>"JDG_Methane_YMF"&amp;CHAR(10)&amp;A6&amp;"_"&amp;B6&amp;"_"&amp;C6&amp;CHAR(10)&amp;"Organic Soil - July 2021"</f>
        <v>JDG_Methane_YMF
Lab_ACSA_SM5
Organic Soil - July 2021</v>
      </c>
      <c r="G6" s="1" t="str">
        <f>"JDG_Methane_YMF"&amp;CHAR(10)&amp;A6&amp;"_"&amp;B6&amp;"_"&amp;C6&amp;CHAR(10)&amp;"Mineral Soil - July 2021"</f>
        <v>JDG_Methane_YMF
Lab_ACSA_SM5
Mineral Soil - July 2021</v>
      </c>
    </row>
    <row r="7" spans="1:7" s="1" customFormat="1" hidden="1" x14ac:dyDescent="0.2">
      <c r="A7" s="1" t="s">
        <v>48</v>
      </c>
      <c r="B7" s="1" t="s">
        <v>49</v>
      </c>
      <c r="C7" s="1" t="s">
        <v>55</v>
      </c>
      <c r="D7" s="1">
        <v>24</v>
      </c>
      <c r="F7" s="1" t="str">
        <f>"JDG_Methane_YMF"&amp;CHAR(10)&amp;A7&amp;"_"&amp;B7&amp;"_"&amp;C7&amp;CHAR(10)&amp;"Organic Soil - July 2021"</f>
        <v>JDG_Methane_YMF
Lab_ACSA_SM6
Organic Soil - July 2021</v>
      </c>
      <c r="G7" s="1" t="str">
        <f>"JDG_Methane_YMF"&amp;CHAR(10)&amp;A7&amp;"_"&amp;B7&amp;"_"&amp;C7&amp;CHAR(10)&amp;"Mineral Soil - July 2021"</f>
        <v>JDG_Methane_YMF
Lab_ACSA_SM6
Mineral Soil - July 2021</v>
      </c>
    </row>
    <row r="8" spans="1:7" s="1" customFormat="1" hidden="1" x14ac:dyDescent="0.2">
      <c r="A8" s="1" t="s">
        <v>48</v>
      </c>
      <c r="B8" s="1" t="s">
        <v>49</v>
      </c>
      <c r="C8" s="1" t="s">
        <v>56</v>
      </c>
      <c r="D8" s="1">
        <v>43</v>
      </c>
      <c r="F8" s="1" t="str">
        <f>"JDG_Methane_YMF"&amp;CHAR(10)&amp;A8&amp;"_"&amp;B8&amp;"_"&amp;C8&amp;CHAR(10)&amp;"Organic Soil - July 2021"</f>
        <v>JDG_Methane_YMF
Lab_ACSA_SM7
Organic Soil - July 2021</v>
      </c>
      <c r="G8" s="1" t="str">
        <f>"JDG_Methane_YMF"&amp;CHAR(10)&amp;A8&amp;"_"&amp;B8&amp;"_"&amp;C8&amp;CHAR(10)&amp;"Mineral Soil - July 2021"</f>
        <v>JDG_Methane_YMF
Lab_ACSA_SM7
Mineral Soil - July 2021</v>
      </c>
    </row>
    <row r="9" spans="1:7" s="1" customFormat="1" hidden="1" x14ac:dyDescent="0.2">
      <c r="A9" s="1" t="s">
        <v>48</v>
      </c>
      <c r="B9" s="1" t="s">
        <v>49</v>
      </c>
      <c r="C9" s="1" t="s">
        <v>57</v>
      </c>
      <c r="D9" s="1">
        <v>26.5</v>
      </c>
      <c r="F9" s="1" t="str">
        <f>"JDG_Methane_YMF"&amp;CHAR(10)&amp;A9&amp;"_"&amp;B9&amp;"_"&amp;C9&amp;CHAR(10)&amp;"Organic Soil - July 2021"</f>
        <v>JDG_Methane_YMF
Lab_ACSA_SM8
Organic Soil - July 2021</v>
      </c>
      <c r="G9" s="1" t="str">
        <f>"JDG_Methane_YMF"&amp;CHAR(10)&amp;A9&amp;"_"&amp;B9&amp;"_"&amp;C9&amp;CHAR(10)&amp;"Mineral Soil - July 2021"</f>
        <v>JDG_Methane_YMF
Lab_ACSA_SM8
Mineral Soil - July 2021</v>
      </c>
    </row>
    <row r="10" spans="1:7" s="1" customFormat="1" hidden="1" x14ac:dyDescent="0.2">
      <c r="A10" s="1" t="s">
        <v>48</v>
      </c>
      <c r="B10" s="1" t="s">
        <v>49</v>
      </c>
      <c r="C10" s="1" t="s">
        <v>58</v>
      </c>
      <c r="D10" s="1">
        <v>26</v>
      </c>
      <c r="F10" s="1" t="str">
        <f>"JDG_Methane_YMF"&amp;CHAR(10)&amp;A10&amp;"_"&amp;B10&amp;"_"&amp;C10&amp;CHAR(10)&amp;"Organic Soil - July 2021"</f>
        <v>JDG_Methane_YMF
Lab_ACSA_SM9
Organic Soil - July 2021</v>
      </c>
      <c r="G10" s="1" t="str">
        <f>"JDG_Methane_YMF"&amp;CHAR(10)&amp;A10&amp;"_"&amp;B10&amp;"_"&amp;C10&amp;CHAR(10)&amp;"Mineral Soil - July 2021"</f>
        <v>JDG_Methane_YMF
Lab_ACSA_SM9
Mineral Soil - July 2021</v>
      </c>
    </row>
    <row r="11" spans="1:7" s="1" customFormat="1" hidden="1" x14ac:dyDescent="0.2">
      <c r="A11" s="1" t="s">
        <v>48</v>
      </c>
      <c r="B11" s="1" t="s">
        <v>49</v>
      </c>
      <c r="C11" s="1" t="s">
        <v>59</v>
      </c>
      <c r="D11" s="1">
        <v>32.5</v>
      </c>
      <c r="F11" s="1" t="str">
        <f>"JDG_Methane_YMF"&amp;CHAR(10)&amp;A11&amp;"_"&amp;B11&amp;"_"&amp;C11&amp;CHAR(10)&amp;"Organic Soil - July 2021"</f>
        <v>JDG_Methane_YMF
Lab_ACSA_SM10
Organic Soil - July 2021</v>
      </c>
      <c r="G11" s="1" t="str">
        <f>"JDG_Methane_YMF"&amp;CHAR(10)&amp;A11&amp;"_"&amp;B11&amp;"_"&amp;C11&amp;CHAR(10)&amp;"Mineral Soil - July 2021"</f>
        <v>JDG_Methane_YMF
Lab_ACSA_SM10
Mineral Soil - July 2021</v>
      </c>
    </row>
    <row r="12" spans="1:7" s="1" customFormat="1" hidden="1" x14ac:dyDescent="0.2">
      <c r="A12" s="1" t="s">
        <v>48</v>
      </c>
      <c r="B12" s="1" t="s">
        <v>49</v>
      </c>
      <c r="C12" s="1" t="s">
        <v>60</v>
      </c>
      <c r="D12" s="1">
        <v>30</v>
      </c>
      <c r="F12" s="1" t="str">
        <f>"JDG_Methane_YMF"&amp;CHAR(10)&amp;A12&amp;"_"&amp;B12&amp;"_"&amp;C12&amp;CHAR(10)&amp;"Organic Soil - July 2021"</f>
        <v>JDG_Methane_YMF
Lab_ACSA_SM11
Organic Soil - July 2021</v>
      </c>
      <c r="G12" s="1" t="str">
        <f>"JDG_Methane_YMF"&amp;CHAR(10)&amp;A12&amp;"_"&amp;B12&amp;"_"&amp;C12&amp;CHAR(10)&amp;"Mineral Soil - July 2021"</f>
        <v>JDG_Methane_YMF
Lab_ACSA_SM11
Mineral Soil - July 2021</v>
      </c>
    </row>
    <row r="13" spans="1:7" s="1" customFormat="1" hidden="1" x14ac:dyDescent="0.2">
      <c r="A13" s="1" t="s">
        <v>48</v>
      </c>
      <c r="B13" s="1" t="s">
        <v>49</v>
      </c>
      <c r="C13" s="1" t="s">
        <v>61</v>
      </c>
      <c r="D13" s="1">
        <v>29.5</v>
      </c>
      <c r="F13" s="1" t="str">
        <f>"JDG_Methane_YMF"&amp;CHAR(10)&amp;A13&amp;"_"&amp;B13&amp;"_"&amp;C13&amp;CHAR(10)&amp;"Organic Soil - July 2021"</f>
        <v>JDG_Methane_YMF
Lab_ACSA_SM12
Organic Soil - July 2021</v>
      </c>
      <c r="G13" s="1" t="str">
        <f>"JDG_Methane_YMF"&amp;CHAR(10)&amp;A13&amp;"_"&amp;B13&amp;"_"&amp;C13&amp;CHAR(10)&amp;"Mineral Soil - July 2021"</f>
        <v>JDG_Methane_YMF
Lab_ACSA_SM12
Mineral Soil - July 2021</v>
      </c>
    </row>
    <row r="14" spans="1:7" s="1" customFormat="1" hidden="1" x14ac:dyDescent="0.2">
      <c r="A14" s="1" t="s">
        <v>48</v>
      </c>
      <c r="B14" s="1" t="s">
        <v>49</v>
      </c>
      <c r="C14" s="1" t="s">
        <v>62</v>
      </c>
      <c r="D14" s="1">
        <v>30.5</v>
      </c>
      <c r="F14" s="1" t="str">
        <f>"JDG_Methane_YMF"&amp;CHAR(10)&amp;A14&amp;"_"&amp;B14&amp;"_"&amp;C14&amp;CHAR(10)&amp;"Organic Soil - July 2021"</f>
        <v>JDG_Methane_YMF
Lab_ACSA_SM13
Organic Soil - July 2021</v>
      </c>
      <c r="G14" s="1" t="str">
        <f>"JDG_Methane_YMF"&amp;CHAR(10)&amp;A14&amp;"_"&amp;B14&amp;"_"&amp;C14&amp;CHAR(10)&amp;"Mineral Soil - July 2021"</f>
        <v>JDG_Methane_YMF
Lab_ACSA_SM13
Mineral Soil - July 2021</v>
      </c>
    </row>
    <row r="15" spans="1:7" s="1" customFormat="1" hidden="1" x14ac:dyDescent="0.2">
      <c r="A15" s="1" t="s">
        <v>48</v>
      </c>
      <c r="B15" s="1" t="s">
        <v>49</v>
      </c>
      <c r="C15" s="1" t="s">
        <v>63</v>
      </c>
      <c r="D15" s="1">
        <v>26</v>
      </c>
      <c r="F15" s="1" t="str">
        <f>"JDG_Methane_YMF"&amp;CHAR(10)&amp;A15&amp;"_"&amp;B15&amp;"_"&amp;C15&amp;CHAR(10)&amp;"Organic Soil - July 2021"</f>
        <v>JDG_Methane_YMF
Lab_ACSA_SM14
Organic Soil - July 2021</v>
      </c>
      <c r="G15" s="1" t="str">
        <f>"JDG_Methane_YMF"&amp;CHAR(10)&amp;A15&amp;"_"&amp;B15&amp;"_"&amp;C15&amp;CHAR(10)&amp;"Mineral Soil - July 2021"</f>
        <v>JDG_Methane_YMF
Lab_ACSA_SM14
Mineral Soil - July 2021</v>
      </c>
    </row>
    <row r="16" spans="1:7" s="1" customFormat="1" hidden="1" x14ac:dyDescent="0.2">
      <c r="A16" s="1" t="s">
        <v>48</v>
      </c>
      <c r="B16" s="1" t="s">
        <v>49</v>
      </c>
      <c r="C16" s="1" t="s">
        <v>64</v>
      </c>
      <c r="D16" s="1">
        <v>25.5</v>
      </c>
      <c r="F16" s="1" t="str">
        <f>"JDG_Methane_YMF"&amp;CHAR(10)&amp;A16&amp;"_"&amp;B16&amp;"_"&amp;C16&amp;CHAR(10)&amp;"Organic Soil - July 2021"</f>
        <v>JDG_Methane_YMF
Lab_ACSA_SM15
Organic Soil - July 2021</v>
      </c>
      <c r="G16" s="1" t="str">
        <f>"JDG_Methane_YMF"&amp;CHAR(10)&amp;A16&amp;"_"&amp;B16&amp;"_"&amp;C16&amp;CHAR(10)&amp;"Mineral Soil - July 2021"</f>
        <v>JDG_Methane_YMF
Lab_ACSA_SM15
Mineral Soil - July 2021</v>
      </c>
    </row>
    <row r="17" spans="1:7" s="1" customFormat="1" hidden="1" x14ac:dyDescent="0.2">
      <c r="A17" s="1" t="s">
        <v>48</v>
      </c>
      <c r="B17" s="1" t="s">
        <v>66</v>
      </c>
      <c r="C17" s="1" t="s">
        <v>67</v>
      </c>
      <c r="D17" s="1">
        <v>31.5</v>
      </c>
      <c r="F17" s="1" t="str">
        <f>"JDG_Methane_YMF"&amp;CHAR(10)&amp;A17&amp;"_"&amp;B17&amp;"_"&amp;C17&amp;CHAR(10)&amp;"Organic Soil - July 2021"</f>
        <v>JDG_Methane_YMF
Lab_BELE_BBX1
Organic Soil - July 2021</v>
      </c>
      <c r="G17" s="1" t="str">
        <f>"JDG_Methane_YMF"&amp;CHAR(10)&amp;A17&amp;"_"&amp;B17&amp;"_"&amp;C17&amp;CHAR(10)&amp;"Mineral Soil - July 2021"</f>
        <v>JDG_Methane_YMF
Lab_BELE_BBX1
Mineral Soil - July 2021</v>
      </c>
    </row>
    <row r="18" spans="1:7" s="1" customFormat="1" hidden="1" x14ac:dyDescent="0.2">
      <c r="A18" s="1" t="s">
        <v>48</v>
      </c>
      <c r="B18" s="1" t="s">
        <v>66</v>
      </c>
      <c r="C18" s="1" t="s">
        <v>68</v>
      </c>
      <c r="D18" s="1">
        <v>32</v>
      </c>
      <c r="F18" s="1" t="str">
        <f>"JDG_Methane_YMF"&amp;CHAR(10)&amp;A18&amp;"_"&amp;B18&amp;"_"&amp;C18&amp;CHAR(10)&amp;"Organic Soil - July 2021"</f>
        <v>JDG_Methane_YMF
Lab_BELE_BBX2
Organic Soil - July 2021</v>
      </c>
      <c r="G18" s="1" t="str">
        <f>"JDG_Methane_YMF"&amp;CHAR(10)&amp;A18&amp;"_"&amp;B18&amp;"_"&amp;C18&amp;CHAR(10)&amp;"Mineral Soil - July 2021"</f>
        <v>JDG_Methane_YMF
Lab_BELE_BBX2
Mineral Soil - July 2021</v>
      </c>
    </row>
    <row r="19" spans="1:7" s="1" customFormat="1" hidden="1" x14ac:dyDescent="0.2">
      <c r="A19" s="1" t="s">
        <v>48</v>
      </c>
      <c r="B19" s="1" t="s">
        <v>66</v>
      </c>
      <c r="C19" s="1" t="s">
        <v>69</v>
      </c>
      <c r="D19" s="1">
        <v>22.5</v>
      </c>
      <c r="F19" s="1" t="str">
        <f>"JDG_Methane_YMF"&amp;CHAR(10)&amp;A19&amp;"_"&amp;B19&amp;"_"&amp;C19&amp;CHAR(10)&amp;"Organic Soil - July 2021"</f>
        <v>JDG_Methane_YMF
Lab_BELE_BBX3
Organic Soil - July 2021</v>
      </c>
      <c r="G19" s="1" t="str">
        <f>"JDG_Methane_YMF"&amp;CHAR(10)&amp;A19&amp;"_"&amp;B19&amp;"_"&amp;C19&amp;CHAR(10)&amp;"Mineral Soil - July 2021"</f>
        <v>JDG_Methane_YMF
Lab_BELE_BBX3
Mineral Soil - July 2021</v>
      </c>
    </row>
    <row r="20" spans="1:7" s="1" customFormat="1" hidden="1" x14ac:dyDescent="0.2">
      <c r="A20" s="1" t="s">
        <v>48</v>
      </c>
      <c r="B20" s="1" t="s">
        <v>66</v>
      </c>
      <c r="C20" s="1" t="s">
        <v>70</v>
      </c>
      <c r="D20" s="1">
        <v>35.5</v>
      </c>
      <c r="F20" s="1" t="str">
        <f>"JDG_Methane_YMF"&amp;CHAR(10)&amp;A20&amp;"_"&amp;B20&amp;"_"&amp;C20&amp;CHAR(10)&amp;"Organic Soil - July 2021"</f>
        <v>JDG_Methane_YMF
Lab_BELE_BBX4
Organic Soil - July 2021</v>
      </c>
      <c r="G20" s="1" t="str">
        <f>"JDG_Methane_YMF"&amp;CHAR(10)&amp;A20&amp;"_"&amp;B20&amp;"_"&amp;C20&amp;CHAR(10)&amp;"Mineral Soil - July 2021"</f>
        <v>JDG_Methane_YMF
Lab_BELE_BBX4
Mineral Soil - July 2021</v>
      </c>
    </row>
    <row r="21" spans="1:7" s="1" customFormat="1" hidden="1" x14ac:dyDescent="0.2">
      <c r="A21" s="1" t="s">
        <v>48</v>
      </c>
      <c r="B21" s="1" t="s">
        <v>66</v>
      </c>
      <c r="C21" s="1" t="s">
        <v>71</v>
      </c>
      <c r="D21" s="1">
        <v>20.5</v>
      </c>
      <c r="F21" s="1" t="str">
        <f>"JDG_Methane_YMF"&amp;CHAR(10)&amp;A21&amp;"_"&amp;B21&amp;"_"&amp;C21&amp;CHAR(10)&amp;"Organic Soil - July 2021"</f>
        <v>JDG_Methane_YMF
Lab_BELE_BBX6
Organic Soil - July 2021</v>
      </c>
      <c r="G21" s="1" t="str">
        <f>"JDG_Methane_YMF"&amp;CHAR(10)&amp;A21&amp;"_"&amp;B21&amp;"_"&amp;C21&amp;CHAR(10)&amp;"Mineral Soil - July 2021"</f>
        <v>JDG_Methane_YMF
Lab_BELE_BBX6
Mineral Soil - July 2021</v>
      </c>
    </row>
    <row r="22" spans="1:7" s="1" customFormat="1" hidden="1" x14ac:dyDescent="0.2">
      <c r="A22" s="1" t="s">
        <v>48</v>
      </c>
      <c r="B22" s="1" t="s">
        <v>66</v>
      </c>
      <c r="C22" s="1" t="s">
        <v>72</v>
      </c>
      <c r="D22" s="1">
        <v>21.5</v>
      </c>
      <c r="F22" s="1" t="str">
        <f>"JDG_Methane_YMF"&amp;CHAR(10)&amp;A22&amp;"_"&amp;B22&amp;"_"&amp;C22&amp;CHAR(10)&amp;"Organic Soil - July 2021"</f>
        <v>JDG_Methane_YMF
Lab_BELE_BBX7
Organic Soil - July 2021</v>
      </c>
      <c r="G22" s="1" t="str">
        <f>"JDG_Methane_YMF"&amp;CHAR(10)&amp;A22&amp;"_"&amp;B22&amp;"_"&amp;C22&amp;CHAR(10)&amp;"Mineral Soil - July 2021"</f>
        <v>JDG_Methane_YMF
Lab_BELE_BBX7
Mineral Soil - July 2021</v>
      </c>
    </row>
    <row r="23" spans="1:7" s="1" customFormat="1" hidden="1" x14ac:dyDescent="0.2">
      <c r="A23" s="1" t="s">
        <v>48</v>
      </c>
      <c r="B23" s="1" t="s">
        <v>89</v>
      </c>
      <c r="C23" s="1" t="s">
        <v>90</v>
      </c>
      <c r="D23" s="1">
        <v>31.5</v>
      </c>
      <c r="F23" s="1" t="str">
        <f>"JDG_Methane_YMF"&amp;CHAR(10)&amp;A23&amp;"_"&amp;B23&amp;"_"&amp;C23&amp;CHAR(10)&amp;"Organic Soil - July 2021"</f>
        <v>JDG_Methane_YMF
Lab_BEAL_YBX1
Organic Soil - July 2021</v>
      </c>
      <c r="G23" s="1" t="str">
        <f>"JDG_Methane_YMF"&amp;CHAR(10)&amp;A23&amp;"_"&amp;B23&amp;"_"&amp;C23&amp;CHAR(10)&amp;"Mineral Soil - July 2021"</f>
        <v>JDG_Methane_YMF
Lab_BEAL_YBX1
Mineral Soil - July 2021</v>
      </c>
    </row>
    <row r="24" spans="1:7" s="1" customFormat="1" hidden="1" x14ac:dyDescent="0.2">
      <c r="A24" s="1" t="s">
        <v>48</v>
      </c>
      <c r="B24" s="1" t="s">
        <v>131</v>
      </c>
      <c r="C24" s="1" t="s">
        <v>132</v>
      </c>
      <c r="D24" s="1">
        <v>47</v>
      </c>
      <c r="F24" s="1" t="str">
        <f>"JDG_Methane_YMF"&amp;CHAR(10)&amp;A24&amp;"_"&amp;B24&amp;"_"&amp;C24&amp;CHAR(10)&amp;"Organic Soil - July 2021"</f>
        <v>JDG_Methane_YMF
Lab_PIST_WPX1
Organic Soil - July 2021</v>
      </c>
      <c r="G24" s="1" t="str">
        <f>"JDG_Methane_YMF"&amp;CHAR(10)&amp;A24&amp;"_"&amp;B24&amp;"_"&amp;C24&amp;CHAR(10)&amp;"Mineral Soil - July 2021"</f>
        <v>JDG_Methane_YMF
Lab_PIST_WPX1
Mineral Soil - July 2021</v>
      </c>
    </row>
    <row r="25" spans="1:7" s="1" customFormat="1" hidden="1" x14ac:dyDescent="0.2">
      <c r="A25" s="1" t="s">
        <v>48</v>
      </c>
      <c r="B25" s="1" t="s">
        <v>131</v>
      </c>
      <c r="C25" s="1" t="s">
        <v>133</v>
      </c>
      <c r="D25" s="1">
        <v>27.5</v>
      </c>
      <c r="F25" s="1" t="str">
        <f>"JDG_Methane_YMF"&amp;CHAR(10)&amp;A25&amp;"_"&amp;B25&amp;"_"&amp;C25&amp;CHAR(10)&amp;"Organic Soil - July 2021"</f>
        <v>JDG_Methane_YMF
Lab_PIST_WPX2
Organic Soil - July 2021</v>
      </c>
      <c r="G25" s="1" t="str">
        <f>"JDG_Methane_YMF"&amp;CHAR(10)&amp;A25&amp;"_"&amp;B25&amp;"_"&amp;C25&amp;CHAR(10)&amp;"Mineral Soil - July 2021"</f>
        <v>JDG_Methane_YMF
Lab_PIST_WPX2
Mineral Soil - July 2021</v>
      </c>
    </row>
    <row r="26" spans="1:7" s="1" customFormat="1" hidden="1" x14ac:dyDescent="0.2">
      <c r="A26" s="1" t="s">
        <v>48</v>
      </c>
      <c r="B26" s="1" t="s">
        <v>131</v>
      </c>
      <c r="C26" s="1" t="s">
        <v>134</v>
      </c>
      <c r="D26" s="1">
        <v>38.5</v>
      </c>
      <c r="F26" s="1" t="str">
        <f>"JDG_Methane_YMF"&amp;CHAR(10)&amp;A26&amp;"_"&amp;B26&amp;"_"&amp;C26&amp;CHAR(10)&amp;"Organic Soil - July 2021"</f>
        <v>JDG_Methane_YMF
Lab_PIST_WPX3
Organic Soil - July 2021</v>
      </c>
      <c r="G26" s="1" t="str">
        <f>"JDG_Methane_YMF"&amp;CHAR(10)&amp;A26&amp;"_"&amp;B26&amp;"_"&amp;C26&amp;CHAR(10)&amp;"Mineral Soil - July 2021"</f>
        <v>JDG_Methane_YMF
Lab_PIST_WPX3
Mineral Soil - July 2021</v>
      </c>
    </row>
    <row r="27" spans="1:7" s="1" customFormat="1" hidden="1" x14ac:dyDescent="0.2">
      <c r="A27" s="1" t="s">
        <v>48</v>
      </c>
      <c r="B27" s="1" t="s">
        <v>131</v>
      </c>
      <c r="C27" s="1" t="s">
        <v>135</v>
      </c>
      <c r="D27" s="1">
        <v>40.5</v>
      </c>
      <c r="F27" s="1" t="str">
        <f>"JDG_Methane_YMF"&amp;CHAR(10)&amp;A27&amp;"_"&amp;B27&amp;"_"&amp;C27&amp;CHAR(10)&amp;"Organic Soil - July 2021"</f>
        <v>JDG_Methane_YMF
Lab_PIST_WPX4
Organic Soil - July 2021</v>
      </c>
      <c r="G27" s="1" t="str">
        <f>"JDG_Methane_YMF"&amp;CHAR(10)&amp;A27&amp;"_"&amp;B27&amp;"_"&amp;C27&amp;CHAR(10)&amp;"Mineral Soil - July 2021"</f>
        <v>JDG_Methane_YMF
Lab_PIST_WPX4
Mineral Soil - July 2021</v>
      </c>
    </row>
    <row r="28" spans="1:7" s="1" customFormat="1" hidden="1" x14ac:dyDescent="0.2">
      <c r="A28" s="1" t="s">
        <v>48</v>
      </c>
      <c r="B28" s="1" t="s">
        <v>131</v>
      </c>
      <c r="C28" s="1" t="s">
        <v>136</v>
      </c>
      <c r="D28" s="1">
        <v>66</v>
      </c>
      <c r="F28" s="1" t="str">
        <f>"JDG_Methane_YMF"&amp;CHAR(10)&amp;A28&amp;"_"&amp;B28&amp;"_"&amp;C28&amp;CHAR(10)&amp;"Organic Soil - July 2021"</f>
        <v>JDG_Methane_YMF
Lab_PIST_WPX5
Organic Soil - July 2021</v>
      </c>
      <c r="G28" s="1" t="str">
        <f>"JDG_Methane_YMF"&amp;CHAR(10)&amp;A28&amp;"_"&amp;B28&amp;"_"&amp;C28&amp;CHAR(10)&amp;"Mineral Soil - July 2021"</f>
        <v>JDG_Methane_YMF
Lab_PIST_WPX5
Mineral Soil - July 2021</v>
      </c>
    </row>
    <row r="29" spans="1:7" s="1" customFormat="1" hidden="1" x14ac:dyDescent="0.2">
      <c r="A29" s="1" t="s">
        <v>48</v>
      </c>
      <c r="B29" s="1" t="s">
        <v>131</v>
      </c>
      <c r="C29" s="1" t="s">
        <v>137</v>
      </c>
      <c r="D29" s="1">
        <v>96</v>
      </c>
      <c r="F29" s="1" t="str">
        <f>"JDG_Methane_YMF"&amp;CHAR(10)&amp;A29&amp;"_"&amp;B29&amp;"_"&amp;C29&amp;CHAR(10)&amp;"Organic Soil - July 2021"</f>
        <v>JDG_Methane_YMF
Lab_PIST_WPX6
Organic Soil - July 2021</v>
      </c>
      <c r="G29" s="1" t="str">
        <f>"JDG_Methane_YMF"&amp;CHAR(10)&amp;A29&amp;"_"&amp;B29&amp;"_"&amp;C29&amp;CHAR(10)&amp;"Mineral Soil - July 2021"</f>
        <v>JDG_Methane_YMF
Lab_PIST_WPX6
Mineral Soil - July 2021</v>
      </c>
    </row>
    <row r="30" spans="1:7" s="1" customFormat="1" hidden="1" x14ac:dyDescent="0.2">
      <c r="A30" s="1" t="s">
        <v>48</v>
      </c>
      <c r="B30" s="1" t="s">
        <v>153</v>
      </c>
      <c r="C30" s="1" t="s">
        <v>154</v>
      </c>
      <c r="D30" s="1">
        <v>33</v>
      </c>
      <c r="F30" s="1" t="str">
        <f>"JDG_Methane_YMF"&amp;CHAR(10)&amp;A30&amp;"_"&amp;B30&amp;"_"&amp;C30&amp;CHAR(10)&amp;"Organic Soil - July 2021"</f>
        <v>JDG_Methane_YMF
Lab_TSCA_HX1
Organic Soil - July 2021</v>
      </c>
      <c r="G30" s="1" t="str">
        <f>"JDG_Methane_YMF"&amp;CHAR(10)&amp;A30&amp;"_"&amp;B30&amp;"_"&amp;C30&amp;CHAR(10)&amp;"Mineral Soil - July 2021"</f>
        <v>JDG_Methane_YMF
Lab_TSCA_HX1
Mineral Soil - July 2021</v>
      </c>
    </row>
    <row r="31" spans="1:7" s="1" customFormat="1" hidden="1" x14ac:dyDescent="0.2">
      <c r="A31" s="1" t="s">
        <v>48</v>
      </c>
      <c r="B31" s="1" t="s">
        <v>153</v>
      </c>
      <c r="C31" s="1" t="s">
        <v>155</v>
      </c>
      <c r="D31" s="1">
        <v>47.5</v>
      </c>
      <c r="F31" s="1" t="str">
        <f>"JDG_Methane_YMF"&amp;CHAR(10)&amp;A31&amp;"_"&amp;B31&amp;"_"&amp;C31&amp;CHAR(10)&amp;"Organic Soil - July 2021"</f>
        <v>JDG_Methane_YMF
Lab_TSCA_HX2
Organic Soil - July 2021</v>
      </c>
      <c r="G31" s="1" t="str">
        <f>"JDG_Methane_YMF"&amp;CHAR(10)&amp;A31&amp;"_"&amp;B31&amp;"_"&amp;C31&amp;CHAR(10)&amp;"Mineral Soil - July 2021"</f>
        <v>JDG_Methane_YMF
Lab_TSCA_HX2
Mineral Soil - July 2021</v>
      </c>
    </row>
    <row r="32" spans="1:7" s="1" customFormat="1" hidden="1" x14ac:dyDescent="0.2">
      <c r="A32" s="1" t="s">
        <v>48</v>
      </c>
      <c r="B32" s="1" t="s">
        <v>153</v>
      </c>
      <c r="C32" s="1" t="s">
        <v>156</v>
      </c>
      <c r="D32" s="1">
        <v>40.5</v>
      </c>
      <c r="F32" s="1" t="str">
        <f>"JDG_Methane_YMF"&amp;CHAR(10)&amp;A32&amp;"_"&amp;B32&amp;"_"&amp;C32&amp;CHAR(10)&amp;"Organic Soil - July 2021"</f>
        <v>JDG_Methane_YMF
Lab_TSCA_HX3
Organic Soil - July 2021</v>
      </c>
      <c r="G32" s="1" t="str">
        <f>"JDG_Methane_YMF"&amp;CHAR(10)&amp;A32&amp;"_"&amp;B32&amp;"_"&amp;C32&amp;CHAR(10)&amp;"Mineral Soil - July 2021"</f>
        <v>JDG_Methane_YMF
Lab_TSCA_HX3
Mineral Soil - July 2021</v>
      </c>
    </row>
    <row r="33" spans="1:7" s="1" customFormat="1" hidden="1" x14ac:dyDescent="0.2">
      <c r="A33" s="1" t="s">
        <v>48</v>
      </c>
      <c r="B33" s="1" t="s">
        <v>153</v>
      </c>
      <c r="C33" s="1" t="s">
        <v>157</v>
      </c>
      <c r="D33" s="1">
        <v>23</v>
      </c>
      <c r="F33" s="1" t="str">
        <f>"JDG_Methane_YMF"&amp;CHAR(10)&amp;A33&amp;"_"&amp;B33&amp;"_"&amp;C33&amp;CHAR(10)&amp;"Organic Soil - July 2021"</f>
        <v>JDG_Methane_YMF
Lab_TSCA_HX4
Organic Soil - July 2021</v>
      </c>
      <c r="G33" s="1" t="str">
        <f>"JDG_Methane_YMF"&amp;CHAR(10)&amp;A33&amp;"_"&amp;B33&amp;"_"&amp;C33&amp;CHAR(10)&amp;"Mineral Soil - July 2021"</f>
        <v>JDG_Methane_YMF
Lab_TSCA_HX4
Mineral Soil - July 2021</v>
      </c>
    </row>
    <row r="34" spans="1:7" s="1" customFormat="1" hidden="1" x14ac:dyDescent="0.2">
      <c r="A34" s="1" t="s">
        <v>48</v>
      </c>
      <c r="B34" s="1" t="s">
        <v>153</v>
      </c>
      <c r="C34" s="1" t="s">
        <v>158</v>
      </c>
      <c r="D34" s="1">
        <v>34.5</v>
      </c>
      <c r="F34" s="1" t="str">
        <f>"JDG_Methane_YMF"&amp;CHAR(10)&amp;A34&amp;"_"&amp;B34&amp;"_"&amp;C34&amp;CHAR(10)&amp;"Organic Soil - July 2021"</f>
        <v>JDG_Methane_YMF
Lab_TSCA_HX5
Organic Soil - July 2021</v>
      </c>
      <c r="G34" s="1" t="str">
        <f>"JDG_Methane_YMF"&amp;CHAR(10)&amp;A34&amp;"_"&amp;B34&amp;"_"&amp;C34&amp;CHAR(10)&amp;"Mineral Soil - July 2021"</f>
        <v>JDG_Methane_YMF
Lab_TSCA_HX5
Mineral Soil - July 2021</v>
      </c>
    </row>
    <row r="35" spans="1:7" s="1" customFormat="1" hidden="1" x14ac:dyDescent="0.2">
      <c r="A35" s="1" t="s">
        <v>48</v>
      </c>
      <c r="B35" s="1" t="s">
        <v>153</v>
      </c>
      <c r="C35" s="1" t="s">
        <v>159</v>
      </c>
      <c r="D35" s="1">
        <v>43</v>
      </c>
      <c r="F35" s="1" t="str">
        <f>"JDG_Methane_YMF"&amp;CHAR(10)&amp;A35&amp;"_"&amp;B35&amp;"_"&amp;C35&amp;CHAR(10)&amp;"Organic Soil - July 2021"</f>
        <v>JDG_Methane_YMF
Lab_TSCA_HX6
Organic Soil - July 2021</v>
      </c>
      <c r="G35" s="1" t="str">
        <f>"JDG_Methane_YMF"&amp;CHAR(10)&amp;A35&amp;"_"&amp;B35&amp;"_"&amp;C35&amp;CHAR(10)&amp;"Mineral Soil - July 2021"</f>
        <v>JDG_Methane_YMF
Lab_TSCA_HX6
Mineral Soil - July 2021</v>
      </c>
    </row>
    <row r="36" spans="1:7" s="1" customFormat="1" hidden="1" x14ac:dyDescent="0.2">
      <c r="A36" s="1" t="s">
        <v>48</v>
      </c>
      <c r="B36" s="1" t="s">
        <v>175</v>
      </c>
      <c r="C36" s="1" t="s">
        <v>176</v>
      </c>
      <c r="D36" s="1">
        <v>37</v>
      </c>
      <c r="F36" s="1" t="str">
        <f>"JDG_Methane_YMF"&amp;CHAR(10)&amp;A36&amp;"_"&amp;B36&amp;"_"&amp;C36&amp;CHAR(10)&amp;"Organic Soil - July 2021"</f>
        <v>JDG_Methane_YMF
Lab_FRAM_WA1
Organic Soil - July 2021</v>
      </c>
      <c r="G36" s="1" t="str">
        <f>"JDG_Methane_YMF"&amp;CHAR(10)&amp;A36&amp;"_"&amp;B36&amp;"_"&amp;C36&amp;CHAR(10)&amp;"Mineral Soil - July 2021"</f>
        <v>JDG_Methane_YMF
Lab_FRAM_WA1
Mineral Soil - July 2021</v>
      </c>
    </row>
    <row r="37" spans="1:7" s="1" customFormat="1" hidden="1" x14ac:dyDescent="0.2">
      <c r="A37" s="1" t="s">
        <v>48</v>
      </c>
      <c r="B37" s="1" t="s">
        <v>175</v>
      </c>
      <c r="C37" s="1" t="s">
        <v>177</v>
      </c>
      <c r="D37" s="1">
        <v>34.5</v>
      </c>
      <c r="F37" s="1" t="str">
        <f>"JDG_Methane_YMF"&amp;CHAR(10)&amp;A37&amp;"_"&amp;B37&amp;"_"&amp;C37&amp;CHAR(10)&amp;"Organic Soil - July 2021"</f>
        <v>JDG_Methane_YMF
Lab_FRAM_WA2
Organic Soil - July 2021</v>
      </c>
      <c r="G37" s="1" t="str">
        <f>"JDG_Methane_YMF"&amp;CHAR(10)&amp;A37&amp;"_"&amp;B37&amp;"_"&amp;C37&amp;CHAR(10)&amp;"Mineral Soil - July 2021"</f>
        <v>JDG_Methane_YMF
Lab_FRAM_WA2
Mineral Soil - July 2021</v>
      </c>
    </row>
    <row r="38" spans="1:7" s="1" customFormat="1" hidden="1" x14ac:dyDescent="0.2">
      <c r="A38" s="1" t="s">
        <v>48</v>
      </c>
      <c r="B38" s="1" t="s">
        <v>175</v>
      </c>
      <c r="C38" s="1" t="s">
        <v>178</v>
      </c>
      <c r="D38" s="1">
        <v>22.5</v>
      </c>
      <c r="F38" s="1" t="str">
        <f>"JDG_Methane_YMF"&amp;CHAR(10)&amp;A38&amp;"_"&amp;B38&amp;"_"&amp;C38&amp;CHAR(10)&amp;"Organic Soil - July 2021"</f>
        <v>JDG_Methane_YMF
Lab_FRAM_WA3
Organic Soil - July 2021</v>
      </c>
      <c r="G38" s="1" t="str">
        <f>"JDG_Methane_YMF"&amp;CHAR(10)&amp;A38&amp;"_"&amp;B38&amp;"_"&amp;C38&amp;CHAR(10)&amp;"Mineral Soil - July 2021"</f>
        <v>JDG_Methane_YMF
Lab_FRAM_WA3
Mineral Soil - July 2021</v>
      </c>
    </row>
    <row r="39" spans="1:7" s="1" customFormat="1" hidden="1" x14ac:dyDescent="0.2">
      <c r="A39" s="1" t="s">
        <v>48</v>
      </c>
      <c r="B39" s="1" t="s">
        <v>175</v>
      </c>
      <c r="C39" s="1" t="s">
        <v>179</v>
      </c>
      <c r="D39" s="1">
        <v>34</v>
      </c>
      <c r="F39" s="1" t="str">
        <f>"JDG_Methane_YMF"&amp;CHAR(10)&amp;A39&amp;"_"&amp;B39&amp;"_"&amp;C39&amp;CHAR(10)&amp;"Organic Soil - July 2021"</f>
        <v>JDG_Methane_YMF
Lab_FRAM_WA4
Organic Soil - July 2021</v>
      </c>
      <c r="G39" s="1" t="str">
        <f>"JDG_Methane_YMF"&amp;CHAR(10)&amp;A39&amp;"_"&amp;B39&amp;"_"&amp;C39&amp;CHAR(10)&amp;"Mineral Soil - July 2021"</f>
        <v>JDG_Methane_YMF
Lab_FRAM_WA4
Mineral Soil - July 2021</v>
      </c>
    </row>
    <row r="40" spans="1:7" s="1" customFormat="1" hidden="1" x14ac:dyDescent="0.2">
      <c r="A40" s="1" t="s">
        <v>48</v>
      </c>
      <c r="B40" s="1" t="s">
        <v>175</v>
      </c>
      <c r="C40" s="1" t="s">
        <v>180</v>
      </c>
      <c r="D40" s="1">
        <v>37</v>
      </c>
      <c r="F40" s="1" t="str">
        <f>"JDG_Methane_YMF"&amp;CHAR(10)&amp;A40&amp;"_"&amp;B40&amp;"_"&amp;C40&amp;CHAR(10)&amp;"Organic Soil - July 2021"</f>
        <v>JDG_Methane_YMF
Lab_FRAM_WA5
Organic Soil - July 2021</v>
      </c>
      <c r="G40" s="1" t="str">
        <f>"JDG_Methane_YMF"&amp;CHAR(10)&amp;A40&amp;"_"&amp;B40&amp;"_"&amp;C40&amp;CHAR(10)&amp;"Mineral Soil - July 2021"</f>
        <v>JDG_Methane_YMF
Lab_FRAM_WA5
Mineral Soil - July 2021</v>
      </c>
    </row>
    <row r="41" spans="1:7" s="1" customFormat="1" hidden="1" x14ac:dyDescent="0.2">
      <c r="A41" s="1" t="s">
        <v>48</v>
      </c>
      <c r="B41" s="1" t="s">
        <v>175</v>
      </c>
      <c r="C41" s="1" t="s">
        <v>181</v>
      </c>
      <c r="D41" s="1">
        <v>21</v>
      </c>
      <c r="F41" s="1" t="str">
        <f>"JDG_Methane_YMF"&amp;CHAR(10)&amp;A41&amp;"_"&amp;B41&amp;"_"&amp;C41&amp;CHAR(10)&amp;"Organic Soil - July 2021"</f>
        <v>JDG_Methane_YMF
Lab_FRAM_WA6
Organic Soil - July 2021</v>
      </c>
      <c r="G41" s="1" t="str">
        <f>"JDG_Methane_YMF"&amp;CHAR(10)&amp;A41&amp;"_"&amp;B41&amp;"_"&amp;C41&amp;CHAR(10)&amp;"Mineral Soil - July 2021"</f>
        <v>JDG_Methane_YMF
Lab_FRAM_WA6
Mineral Soil - July 2021</v>
      </c>
    </row>
    <row r="42" spans="1:7" s="1" customFormat="1" hidden="1" x14ac:dyDescent="0.2">
      <c r="A42" s="1" t="s">
        <v>48</v>
      </c>
      <c r="B42" s="1" t="s">
        <v>175</v>
      </c>
      <c r="C42" s="1" t="s">
        <v>182</v>
      </c>
      <c r="D42" s="1">
        <v>40</v>
      </c>
      <c r="F42" s="1" t="str">
        <f>"JDG_Methane_YMF"&amp;CHAR(10)&amp;A42&amp;"_"&amp;B42&amp;"_"&amp;C42&amp;CHAR(10)&amp;"Organic Soil - July 2021"</f>
        <v>JDG_Methane_YMF
Lab_FRAM_WA7
Organic Soil - July 2021</v>
      </c>
      <c r="G42" s="1" t="str">
        <f>"JDG_Methane_YMF"&amp;CHAR(10)&amp;A42&amp;"_"&amp;B42&amp;"_"&amp;C42&amp;CHAR(10)&amp;"Mineral Soil - July 2021"</f>
        <v>JDG_Methane_YMF
Lab_FRAM_WA7
Mineral Soil - July 2021</v>
      </c>
    </row>
    <row r="43" spans="1:7" s="1" customFormat="1" hidden="1" x14ac:dyDescent="0.2">
      <c r="A43" s="1" t="s">
        <v>48</v>
      </c>
      <c r="B43" s="1" t="s">
        <v>175</v>
      </c>
      <c r="C43" s="1" t="s">
        <v>183</v>
      </c>
      <c r="D43" s="1">
        <v>32</v>
      </c>
      <c r="F43" s="1" t="str">
        <f>"JDG_Methane_YMF"&amp;CHAR(10)&amp;A43&amp;"_"&amp;B43&amp;"_"&amp;C43&amp;CHAR(10)&amp;"Organic Soil - July 2021"</f>
        <v>JDG_Methane_YMF
Lab_FRAM_WA8
Organic Soil - July 2021</v>
      </c>
      <c r="G43" s="1" t="str">
        <f>"JDG_Methane_YMF"&amp;CHAR(10)&amp;A43&amp;"_"&amp;B43&amp;"_"&amp;C43&amp;CHAR(10)&amp;"Mineral Soil - July 2021"</f>
        <v>JDG_Methane_YMF
Lab_FRAM_WA8
Mineral Soil - July 2021</v>
      </c>
    </row>
    <row r="44" spans="1:7" s="1" customFormat="1" hidden="1" x14ac:dyDescent="0.2">
      <c r="A44" s="1" t="s">
        <v>48</v>
      </c>
      <c r="B44" s="1" t="s">
        <v>175</v>
      </c>
      <c r="C44" s="1" t="s">
        <v>184</v>
      </c>
      <c r="D44" s="1">
        <v>30.5</v>
      </c>
      <c r="F44" s="1" t="str">
        <f>"JDG_Methane_YMF"&amp;CHAR(10)&amp;A44&amp;"_"&amp;B44&amp;"_"&amp;C44&amp;CHAR(10)&amp;"Organic Soil - July 2021"</f>
        <v>JDG_Methane_YMF
Lab_FRAM_WA9
Organic Soil - July 2021</v>
      </c>
      <c r="G44" s="1" t="str">
        <f>"JDG_Methane_YMF"&amp;CHAR(10)&amp;A44&amp;"_"&amp;B44&amp;"_"&amp;C44&amp;CHAR(10)&amp;"Mineral Soil - July 2021"</f>
        <v>JDG_Methane_YMF
Lab_FRAM_WA9
Mineral Soil - July 2021</v>
      </c>
    </row>
    <row r="45" spans="1:7" s="1" customFormat="1" hidden="1" x14ac:dyDescent="0.2">
      <c r="A45" s="1" t="s">
        <v>48</v>
      </c>
      <c r="B45" s="1" t="s">
        <v>175</v>
      </c>
      <c r="C45" s="1" t="s">
        <v>185</v>
      </c>
      <c r="D45" s="1">
        <v>33</v>
      </c>
      <c r="F45" s="1" t="str">
        <f>"JDG_Methane_YMF"&amp;CHAR(10)&amp;A45&amp;"_"&amp;B45&amp;"_"&amp;C45&amp;CHAR(10)&amp;"Organic Soil - July 2021"</f>
        <v>JDG_Methane_YMF
Lab_FRAM_WA10
Organic Soil - July 2021</v>
      </c>
      <c r="G45" s="1" t="str">
        <f>"JDG_Methane_YMF"&amp;CHAR(10)&amp;A45&amp;"_"&amp;B45&amp;"_"&amp;C45&amp;CHAR(10)&amp;"Mineral Soil - July 2021"</f>
        <v>JDG_Methane_YMF
Lab_FRAM_WA10
Mineral Soil - July 2021</v>
      </c>
    </row>
    <row r="46" spans="1:7" s="1" customFormat="1" hidden="1" x14ac:dyDescent="0.2">
      <c r="A46" s="1" t="s">
        <v>48</v>
      </c>
      <c r="B46" s="1" t="s">
        <v>175</v>
      </c>
      <c r="C46" s="1" t="s">
        <v>186</v>
      </c>
      <c r="D46" s="1">
        <v>27</v>
      </c>
      <c r="F46" s="1" t="str">
        <f>"JDG_Methane_YMF"&amp;CHAR(10)&amp;A46&amp;"_"&amp;B46&amp;"_"&amp;C46&amp;CHAR(10)&amp;"Organic Soil - July 2021"</f>
        <v>JDG_Methane_YMF
Lab_FRAM_WA11
Organic Soil - July 2021</v>
      </c>
      <c r="G46" s="1" t="str">
        <f>"JDG_Methane_YMF"&amp;CHAR(10)&amp;A46&amp;"_"&amp;B46&amp;"_"&amp;C46&amp;CHAR(10)&amp;"Mineral Soil - July 2021"</f>
        <v>JDG_Methane_YMF
Lab_FRAM_WA11
Mineral Soil - July 2021</v>
      </c>
    </row>
    <row r="47" spans="1:7" s="1" customFormat="1" hidden="1" x14ac:dyDescent="0.2">
      <c r="A47" s="1" t="s">
        <v>48</v>
      </c>
      <c r="B47" s="1" t="s">
        <v>175</v>
      </c>
      <c r="C47" s="1" t="s">
        <v>187</v>
      </c>
      <c r="D47" s="1">
        <v>58</v>
      </c>
      <c r="F47" s="1" t="str">
        <f>"JDG_Methane_YMF"&amp;CHAR(10)&amp;A47&amp;"_"&amp;B47&amp;"_"&amp;C47&amp;CHAR(10)&amp;"Organic Soil - July 2021"</f>
        <v>JDG_Methane_YMF
Lab_FRAM_WA12
Organic Soil - July 2021</v>
      </c>
      <c r="G47" s="1" t="str">
        <f>"JDG_Methane_YMF"&amp;CHAR(10)&amp;A47&amp;"_"&amp;B47&amp;"_"&amp;C47&amp;CHAR(10)&amp;"Mineral Soil - July 2021"</f>
        <v>JDG_Methane_YMF
Lab_FRAM_WA12
Mineral Soil - July 2021</v>
      </c>
    </row>
    <row r="48" spans="1:7" s="1" customFormat="1" hidden="1" x14ac:dyDescent="0.2">
      <c r="A48" s="1" t="s">
        <v>48</v>
      </c>
      <c r="B48" s="1" t="s">
        <v>175</v>
      </c>
      <c r="C48" s="1" t="s">
        <v>188</v>
      </c>
      <c r="D48" s="1">
        <v>23.5</v>
      </c>
      <c r="F48" s="1" t="str">
        <f>"JDG_Methane_YMF"&amp;CHAR(10)&amp;A48&amp;"_"&amp;B48&amp;"_"&amp;C48&amp;CHAR(10)&amp;"Organic Soil - July 2021"</f>
        <v>JDG_Methane_YMF
Lab_FRAM_WA13
Organic Soil - July 2021</v>
      </c>
      <c r="G48" s="1" t="str">
        <f>"JDG_Methane_YMF"&amp;CHAR(10)&amp;A48&amp;"_"&amp;B48&amp;"_"&amp;C48&amp;CHAR(10)&amp;"Mineral Soil - July 2021"</f>
        <v>JDG_Methane_YMF
Lab_FRAM_WA13
Mineral Soil - July 2021</v>
      </c>
    </row>
    <row r="49" spans="1:7" s="1" customFormat="1" hidden="1" x14ac:dyDescent="0.2">
      <c r="A49" s="1" t="s">
        <v>48</v>
      </c>
      <c r="B49" s="1" t="s">
        <v>175</v>
      </c>
      <c r="C49" s="1" t="s">
        <v>189</v>
      </c>
      <c r="D49" s="1">
        <v>47.5</v>
      </c>
      <c r="F49" s="1" t="str">
        <f>"JDG_Methane_YMF"&amp;CHAR(10)&amp;A49&amp;"_"&amp;B49&amp;"_"&amp;C49&amp;CHAR(10)&amp;"Organic Soil - July 2021"</f>
        <v>JDG_Methane_YMF
Lab_FRAM_WA14
Organic Soil - July 2021</v>
      </c>
      <c r="G49" s="1" t="str">
        <f>"JDG_Methane_YMF"&amp;CHAR(10)&amp;A49&amp;"_"&amp;B49&amp;"_"&amp;C49&amp;CHAR(10)&amp;"Mineral Soil - July 2021"</f>
        <v>JDG_Methane_YMF
Lab_FRAM_WA14
Mineral Soil - July 2021</v>
      </c>
    </row>
    <row r="50" spans="1:7" s="1" customFormat="1" hidden="1" x14ac:dyDescent="0.2">
      <c r="A50" s="1" t="s">
        <v>48</v>
      </c>
      <c r="B50" s="1" t="s">
        <v>175</v>
      </c>
      <c r="C50" s="1" t="s">
        <v>190</v>
      </c>
      <c r="D50" s="1">
        <v>22.5</v>
      </c>
      <c r="F50" s="1" t="str">
        <f>"JDG_Methane_YMF"&amp;CHAR(10)&amp;A50&amp;"_"&amp;B50&amp;"_"&amp;C50&amp;CHAR(10)&amp;"Organic Soil - July 2021"</f>
        <v>JDG_Methane_YMF
Lab_FRAM_WA15
Organic Soil - July 2021</v>
      </c>
      <c r="G50" s="1" t="str">
        <f>"JDG_Methane_YMF"&amp;CHAR(10)&amp;A50&amp;"_"&amp;B50&amp;"_"&amp;C50&amp;CHAR(10)&amp;"Mineral Soil - July 2021"</f>
        <v>JDG_Methane_YMF
Lab_FRAM_WA15
Mineral Soil - July 2021</v>
      </c>
    </row>
    <row r="51" spans="1:7" hidden="1" x14ac:dyDescent="0.2">
      <c r="A51" t="s">
        <v>7</v>
      </c>
      <c r="B51" t="s">
        <v>8</v>
      </c>
      <c r="C51" t="s">
        <v>9</v>
      </c>
      <c r="D51">
        <v>38</v>
      </c>
      <c r="F51" t="str">
        <f>"JDG_Methane_YMF"&amp;CHAR(10)&amp;A51&amp;"_"&amp;B51&amp;"_"&amp;C51&amp;CHAR(10)&amp;"Organic Soil - July 2021"</f>
        <v>JDG_Methane_YMF
Lowland_ACRU_RM1
Organic Soil - July 2021</v>
      </c>
      <c r="G51" t="str">
        <f>"JDG_Methane_YMF"&amp;CHAR(10)&amp;A51&amp;"_"&amp;B51&amp;"_"&amp;C51&amp;CHAR(10)&amp;"Mineral Soil - July 2021"</f>
        <v>JDG_Methane_YMF
Lowland_ACRU_RM1
Mineral Soil - July 2021</v>
      </c>
    </row>
    <row r="52" spans="1:7" hidden="1" x14ac:dyDescent="0.2">
      <c r="A52" t="s">
        <v>7</v>
      </c>
      <c r="B52" t="s">
        <v>8</v>
      </c>
      <c r="C52" t="s">
        <v>10</v>
      </c>
      <c r="D52">
        <v>38</v>
      </c>
      <c r="F52" t="str">
        <f>"JDG_Methane_YMF"&amp;CHAR(10)&amp;A52&amp;"_"&amp;B52&amp;"_"&amp;C52&amp;CHAR(10)&amp;"Organic Soil - July 2021"</f>
        <v>JDG_Methane_YMF
Lowland_ACRU_RM2
Organic Soil - July 2021</v>
      </c>
      <c r="G52" t="str">
        <f>"JDG_Methane_YMF"&amp;CHAR(10)&amp;A52&amp;"_"&amp;B52&amp;"_"&amp;C52&amp;CHAR(10)&amp;"Mineral Soil - July 2021"</f>
        <v>JDG_Methane_YMF
Lowland_ACRU_RM2
Mineral Soil - July 2021</v>
      </c>
    </row>
    <row r="53" spans="1:7" hidden="1" x14ac:dyDescent="0.2">
      <c r="A53" t="s">
        <v>7</v>
      </c>
      <c r="B53" t="s">
        <v>8</v>
      </c>
      <c r="C53" t="s">
        <v>11</v>
      </c>
      <c r="D53">
        <v>37.5</v>
      </c>
      <c r="F53" t="str">
        <f>"JDG_Methane_YMF"&amp;CHAR(10)&amp;A53&amp;"_"&amp;B53&amp;"_"&amp;C53&amp;CHAR(10)&amp;"Organic Soil - July 2021"</f>
        <v>JDG_Methane_YMF
Lowland_ACRU_RM3
Organic Soil - July 2021</v>
      </c>
      <c r="G53" t="str">
        <f>"JDG_Methane_YMF"&amp;CHAR(10)&amp;A53&amp;"_"&amp;B53&amp;"_"&amp;C53&amp;CHAR(10)&amp;"Mineral Soil - July 2021"</f>
        <v>JDG_Methane_YMF
Lowland_ACRU_RM3
Mineral Soil - July 2021</v>
      </c>
    </row>
    <row r="54" spans="1:7" hidden="1" x14ac:dyDescent="0.2">
      <c r="A54" t="s">
        <v>7</v>
      </c>
      <c r="B54" t="s">
        <v>8</v>
      </c>
      <c r="C54" t="s">
        <v>12</v>
      </c>
      <c r="D54">
        <v>39</v>
      </c>
      <c r="F54" t="str">
        <f>"JDG_Methane_YMF"&amp;CHAR(10)&amp;A54&amp;"_"&amp;B54&amp;"_"&amp;C54&amp;CHAR(10)&amp;"Organic Soil - July 2021"</f>
        <v>JDG_Methane_YMF
Lowland_ACRU_RM4
Organic Soil - July 2021</v>
      </c>
      <c r="G54" t="str">
        <f>"JDG_Methane_YMF"&amp;CHAR(10)&amp;A54&amp;"_"&amp;B54&amp;"_"&amp;C54&amp;CHAR(10)&amp;"Mineral Soil - July 2021"</f>
        <v>JDG_Methane_YMF
Lowland_ACRU_RM4
Mineral Soil - July 2021</v>
      </c>
    </row>
    <row r="55" spans="1:7" hidden="1" x14ac:dyDescent="0.2">
      <c r="A55" t="s">
        <v>7</v>
      </c>
      <c r="B55" t="s">
        <v>8</v>
      </c>
      <c r="C55" t="s">
        <v>13</v>
      </c>
      <c r="D55">
        <v>33</v>
      </c>
      <c r="F55" t="str">
        <f>"JDG_Methane_YMF"&amp;CHAR(10)&amp;A55&amp;"_"&amp;B55&amp;"_"&amp;C55&amp;CHAR(10)&amp;"Organic Soil - July 2021"</f>
        <v>JDG_Methane_YMF
Lowland_ACRU_RM5
Organic Soil - July 2021</v>
      </c>
      <c r="G55" t="str">
        <f>"JDG_Methane_YMF"&amp;CHAR(10)&amp;A55&amp;"_"&amp;B55&amp;"_"&amp;C55&amp;CHAR(10)&amp;"Mineral Soil - July 2021"</f>
        <v>JDG_Methane_YMF
Lowland_ACRU_RM5
Mineral Soil - July 2021</v>
      </c>
    </row>
    <row r="56" spans="1:7" hidden="1" x14ac:dyDescent="0.2">
      <c r="A56" t="s">
        <v>7</v>
      </c>
      <c r="B56" t="s">
        <v>8</v>
      </c>
      <c r="C56" t="s">
        <v>14</v>
      </c>
      <c r="D56">
        <v>41</v>
      </c>
      <c r="F56" t="str">
        <f>"JDG_Methane_YMF"&amp;CHAR(10)&amp;A56&amp;"_"&amp;B56&amp;"_"&amp;C56&amp;CHAR(10)&amp;"Organic Soil - July 2021"</f>
        <v>JDG_Methane_YMF
Lowland_ACRU_RM6
Organic Soil - July 2021</v>
      </c>
      <c r="G56" t="str">
        <f>"JDG_Methane_YMF"&amp;CHAR(10)&amp;A56&amp;"_"&amp;B56&amp;"_"&amp;C56&amp;CHAR(10)&amp;"Mineral Soil - July 2021"</f>
        <v>JDG_Methane_YMF
Lowland_ACRU_RM6
Mineral Soil - July 2021</v>
      </c>
    </row>
    <row r="57" spans="1:7" hidden="1" x14ac:dyDescent="0.2">
      <c r="A57" t="s">
        <v>7</v>
      </c>
      <c r="B57" t="s">
        <v>8</v>
      </c>
      <c r="C57" t="s">
        <v>15</v>
      </c>
      <c r="D57">
        <v>28</v>
      </c>
      <c r="F57" t="str">
        <f>"JDG_Methane_YMF"&amp;CHAR(10)&amp;A57&amp;"_"&amp;B57&amp;"_"&amp;C57&amp;CHAR(10)&amp;"Organic Soil - July 2021"</f>
        <v>JDG_Methane_YMF
Lowland_ACRU_RM7
Organic Soil - July 2021</v>
      </c>
      <c r="G57" t="str">
        <f>"JDG_Methane_YMF"&amp;CHAR(10)&amp;A57&amp;"_"&amp;B57&amp;"_"&amp;C57&amp;CHAR(10)&amp;"Mineral Soil - July 2021"</f>
        <v>JDG_Methane_YMF
Lowland_ACRU_RM7
Mineral Soil - July 2021</v>
      </c>
    </row>
    <row r="58" spans="1:7" hidden="1" x14ac:dyDescent="0.2">
      <c r="A58" t="s">
        <v>7</v>
      </c>
      <c r="B58" t="s">
        <v>8</v>
      </c>
      <c r="C58" t="s">
        <v>16</v>
      </c>
      <c r="D58">
        <v>30.5</v>
      </c>
      <c r="F58" t="str">
        <f>"JDG_Methane_YMF"&amp;CHAR(10)&amp;A58&amp;"_"&amp;B58&amp;"_"&amp;C58&amp;CHAR(10)&amp;"Organic Soil - July 2021"</f>
        <v>JDG_Methane_YMF
Lowland_ACRU_RM8
Organic Soil - July 2021</v>
      </c>
      <c r="G58" t="str">
        <f>"JDG_Methane_YMF"&amp;CHAR(10)&amp;A58&amp;"_"&amp;B58&amp;"_"&amp;C58&amp;CHAR(10)&amp;"Mineral Soil - July 2021"</f>
        <v>JDG_Methane_YMF
Lowland_ACRU_RM8
Mineral Soil - July 2021</v>
      </c>
    </row>
    <row r="59" spans="1:7" hidden="1" x14ac:dyDescent="0.2">
      <c r="A59" t="s">
        <v>7</v>
      </c>
      <c r="B59" t="s">
        <v>8</v>
      </c>
      <c r="C59" t="s">
        <v>17</v>
      </c>
      <c r="D59">
        <v>24</v>
      </c>
      <c r="F59" t="str">
        <f>"JDG_Methane_YMF"&amp;CHAR(10)&amp;A59&amp;"_"&amp;B59&amp;"_"&amp;C59&amp;CHAR(10)&amp;"Organic Soil - July 2021"</f>
        <v>JDG_Methane_YMF
Lowland_ACRU_RM9
Organic Soil - July 2021</v>
      </c>
      <c r="G59" t="str">
        <f>"JDG_Methane_YMF"&amp;CHAR(10)&amp;A59&amp;"_"&amp;B59&amp;"_"&amp;C59&amp;CHAR(10)&amp;"Mineral Soil - July 2021"</f>
        <v>JDG_Methane_YMF
Lowland_ACRU_RM9
Mineral Soil - July 2021</v>
      </c>
    </row>
    <row r="60" spans="1:7" hidden="1" x14ac:dyDescent="0.2">
      <c r="A60" t="s">
        <v>7</v>
      </c>
      <c r="B60" t="s">
        <v>8</v>
      </c>
      <c r="C60" t="s">
        <v>18</v>
      </c>
      <c r="D60">
        <v>29.5</v>
      </c>
      <c r="F60" t="str">
        <f>"JDG_Methane_YMF"&amp;CHAR(10)&amp;A60&amp;"_"&amp;B60&amp;"_"&amp;C60&amp;CHAR(10)&amp;"Organic Soil - July 2021"</f>
        <v>JDG_Methane_YMF
Lowland_ACRU_RM10
Organic Soil - July 2021</v>
      </c>
      <c r="G60" t="str">
        <f>"JDG_Methane_YMF"&amp;CHAR(10)&amp;A60&amp;"_"&amp;B60&amp;"_"&amp;C60&amp;CHAR(10)&amp;"Mineral Soil - July 2021"</f>
        <v>JDG_Methane_YMF
Lowland_ACRU_RM10
Mineral Soil - July 2021</v>
      </c>
    </row>
    <row r="61" spans="1:7" hidden="1" x14ac:dyDescent="0.2">
      <c r="A61" t="s">
        <v>7</v>
      </c>
      <c r="B61" t="s">
        <v>8</v>
      </c>
      <c r="C61" t="s">
        <v>19</v>
      </c>
      <c r="D61">
        <v>40.5</v>
      </c>
      <c r="F61" t="str">
        <f>"JDG_Methane_YMF"&amp;CHAR(10)&amp;A61&amp;"_"&amp;B61&amp;"_"&amp;C61&amp;CHAR(10)&amp;"Organic Soil - July 2021"</f>
        <v>JDG_Methane_YMF
Lowland_ACRU_RM11
Organic Soil - July 2021</v>
      </c>
      <c r="G61" t="str">
        <f>"JDG_Methane_YMF"&amp;CHAR(10)&amp;A61&amp;"_"&amp;B61&amp;"_"&amp;C61&amp;CHAR(10)&amp;"Mineral Soil - July 2021"</f>
        <v>JDG_Methane_YMF
Lowland_ACRU_RM11
Mineral Soil - July 2021</v>
      </c>
    </row>
    <row r="62" spans="1:7" hidden="1" x14ac:dyDescent="0.2">
      <c r="A62" t="s">
        <v>7</v>
      </c>
      <c r="B62" t="s">
        <v>8</v>
      </c>
      <c r="C62" t="s">
        <v>20</v>
      </c>
      <c r="D62">
        <v>27</v>
      </c>
      <c r="F62" t="str">
        <f>"JDG_Methane_YMF"&amp;CHAR(10)&amp;A62&amp;"_"&amp;B62&amp;"_"&amp;C62&amp;CHAR(10)&amp;"Organic Soil - July 2021"</f>
        <v>JDG_Methane_YMF
Lowland_ACRU_RM12
Organic Soil - July 2021</v>
      </c>
      <c r="G62" t="str">
        <f>"JDG_Methane_YMF"&amp;CHAR(10)&amp;A62&amp;"_"&amp;B62&amp;"_"&amp;C62&amp;CHAR(10)&amp;"Mineral Soil - July 2021"</f>
        <v>JDG_Methane_YMF
Lowland_ACRU_RM12
Mineral Soil - July 2021</v>
      </c>
    </row>
    <row r="63" spans="1:7" hidden="1" x14ac:dyDescent="0.2">
      <c r="A63" t="s">
        <v>7</v>
      </c>
      <c r="B63" t="s">
        <v>8</v>
      </c>
      <c r="C63" t="s">
        <v>21</v>
      </c>
      <c r="D63">
        <v>26.5</v>
      </c>
      <c r="F63" t="str">
        <f>"JDG_Methane_YMF"&amp;CHAR(10)&amp;A63&amp;"_"&amp;B63&amp;"_"&amp;C63&amp;CHAR(10)&amp;"Organic Soil - July 2021"</f>
        <v>JDG_Methane_YMF
Lowland_ACRU_RM13
Organic Soil - July 2021</v>
      </c>
      <c r="G63" t="str">
        <f>"JDG_Methane_YMF"&amp;CHAR(10)&amp;A63&amp;"_"&amp;B63&amp;"_"&amp;C63&amp;CHAR(10)&amp;"Mineral Soil - July 2021"</f>
        <v>JDG_Methane_YMF
Lowland_ACRU_RM13
Mineral Soil - July 2021</v>
      </c>
    </row>
    <row r="64" spans="1:7" hidden="1" x14ac:dyDescent="0.2">
      <c r="A64" t="s">
        <v>7</v>
      </c>
      <c r="B64" t="s">
        <v>8</v>
      </c>
      <c r="C64" t="s">
        <v>22</v>
      </c>
      <c r="D64">
        <v>33.5</v>
      </c>
      <c r="F64" t="str">
        <f>"JDG_Methane_YMF"&amp;CHAR(10)&amp;A64&amp;"_"&amp;B64&amp;"_"&amp;C64&amp;CHAR(10)&amp;"Organic Soil - July 2021"</f>
        <v>JDG_Methane_YMF
Lowland_ACRU_RM16
Organic Soil - July 2021</v>
      </c>
      <c r="G64" t="str">
        <f>"JDG_Methane_YMF"&amp;CHAR(10)&amp;A64&amp;"_"&amp;B64&amp;"_"&amp;C64&amp;CHAR(10)&amp;"Mineral Soil - July 2021"</f>
        <v>JDG_Methane_YMF
Lowland_ACRU_RM16
Mineral Soil - July 2021</v>
      </c>
    </row>
    <row r="65" spans="1:7" hidden="1" x14ac:dyDescent="0.2">
      <c r="A65" t="s">
        <v>7</v>
      </c>
      <c r="B65" t="s">
        <v>8</v>
      </c>
      <c r="C65" t="s">
        <v>23</v>
      </c>
      <c r="D65">
        <v>27</v>
      </c>
      <c r="F65" t="str">
        <f>"JDG_Methane_YMF"&amp;CHAR(10)&amp;A65&amp;"_"&amp;B65&amp;"_"&amp;C65&amp;CHAR(10)&amp;"Organic Soil - July 2021"</f>
        <v>JDG_Methane_YMF
Lowland_ACRU_RM14
Organic Soil - July 2021</v>
      </c>
      <c r="G65" t="str">
        <f>"JDG_Methane_YMF"&amp;CHAR(10)&amp;A65&amp;"_"&amp;B65&amp;"_"&amp;C65&amp;CHAR(10)&amp;"Mineral Soil - July 2021"</f>
        <v>JDG_Methane_YMF
Lowland_ACRU_RM14
Mineral Soil - July 2021</v>
      </c>
    </row>
    <row r="66" spans="1:7" hidden="1" x14ac:dyDescent="0.2">
      <c r="A66" t="s">
        <v>7</v>
      </c>
      <c r="B66" t="s">
        <v>8</v>
      </c>
      <c r="C66" t="s">
        <v>24</v>
      </c>
      <c r="D66">
        <v>22</v>
      </c>
      <c r="E66" t="s">
        <v>25</v>
      </c>
      <c r="F66" t="str">
        <f>"JDG_Methane_YMF"&amp;CHAR(10)&amp;A66&amp;"_"&amp;B66&amp;"_"&amp;C66&amp;CHAR(10)&amp;"Organic Soil - July 2021"</f>
        <v>JDG_Methane_YMF
Lowland_ACRU_Untagged
Organic Soil - July 2021</v>
      </c>
      <c r="G66" t="str">
        <f>"JDG_Methane_YMF"&amp;CHAR(10)&amp;A66&amp;"_"&amp;B66&amp;"_"&amp;C66&amp;CHAR(10)&amp;"Mineral Soil - July 2021"</f>
        <v>JDG_Methane_YMF
Lowland_ACRU_Untagged
Mineral Soil - July 2021</v>
      </c>
    </row>
    <row r="67" spans="1:7" hidden="1" x14ac:dyDescent="0.2">
      <c r="A67" t="s">
        <v>7</v>
      </c>
      <c r="B67" t="s">
        <v>27</v>
      </c>
      <c r="C67" t="s">
        <v>28</v>
      </c>
      <c r="D67">
        <v>55</v>
      </c>
      <c r="F67" t="str">
        <f>"JDG_Methane_YMF"&amp;CHAR(10)&amp;A67&amp;"_"&amp;B67&amp;"_"&amp;C67&amp;CHAR(10)&amp;"Organic Soil - July 2021"</f>
        <v>JDG_Methane_YMF
Lowland_QURU_RO1
Organic Soil - July 2021</v>
      </c>
      <c r="G67" t="str">
        <f>"JDG_Methane_YMF"&amp;CHAR(10)&amp;A67&amp;"_"&amp;B67&amp;"_"&amp;C67&amp;CHAR(10)&amp;"Mineral Soil - July 2021"</f>
        <v>JDG_Methane_YMF
Lowland_QURU_RO1
Mineral Soil - July 2021</v>
      </c>
    </row>
    <row r="68" spans="1:7" hidden="1" x14ac:dyDescent="0.2">
      <c r="A68" t="s">
        <v>7</v>
      </c>
      <c r="B68" t="s">
        <v>27</v>
      </c>
      <c r="C68" t="s">
        <v>29</v>
      </c>
      <c r="D68">
        <v>32.5</v>
      </c>
      <c r="F68" t="str">
        <f>"JDG_Methane_YMF"&amp;CHAR(10)&amp;A68&amp;"_"&amp;B68&amp;"_"&amp;C68&amp;CHAR(10)&amp;"Organic Soil - July 2021"</f>
        <v>JDG_Methane_YMF
Lowland_QURU_RO2
Organic Soil - July 2021</v>
      </c>
      <c r="G68" t="str">
        <f>"JDG_Methane_YMF"&amp;CHAR(10)&amp;A68&amp;"_"&amp;B68&amp;"_"&amp;C68&amp;CHAR(10)&amp;"Mineral Soil - July 2021"</f>
        <v>JDG_Methane_YMF
Lowland_QURU_RO2
Mineral Soil - July 2021</v>
      </c>
    </row>
    <row r="69" spans="1:7" hidden="1" x14ac:dyDescent="0.2">
      <c r="A69" t="s">
        <v>7</v>
      </c>
      <c r="B69" t="s">
        <v>27</v>
      </c>
      <c r="C69" t="s">
        <v>30</v>
      </c>
      <c r="D69">
        <v>48</v>
      </c>
      <c r="E69" t="s">
        <v>31</v>
      </c>
      <c r="F69" t="str">
        <f>"JDG_Methane_YMF"&amp;CHAR(10)&amp;A69&amp;"_"&amp;B69&amp;"_"&amp;C69&amp;CHAR(10)&amp;"Organic Soil - July 2021"</f>
        <v>JDG_Methane_YMF
Lowland_QURU_RO3
Organic Soil - July 2021</v>
      </c>
      <c r="G69" t="str">
        <f>"JDG_Methane_YMF"&amp;CHAR(10)&amp;A69&amp;"_"&amp;B69&amp;"_"&amp;C69&amp;CHAR(10)&amp;"Mineral Soil - July 2021"</f>
        <v>JDG_Methane_YMF
Lowland_QURU_RO3
Mineral Soil - July 2021</v>
      </c>
    </row>
    <row r="70" spans="1:7" hidden="1" x14ac:dyDescent="0.2">
      <c r="A70" t="s">
        <v>7</v>
      </c>
      <c r="B70" t="s">
        <v>27</v>
      </c>
      <c r="C70" t="s">
        <v>32</v>
      </c>
      <c r="D70">
        <v>41</v>
      </c>
      <c r="F70" t="str">
        <f>"JDG_Methane_YMF"&amp;CHAR(10)&amp;A70&amp;"_"&amp;B70&amp;"_"&amp;C70&amp;CHAR(10)&amp;"Organic Soil - July 2021"</f>
        <v>JDG_Methane_YMF
Lowland_QURU_RO4
Organic Soil - July 2021</v>
      </c>
      <c r="G70" t="str">
        <f>"JDG_Methane_YMF"&amp;CHAR(10)&amp;A70&amp;"_"&amp;B70&amp;"_"&amp;C70&amp;CHAR(10)&amp;"Mineral Soil - July 2021"</f>
        <v>JDG_Methane_YMF
Lowland_QURU_RO4
Mineral Soil - July 2021</v>
      </c>
    </row>
    <row r="71" spans="1:7" hidden="1" x14ac:dyDescent="0.2">
      <c r="A71" t="s">
        <v>7</v>
      </c>
      <c r="B71" t="s">
        <v>27</v>
      </c>
      <c r="C71" t="s">
        <v>33</v>
      </c>
      <c r="D71">
        <v>40.5</v>
      </c>
      <c r="F71" t="str">
        <f>"JDG_Methane_YMF"&amp;CHAR(10)&amp;A71&amp;"_"&amp;B71&amp;"_"&amp;C71&amp;CHAR(10)&amp;"Organic Soil - July 2021"</f>
        <v>JDG_Methane_YMF
Lowland_QURU_RO5
Organic Soil - July 2021</v>
      </c>
      <c r="G71" t="str">
        <f>"JDG_Methane_YMF"&amp;CHAR(10)&amp;A71&amp;"_"&amp;B71&amp;"_"&amp;C71&amp;CHAR(10)&amp;"Mineral Soil - July 2021"</f>
        <v>JDG_Methane_YMF
Lowland_QURU_RO5
Mineral Soil - July 2021</v>
      </c>
    </row>
    <row r="72" spans="1:7" hidden="1" x14ac:dyDescent="0.2">
      <c r="A72" t="s">
        <v>7</v>
      </c>
      <c r="B72" t="s">
        <v>27</v>
      </c>
      <c r="C72" t="s">
        <v>34</v>
      </c>
      <c r="D72">
        <v>54.5</v>
      </c>
      <c r="F72" t="str">
        <f>"JDG_Methane_YMF"&amp;CHAR(10)&amp;A72&amp;"_"&amp;B72&amp;"_"&amp;C72&amp;CHAR(10)&amp;"Organic Soil - July 2021"</f>
        <v>JDG_Methane_YMF
Lowland_QURU_RO6
Organic Soil - July 2021</v>
      </c>
      <c r="G72" t="str">
        <f>"JDG_Methane_YMF"&amp;CHAR(10)&amp;A72&amp;"_"&amp;B72&amp;"_"&amp;C72&amp;CHAR(10)&amp;"Mineral Soil - July 2021"</f>
        <v>JDG_Methane_YMF
Lowland_QURU_RO6
Mineral Soil - July 2021</v>
      </c>
    </row>
    <row r="73" spans="1:7" hidden="1" x14ac:dyDescent="0.2">
      <c r="A73" t="s">
        <v>7</v>
      </c>
      <c r="B73" t="s">
        <v>27</v>
      </c>
      <c r="C73" t="s">
        <v>35</v>
      </c>
      <c r="D73">
        <v>47</v>
      </c>
      <c r="F73" t="str">
        <f>"JDG_Methane_YMF"&amp;CHAR(10)&amp;A73&amp;"_"&amp;B73&amp;"_"&amp;C73&amp;CHAR(10)&amp;"Organic Soil - July 2021"</f>
        <v>JDG_Methane_YMF
Lowland_QURU_RO9
Organic Soil - July 2021</v>
      </c>
      <c r="G73" t="str">
        <f>"JDG_Methane_YMF"&amp;CHAR(10)&amp;A73&amp;"_"&amp;B73&amp;"_"&amp;C73&amp;CHAR(10)&amp;"Mineral Soil - July 2021"</f>
        <v>JDG_Methane_YMF
Lowland_QURU_RO9
Mineral Soil - July 2021</v>
      </c>
    </row>
    <row r="74" spans="1:7" hidden="1" x14ac:dyDescent="0.2">
      <c r="A74" t="s">
        <v>7</v>
      </c>
      <c r="B74" t="s">
        <v>27</v>
      </c>
      <c r="C74" t="s">
        <v>36</v>
      </c>
      <c r="D74">
        <v>33.5</v>
      </c>
      <c r="F74" t="str">
        <f>"JDG_Methane_YMF"&amp;CHAR(10)&amp;A74&amp;"_"&amp;B74&amp;"_"&amp;C74&amp;CHAR(10)&amp;"Organic Soil - July 2021"</f>
        <v>JDG_Methane_YMF
Lowland_QURU_RO7
Organic Soil - July 2021</v>
      </c>
      <c r="G74" t="str">
        <f>"JDG_Methane_YMF"&amp;CHAR(10)&amp;A74&amp;"_"&amp;B74&amp;"_"&amp;C74&amp;CHAR(10)&amp;"Mineral Soil - July 2021"</f>
        <v>JDG_Methane_YMF
Lowland_QURU_RO7
Mineral Soil - July 2021</v>
      </c>
    </row>
    <row r="75" spans="1:7" hidden="1" x14ac:dyDescent="0.2">
      <c r="A75" t="s">
        <v>7</v>
      </c>
      <c r="B75" t="s">
        <v>27</v>
      </c>
      <c r="C75" t="s">
        <v>37</v>
      </c>
      <c r="D75">
        <v>39</v>
      </c>
      <c r="F75" t="str">
        <f>"JDG_Methane_YMF"&amp;CHAR(10)&amp;A75&amp;"_"&amp;B75&amp;"_"&amp;C75&amp;CHAR(10)&amp;"Organic Soil - July 2021"</f>
        <v>JDG_Methane_YMF
Lowland_QURU_RO8
Organic Soil - July 2021</v>
      </c>
      <c r="G75" t="str">
        <f>"JDG_Methane_YMF"&amp;CHAR(10)&amp;A75&amp;"_"&amp;B75&amp;"_"&amp;C75&amp;CHAR(10)&amp;"Mineral Soil - July 2021"</f>
        <v>JDG_Methane_YMF
Lowland_QURU_RO8
Mineral Soil - July 2021</v>
      </c>
    </row>
    <row r="76" spans="1:7" hidden="1" x14ac:dyDescent="0.2">
      <c r="A76" t="s">
        <v>7</v>
      </c>
      <c r="B76" t="s">
        <v>27</v>
      </c>
      <c r="C76" t="s">
        <v>38</v>
      </c>
      <c r="D76">
        <v>34.5</v>
      </c>
      <c r="E76" t="s">
        <v>39</v>
      </c>
      <c r="F76" t="str">
        <f>"JDG_Methane_YMF"&amp;CHAR(10)&amp;A76&amp;"_"&amp;B76&amp;"_"&amp;C76&amp;CHAR(10)&amp;"Organic Soil - July 2021"</f>
        <v>JDG_Methane_YMF
Lowland_QURU_RO10
Organic Soil - July 2021</v>
      </c>
      <c r="G76" t="str">
        <f>"JDG_Methane_YMF"&amp;CHAR(10)&amp;A76&amp;"_"&amp;B76&amp;"_"&amp;C76&amp;CHAR(10)&amp;"Mineral Soil - July 2021"</f>
        <v>JDG_Methane_YMF
Lowland_QURU_RO10
Mineral Soil - July 2021</v>
      </c>
    </row>
    <row r="77" spans="1:7" hidden="1" x14ac:dyDescent="0.2">
      <c r="A77" t="s">
        <v>7</v>
      </c>
      <c r="B77" t="s">
        <v>27</v>
      </c>
      <c r="C77" t="s">
        <v>40</v>
      </c>
      <c r="D77">
        <v>44</v>
      </c>
      <c r="F77" t="str">
        <f>"JDG_Methane_YMF"&amp;CHAR(10)&amp;A77&amp;"_"&amp;B77&amp;"_"&amp;C77&amp;CHAR(10)&amp;"Organic Soil - July 2021"</f>
        <v>JDG_Methane_YMF
Lowland_QURU_RO11
Organic Soil - July 2021</v>
      </c>
      <c r="G77" t="str">
        <f>"JDG_Methane_YMF"&amp;CHAR(10)&amp;A77&amp;"_"&amp;B77&amp;"_"&amp;C77&amp;CHAR(10)&amp;"Mineral Soil - July 2021"</f>
        <v>JDG_Methane_YMF
Lowland_QURU_RO11
Mineral Soil - July 2021</v>
      </c>
    </row>
    <row r="78" spans="1:7" hidden="1" x14ac:dyDescent="0.2">
      <c r="A78" t="s">
        <v>7</v>
      </c>
      <c r="B78" t="s">
        <v>27</v>
      </c>
      <c r="C78" t="s">
        <v>41</v>
      </c>
      <c r="D78">
        <v>44</v>
      </c>
      <c r="F78" t="str">
        <f>"JDG_Methane_YMF"&amp;CHAR(10)&amp;A78&amp;"_"&amp;B78&amp;"_"&amp;C78&amp;CHAR(10)&amp;"Organic Soil - July 2021"</f>
        <v>JDG_Methane_YMF
Lowland_QURU_RO12
Organic Soil - July 2021</v>
      </c>
      <c r="G78" t="str">
        <f>"JDG_Methane_YMF"&amp;CHAR(10)&amp;A78&amp;"_"&amp;B78&amp;"_"&amp;C78&amp;CHAR(10)&amp;"Mineral Soil - July 2021"</f>
        <v>JDG_Methane_YMF
Lowland_QURU_RO12
Mineral Soil - July 2021</v>
      </c>
    </row>
    <row r="79" spans="1:7" hidden="1" x14ac:dyDescent="0.2">
      <c r="A79" t="s">
        <v>7</v>
      </c>
      <c r="B79" t="s">
        <v>27</v>
      </c>
      <c r="C79" t="s">
        <v>42</v>
      </c>
      <c r="D79">
        <v>41.5</v>
      </c>
      <c r="F79" t="str">
        <f>"JDG_Methane_YMF"&amp;CHAR(10)&amp;A79&amp;"_"&amp;B79&amp;"_"&amp;C79&amp;CHAR(10)&amp;"Organic Soil - July 2021"</f>
        <v>JDG_Methane_YMF
Lowland_QURU_RO13
Organic Soil - July 2021</v>
      </c>
      <c r="G79" t="str">
        <f>"JDG_Methane_YMF"&amp;CHAR(10)&amp;A79&amp;"_"&amp;B79&amp;"_"&amp;C79&amp;CHAR(10)&amp;"Mineral Soil - July 2021"</f>
        <v>JDG_Methane_YMF
Lowland_QURU_RO13
Mineral Soil - July 2021</v>
      </c>
    </row>
    <row r="80" spans="1:7" hidden="1" x14ac:dyDescent="0.2">
      <c r="A80" t="s">
        <v>7</v>
      </c>
      <c r="B80" t="s">
        <v>27</v>
      </c>
      <c r="C80" t="s">
        <v>43</v>
      </c>
      <c r="D80">
        <v>37</v>
      </c>
      <c r="F80" t="str">
        <f>"JDG_Methane_YMF"&amp;CHAR(10)&amp;A80&amp;"_"&amp;B80&amp;"_"&amp;C80&amp;CHAR(10)&amp;"Organic Soil - July 2021"</f>
        <v>JDG_Methane_YMF
Lowland_QURU_RO14
Organic Soil - July 2021</v>
      </c>
      <c r="G80" t="str">
        <f>"JDG_Methane_YMF"&amp;CHAR(10)&amp;A80&amp;"_"&amp;B80&amp;"_"&amp;C80&amp;CHAR(10)&amp;"Mineral Soil - July 2021"</f>
        <v>JDG_Methane_YMF
Lowland_QURU_RO14
Mineral Soil - July 2021</v>
      </c>
    </row>
    <row r="81" spans="1:7" hidden="1" x14ac:dyDescent="0.2">
      <c r="A81" t="s">
        <v>7</v>
      </c>
      <c r="B81" t="s">
        <v>27</v>
      </c>
      <c r="C81" t="s">
        <v>44</v>
      </c>
      <c r="D81">
        <v>36.5</v>
      </c>
      <c r="F81" t="str">
        <f>"JDG_Methane_YMF"&amp;CHAR(10)&amp;A81&amp;"_"&amp;B81&amp;"_"&amp;C81&amp;CHAR(10)&amp;"Organic Soil - July 2021"</f>
        <v>JDG_Methane_YMF
Lowland_QURU_RO15
Organic Soil - July 2021</v>
      </c>
      <c r="G81" t="str">
        <f>"JDG_Methane_YMF"&amp;CHAR(10)&amp;A81&amp;"_"&amp;B81&amp;"_"&amp;C81&amp;CHAR(10)&amp;"Mineral Soil - July 2021"</f>
        <v>JDG_Methane_YMF
Lowland_QURU_RO15
Mineral Soil - July 2021</v>
      </c>
    </row>
    <row r="82" spans="1:7" hidden="1" x14ac:dyDescent="0.2">
      <c r="A82" t="s">
        <v>7</v>
      </c>
      <c r="B82" t="s">
        <v>27</v>
      </c>
      <c r="C82" t="s">
        <v>45</v>
      </c>
      <c r="D82">
        <v>34.5</v>
      </c>
      <c r="F82" t="str">
        <f>"JDG_Methane_YMF"&amp;CHAR(10)&amp;A82&amp;"_"&amp;B82&amp;"_"&amp;C82&amp;CHAR(10)&amp;"Organic Soil - July 2021"</f>
        <v>JDG_Methane_YMF
Lowland_QURU_RO16
Organic Soil - July 2021</v>
      </c>
      <c r="G82" t="str">
        <f>"JDG_Methane_YMF"&amp;CHAR(10)&amp;A82&amp;"_"&amp;B82&amp;"_"&amp;C82&amp;CHAR(10)&amp;"Mineral Soil - July 2021"</f>
        <v>JDG_Methane_YMF
Lowland_QURU_RO16
Mineral Soil - July 2021</v>
      </c>
    </row>
    <row r="83" spans="1:7" hidden="1" x14ac:dyDescent="0.2">
      <c r="A83" t="s">
        <v>7</v>
      </c>
      <c r="B83" t="s">
        <v>66</v>
      </c>
      <c r="C83" t="s">
        <v>73</v>
      </c>
      <c r="D83">
        <v>26.5</v>
      </c>
      <c r="F83" t="str">
        <f>"JDG_Methane_YMF"&amp;CHAR(10)&amp;A83&amp;"_"&amp;B83&amp;"_"&amp;C83&amp;CHAR(10)&amp;"Organic Soil - July 2021"</f>
        <v>JDG_Methane_YMF
Lowland_BELE_BB1
Organic Soil - July 2021</v>
      </c>
      <c r="G83" t="str">
        <f>"JDG_Methane_YMF"&amp;CHAR(10)&amp;A83&amp;"_"&amp;B83&amp;"_"&amp;C83&amp;CHAR(10)&amp;"Mineral Soil - July 2021"</f>
        <v>JDG_Methane_YMF
Lowland_BELE_BB1
Mineral Soil - July 2021</v>
      </c>
    </row>
    <row r="84" spans="1:7" hidden="1" x14ac:dyDescent="0.2">
      <c r="A84" t="s">
        <v>7</v>
      </c>
      <c r="B84" t="s">
        <v>66</v>
      </c>
      <c r="C84" t="s">
        <v>74</v>
      </c>
      <c r="D84">
        <v>30.5</v>
      </c>
      <c r="F84" t="str">
        <f>"JDG_Methane_YMF"&amp;CHAR(10)&amp;A84&amp;"_"&amp;B84&amp;"_"&amp;C84&amp;CHAR(10)&amp;"Organic Soil - July 2021"</f>
        <v>JDG_Methane_YMF
Lowland_BELE_BB2
Organic Soil - July 2021</v>
      </c>
      <c r="G84" t="str">
        <f>"JDG_Methane_YMF"&amp;CHAR(10)&amp;A84&amp;"_"&amp;B84&amp;"_"&amp;C84&amp;CHAR(10)&amp;"Mineral Soil - July 2021"</f>
        <v>JDG_Methane_YMF
Lowland_BELE_BB2
Mineral Soil - July 2021</v>
      </c>
    </row>
    <row r="85" spans="1:7" hidden="1" x14ac:dyDescent="0.2">
      <c r="A85" t="s">
        <v>7</v>
      </c>
      <c r="B85" t="s">
        <v>66</v>
      </c>
      <c r="C85" t="s">
        <v>75</v>
      </c>
      <c r="D85">
        <v>34</v>
      </c>
      <c r="F85" t="str">
        <f>"JDG_Methane_YMF"&amp;CHAR(10)&amp;A85&amp;"_"&amp;B85&amp;"_"&amp;C85&amp;CHAR(10)&amp;"Organic Soil - July 2021"</f>
        <v>JDG_Methane_YMF
Lowland_BELE_BB4
Organic Soil - July 2021</v>
      </c>
      <c r="G85" t="str">
        <f>"JDG_Methane_YMF"&amp;CHAR(10)&amp;A85&amp;"_"&amp;B85&amp;"_"&amp;C85&amp;CHAR(10)&amp;"Mineral Soil - July 2021"</f>
        <v>JDG_Methane_YMF
Lowland_BELE_BB4
Mineral Soil - July 2021</v>
      </c>
    </row>
    <row r="86" spans="1:7" hidden="1" x14ac:dyDescent="0.2">
      <c r="A86" t="s">
        <v>7</v>
      </c>
      <c r="B86" t="s">
        <v>89</v>
      </c>
      <c r="C86" t="s">
        <v>91</v>
      </c>
      <c r="D86">
        <v>22</v>
      </c>
      <c r="F86" t="str">
        <f>"JDG_Methane_YMF"&amp;CHAR(10)&amp;A86&amp;"_"&amp;B86&amp;"_"&amp;C86&amp;CHAR(10)&amp;"Organic Soil - July 2021"</f>
        <v>JDG_Methane_YMF
Lowland_BEAL_YB16
Organic Soil - July 2021</v>
      </c>
      <c r="G86" t="str">
        <f>"JDG_Methane_YMF"&amp;CHAR(10)&amp;A86&amp;"_"&amp;B86&amp;"_"&amp;C86&amp;CHAR(10)&amp;"Mineral Soil - July 2021"</f>
        <v>JDG_Methane_YMF
Lowland_BEAL_YB16
Mineral Soil - July 2021</v>
      </c>
    </row>
    <row r="87" spans="1:7" hidden="1" x14ac:dyDescent="0.2">
      <c r="A87" t="s">
        <v>7</v>
      </c>
      <c r="B87" t="s">
        <v>89</v>
      </c>
      <c r="C87" t="s">
        <v>92</v>
      </c>
      <c r="D87">
        <v>21</v>
      </c>
      <c r="F87" t="str">
        <f>"JDG_Methane_YMF"&amp;CHAR(10)&amp;A87&amp;"_"&amp;B87&amp;"_"&amp;C87&amp;CHAR(10)&amp;"Organic Soil - July 2021"</f>
        <v>JDG_Methane_YMF
Lowland_BEAL_YB1
Organic Soil - July 2021</v>
      </c>
      <c r="G87" t="str">
        <f>"JDG_Methane_YMF"&amp;CHAR(10)&amp;A87&amp;"_"&amp;B87&amp;"_"&amp;C87&amp;CHAR(10)&amp;"Mineral Soil - July 2021"</f>
        <v>JDG_Methane_YMF
Lowland_BEAL_YB1
Mineral Soil - July 2021</v>
      </c>
    </row>
    <row r="88" spans="1:7" hidden="1" x14ac:dyDescent="0.2">
      <c r="A88" t="s">
        <v>7</v>
      </c>
      <c r="B88" t="s">
        <v>89</v>
      </c>
      <c r="C88" t="s">
        <v>93</v>
      </c>
      <c r="D88">
        <v>26.5</v>
      </c>
      <c r="E88" t="s">
        <v>31</v>
      </c>
      <c r="F88" t="str">
        <f>"JDG_Methane_YMF"&amp;CHAR(10)&amp;A88&amp;"_"&amp;B88&amp;"_"&amp;C88&amp;CHAR(10)&amp;"Organic Soil - July 2021"</f>
        <v>JDG_Methane_YMF
Lowland_BEAL_YB2
Organic Soil - July 2021</v>
      </c>
      <c r="G88" t="str">
        <f>"JDG_Methane_YMF"&amp;CHAR(10)&amp;A88&amp;"_"&amp;B88&amp;"_"&amp;C88&amp;CHAR(10)&amp;"Mineral Soil - July 2021"</f>
        <v>JDG_Methane_YMF
Lowland_BEAL_YB2
Mineral Soil - July 2021</v>
      </c>
    </row>
    <row r="89" spans="1:7" hidden="1" x14ac:dyDescent="0.2">
      <c r="A89" t="s">
        <v>7</v>
      </c>
      <c r="B89" t="s">
        <v>89</v>
      </c>
      <c r="C89" t="s">
        <v>94</v>
      </c>
      <c r="D89">
        <v>28</v>
      </c>
      <c r="F89" t="str">
        <f>"JDG_Methane_YMF"&amp;CHAR(10)&amp;A89&amp;"_"&amp;B89&amp;"_"&amp;C89&amp;CHAR(10)&amp;"Organic Soil - July 2021"</f>
        <v>JDG_Methane_YMF
Lowland_BEAL_YB3
Organic Soil - July 2021</v>
      </c>
      <c r="G89" t="str">
        <f>"JDG_Methane_YMF"&amp;CHAR(10)&amp;A89&amp;"_"&amp;B89&amp;"_"&amp;C89&amp;CHAR(10)&amp;"Mineral Soil - July 2021"</f>
        <v>JDG_Methane_YMF
Lowland_BEAL_YB3
Mineral Soil - July 2021</v>
      </c>
    </row>
    <row r="90" spans="1:7" hidden="1" x14ac:dyDescent="0.2">
      <c r="A90" t="s">
        <v>7</v>
      </c>
      <c r="B90" t="s">
        <v>89</v>
      </c>
      <c r="C90" t="s">
        <v>95</v>
      </c>
      <c r="D90">
        <v>31</v>
      </c>
      <c r="F90" t="str">
        <f>"JDG_Methane_YMF"&amp;CHAR(10)&amp;A90&amp;"_"&amp;B90&amp;"_"&amp;C90&amp;CHAR(10)&amp;"Organic Soil - July 2021"</f>
        <v>JDG_Methane_YMF
Lowland_BEAL_YB4
Organic Soil - July 2021</v>
      </c>
      <c r="G90" t="str">
        <f>"JDG_Methane_YMF"&amp;CHAR(10)&amp;A90&amp;"_"&amp;B90&amp;"_"&amp;C90&amp;CHAR(10)&amp;"Mineral Soil - July 2021"</f>
        <v>JDG_Methane_YMF
Lowland_BEAL_YB4
Mineral Soil - July 2021</v>
      </c>
    </row>
    <row r="91" spans="1:7" hidden="1" x14ac:dyDescent="0.2">
      <c r="A91" t="s">
        <v>7</v>
      </c>
      <c r="B91" t="s">
        <v>89</v>
      </c>
      <c r="C91" t="s">
        <v>96</v>
      </c>
      <c r="D91">
        <v>31</v>
      </c>
      <c r="E91" t="s">
        <v>97</v>
      </c>
      <c r="F91" t="str">
        <f>"JDG_Methane_YMF"&amp;CHAR(10)&amp;A91&amp;"_"&amp;B91&amp;"_"&amp;C91&amp;CHAR(10)&amp;"Organic Soil - July 2021"</f>
        <v>JDG_Methane_YMF
Lowland_BEAL_YB5
Organic Soil - July 2021</v>
      </c>
      <c r="G91" t="str">
        <f>"JDG_Methane_YMF"&amp;CHAR(10)&amp;A91&amp;"_"&amp;B91&amp;"_"&amp;C91&amp;CHAR(10)&amp;"Mineral Soil - July 2021"</f>
        <v>JDG_Methane_YMF
Lowland_BEAL_YB5
Mineral Soil - July 2021</v>
      </c>
    </row>
    <row r="92" spans="1:7" hidden="1" x14ac:dyDescent="0.2">
      <c r="A92" t="s">
        <v>7</v>
      </c>
      <c r="B92" t="s">
        <v>89</v>
      </c>
      <c r="C92" t="s">
        <v>98</v>
      </c>
      <c r="D92">
        <v>20</v>
      </c>
      <c r="F92" t="str">
        <f>"JDG_Methane_YMF"&amp;CHAR(10)&amp;A92&amp;"_"&amp;B92&amp;"_"&amp;C92&amp;CHAR(10)&amp;"Organic Soil - July 2021"</f>
        <v>JDG_Methane_YMF
Lowland_BEAL_YB6
Organic Soil - July 2021</v>
      </c>
      <c r="G92" t="str">
        <f>"JDG_Methane_YMF"&amp;CHAR(10)&amp;A92&amp;"_"&amp;B92&amp;"_"&amp;C92&amp;CHAR(10)&amp;"Mineral Soil - July 2021"</f>
        <v>JDG_Methane_YMF
Lowland_BEAL_YB6
Mineral Soil - July 2021</v>
      </c>
    </row>
    <row r="93" spans="1:7" hidden="1" x14ac:dyDescent="0.2">
      <c r="A93" t="s">
        <v>7</v>
      </c>
      <c r="B93" t="s">
        <v>89</v>
      </c>
      <c r="C93" t="s">
        <v>99</v>
      </c>
      <c r="D93">
        <v>22.5</v>
      </c>
      <c r="F93" t="str">
        <f>"JDG_Methane_YMF"&amp;CHAR(10)&amp;A93&amp;"_"&amp;B93&amp;"_"&amp;C93&amp;CHAR(10)&amp;"Organic Soil - July 2021"</f>
        <v>JDG_Methane_YMF
Lowland_BEAL_YB7
Organic Soil - July 2021</v>
      </c>
      <c r="G93" t="str">
        <f>"JDG_Methane_YMF"&amp;CHAR(10)&amp;A93&amp;"_"&amp;B93&amp;"_"&amp;C93&amp;CHAR(10)&amp;"Mineral Soil - July 2021"</f>
        <v>JDG_Methane_YMF
Lowland_BEAL_YB7
Mineral Soil - July 2021</v>
      </c>
    </row>
    <row r="94" spans="1:7" hidden="1" x14ac:dyDescent="0.2">
      <c r="A94" t="s">
        <v>7</v>
      </c>
      <c r="B94" t="s">
        <v>89</v>
      </c>
      <c r="C94" t="s">
        <v>100</v>
      </c>
      <c r="D94">
        <v>26</v>
      </c>
      <c r="F94" t="str">
        <f>"JDG_Methane_YMF"&amp;CHAR(10)&amp;A94&amp;"_"&amp;B94&amp;"_"&amp;C94&amp;CHAR(10)&amp;"Organic Soil - July 2021"</f>
        <v>JDG_Methane_YMF
Lowland_BEAL_YB9
Organic Soil - July 2021</v>
      </c>
      <c r="G94" t="str">
        <f>"JDG_Methane_YMF"&amp;CHAR(10)&amp;A94&amp;"_"&amp;B94&amp;"_"&amp;C94&amp;CHAR(10)&amp;"Mineral Soil - July 2021"</f>
        <v>JDG_Methane_YMF
Lowland_BEAL_YB9
Mineral Soil - July 2021</v>
      </c>
    </row>
    <row r="95" spans="1:7" hidden="1" x14ac:dyDescent="0.2">
      <c r="A95" t="s">
        <v>7</v>
      </c>
      <c r="B95" t="s">
        <v>89</v>
      </c>
      <c r="C95" t="s">
        <v>101</v>
      </c>
      <c r="D95">
        <v>25.5</v>
      </c>
      <c r="F95" t="str">
        <f>"JDG_Methane_YMF"&amp;CHAR(10)&amp;A95&amp;"_"&amp;B95&amp;"_"&amp;C95&amp;CHAR(10)&amp;"Organic Soil - July 2021"</f>
        <v>JDG_Methane_YMF
Lowland_BEAL_YB8
Organic Soil - July 2021</v>
      </c>
      <c r="G95" t="str">
        <f>"JDG_Methane_YMF"&amp;CHAR(10)&amp;A95&amp;"_"&amp;B95&amp;"_"&amp;C95&amp;CHAR(10)&amp;"Mineral Soil - July 2021"</f>
        <v>JDG_Methane_YMF
Lowland_BEAL_YB8
Mineral Soil - July 2021</v>
      </c>
    </row>
    <row r="96" spans="1:7" hidden="1" x14ac:dyDescent="0.2">
      <c r="A96" t="s">
        <v>7</v>
      </c>
      <c r="B96" t="s">
        <v>89</v>
      </c>
      <c r="C96" t="s">
        <v>102</v>
      </c>
      <c r="D96">
        <v>21.5</v>
      </c>
      <c r="F96" t="str">
        <f>"JDG_Methane_YMF"&amp;CHAR(10)&amp;A96&amp;"_"&amp;B96&amp;"_"&amp;C96&amp;CHAR(10)&amp;"Organic Soil - July 2021"</f>
        <v>JDG_Methane_YMF
Lowland_BEAL_YB10
Organic Soil - July 2021</v>
      </c>
      <c r="G96" t="str">
        <f>"JDG_Methane_YMF"&amp;CHAR(10)&amp;A96&amp;"_"&amp;B96&amp;"_"&amp;C96&amp;CHAR(10)&amp;"Mineral Soil - July 2021"</f>
        <v>JDG_Methane_YMF
Lowland_BEAL_YB10
Mineral Soil - July 2021</v>
      </c>
    </row>
    <row r="97" spans="1:7" hidden="1" x14ac:dyDescent="0.2">
      <c r="A97" t="s">
        <v>7</v>
      </c>
      <c r="B97" t="s">
        <v>89</v>
      </c>
      <c r="C97" t="s">
        <v>103</v>
      </c>
      <c r="D97">
        <v>21.5</v>
      </c>
      <c r="F97" t="str">
        <f>"JDG_Methane_YMF"&amp;CHAR(10)&amp;A97&amp;"_"&amp;B97&amp;"_"&amp;C97&amp;CHAR(10)&amp;"Organic Soil - July 2021"</f>
        <v>JDG_Methane_YMF
Lowland_BEAL_YB11
Organic Soil - July 2021</v>
      </c>
      <c r="G97" t="str">
        <f>"JDG_Methane_YMF"&amp;CHAR(10)&amp;A97&amp;"_"&amp;B97&amp;"_"&amp;C97&amp;CHAR(10)&amp;"Mineral Soil - July 2021"</f>
        <v>JDG_Methane_YMF
Lowland_BEAL_YB11
Mineral Soil - July 2021</v>
      </c>
    </row>
    <row r="98" spans="1:7" hidden="1" x14ac:dyDescent="0.2">
      <c r="A98" t="s">
        <v>7</v>
      </c>
      <c r="B98" t="s">
        <v>89</v>
      </c>
      <c r="C98" t="s">
        <v>104</v>
      </c>
      <c r="D98">
        <v>21</v>
      </c>
      <c r="F98" t="str">
        <f>"JDG_Methane_YMF"&amp;CHAR(10)&amp;A98&amp;"_"&amp;B98&amp;"_"&amp;C98&amp;CHAR(10)&amp;"Organic Soil - July 2021"</f>
        <v>JDG_Methane_YMF
Lowland_BEAL_YB14
Organic Soil - July 2021</v>
      </c>
      <c r="G98" t="str">
        <f>"JDG_Methane_YMF"&amp;CHAR(10)&amp;A98&amp;"_"&amp;B98&amp;"_"&amp;C98&amp;CHAR(10)&amp;"Mineral Soil - July 2021"</f>
        <v>JDG_Methane_YMF
Lowland_BEAL_YB14
Mineral Soil - July 2021</v>
      </c>
    </row>
    <row r="99" spans="1:7" hidden="1" x14ac:dyDescent="0.2">
      <c r="A99" t="s">
        <v>7</v>
      </c>
      <c r="B99" t="s">
        <v>89</v>
      </c>
      <c r="C99" t="s">
        <v>105</v>
      </c>
      <c r="D99">
        <v>21</v>
      </c>
      <c r="F99" t="str">
        <f>"JDG_Methane_YMF"&amp;CHAR(10)&amp;A99&amp;"_"&amp;B99&amp;"_"&amp;C99&amp;CHAR(10)&amp;"Organic Soil - July 2021"</f>
        <v>JDG_Methane_YMF
Lowland_BEAL_YB13
Organic Soil - July 2021</v>
      </c>
      <c r="G99" t="str">
        <f>"JDG_Methane_YMF"&amp;CHAR(10)&amp;A99&amp;"_"&amp;B99&amp;"_"&amp;C99&amp;CHAR(10)&amp;"Mineral Soil - July 2021"</f>
        <v>JDG_Methane_YMF
Lowland_BEAL_YB13
Mineral Soil - July 2021</v>
      </c>
    </row>
    <row r="100" spans="1:7" hidden="1" x14ac:dyDescent="0.2">
      <c r="A100" t="s">
        <v>7</v>
      </c>
      <c r="B100" t="s">
        <v>89</v>
      </c>
      <c r="C100" t="s">
        <v>91</v>
      </c>
      <c r="D100">
        <v>22</v>
      </c>
      <c r="F100" t="str">
        <f>"JDG_Methane_YMF"&amp;CHAR(10)&amp;A100&amp;"_"&amp;B100&amp;"_"&amp;C100&amp;CHAR(10)&amp;"Organic Soil - July 2021"</f>
        <v>JDG_Methane_YMF
Lowland_BEAL_YB16
Organic Soil - July 2021</v>
      </c>
      <c r="G100" t="str">
        <f>"JDG_Methane_YMF"&amp;CHAR(10)&amp;A100&amp;"_"&amp;B100&amp;"_"&amp;C100&amp;CHAR(10)&amp;"Mineral Soil - July 2021"</f>
        <v>JDG_Methane_YMF
Lowland_BEAL_YB16
Mineral Soil - July 2021</v>
      </c>
    </row>
    <row r="101" spans="1:7" hidden="1" x14ac:dyDescent="0.2">
      <c r="A101" t="s">
        <v>7</v>
      </c>
      <c r="B101" t="s">
        <v>89</v>
      </c>
      <c r="C101" t="s">
        <v>106</v>
      </c>
      <c r="D101">
        <v>24</v>
      </c>
      <c r="F101" t="str">
        <f>"JDG_Methane_YMF"&amp;CHAR(10)&amp;A101&amp;"_"&amp;B101&amp;"_"&amp;C101&amp;CHAR(10)&amp;"Organic Soil - July 2021"</f>
        <v>JDG_Methane_YMF
Lowland_BEAL_YB15
Organic Soil - July 2021</v>
      </c>
      <c r="G101" t="str">
        <f>"JDG_Methane_YMF"&amp;CHAR(10)&amp;A101&amp;"_"&amp;B101&amp;"_"&amp;C101&amp;CHAR(10)&amp;"Mineral Soil - July 2021"</f>
        <v>JDG_Methane_YMF
Lowland_BEAL_YB15
Mineral Soil - July 2021</v>
      </c>
    </row>
    <row r="102" spans="1:7" hidden="1" x14ac:dyDescent="0.2">
      <c r="A102" t="s">
        <v>7</v>
      </c>
      <c r="B102" t="s">
        <v>107</v>
      </c>
      <c r="C102" t="s">
        <v>108</v>
      </c>
      <c r="D102">
        <v>34.5</v>
      </c>
      <c r="F102" t="str">
        <f>"JDG_Methane_YMF"&amp;CHAR(10)&amp;A102&amp;"_"&amp;B102&amp;"_"&amp;C102&amp;CHAR(10)&amp;"Organic Soil - July 2021"</f>
        <v>JDG_Methane_YMF
Lowland_BEPA_PB2
Organic Soil - July 2021</v>
      </c>
      <c r="G102" t="str">
        <f>"JDG_Methane_YMF"&amp;CHAR(10)&amp;A102&amp;"_"&amp;B102&amp;"_"&amp;C102&amp;CHAR(10)&amp;"Mineral Soil - July 2021"</f>
        <v>JDG_Methane_YMF
Lowland_BEPA_PB2
Mineral Soil - July 2021</v>
      </c>
    </row>
    <row r="103" spans="1:7" hidden="1" x14ac:dyDescent="0.2">
      <c r="A103" t="s">
        <v>7</v>
      </c>
      <c r="B103" t="s">
        <v>107</v>
      </c>
      <c r="C103" t="s">
        <v>109</v>
      </c>
      <c r="D103">
        <v>29</v>
      </c>
      <c r="F103" t="str">
        <f>"JDG_Methane_YMF"&amp;CHAR(10)&amp;A103&amp;"_"&amp;B103&amp;"_"&amp;C103&amp;CHAR(10)&amp;"Organic Soil - July 2021"</f>
        <v>JDG_Methane_YMF
Lowland_BEPA_PB1
Organic Soil - July 2021</v>
      </c>
      <c r="G103" t="str">
        <f>"JDG_Methane_YMF"&amp;CHAR(10)&amp;A103&amp;"_"&amp;B103&amp;"_"&amp;C103&amp;CHAR(10)&amp;"Mineral Soil - July 2021"</f>
        <v>JDG_Methane_YMF
Lowland_BEPA_PB1
Mineral Soil - July 2021</v>
      </c>
    </row>
    <row r="104" spans="1:7" hidden="1" x14ac:dyDescent="0.2">
      <c r="A104" t="s">
        <v>7</v>
      </c>
      <c r="B104" t="s">
        <v>107</v>
      </c>
      <c r="C104" t="s">
        <v>110</v>
      </c>
      <c r="D104">
        <v>34.5</v>
      </c>
      <c r="F104" t="str">
        <f>"JDG_Methane_YMF"&amp;CHAR(10)&amp;A104&amp;"_"&amp;B104&amp;"_"&amp;C104&amp;CHAR(10)&amp;"Organic Soil - July 2021"</f>
        <v>JDG_Methane_YMF
Lowland_BEPA_PB3
Organic Soil - July 2021</v>
      </c>
      <c r="G104" t="str">
        <f>"JDG_Methane_YMF"&amp;CHAR(10)&amp;A104&amp;"_"&amp;B104&amp;"_"&amp;C104&amp;CHAR(10)&amp;"Mineral Soil - July 2021"</f>
        <v>JDG_Methane_YMF
Lowland_BEPA_PB3
Mineral Soil - July 2021</v>
      </c>
    </row>
    <row r="105" spans="1:7" hidden="1" x14ac:dyDescent="0.2">
      <c r="A105" t="s">
        <v>7</v>
      </c>
      <c r="B105" t="s">
        <v>107</v>
      </c>
      <c r="C105" t="s">
        <v>111</v>
      </c>
      <c r="D105">
        <v>23</v>
      </c>
      <c r="F105" t="str">
        <f>"JDG_Methane_YMF"&amp;CHAR(10)&amp;A105&amp;"_"&amp;B105&amp;"_"&amp;C105&amp;CHAR(10)&amp;"Organic Soil - July 2021"</f>
        <v>JDG_Methane_YMF
Lowland_BEPA_PB4
Organic Soil - July 2021</v>
      </c>
      <c r="G105" t="str">
        <f>"JDG_Methane_YMF"&amp;CHAR(10)&amp;A105&amp;"_"&amp;B105&amp;"_"&amp;C105&amp;CHAR(10)&amp;"Mineral Soil - July 2021"</f>
        <v>JDG_Methane_YMF
Lowland_BEPA_PB4
Mineral Soil - July 2021</v>
      </c>
    </row>
    <row r="106" spans="1:7" hidden="1" x14ac:dyDescent="0.2">
      <c r="A106" t="s">
        <v>7</v>
      </c>
      <c r="B106" t="s">
        <v>107</v>
      </c>
      <c r="C106" t="s">
        <v>112</v>
      </c>
      <c r="D106">
        <v>37.5</v>
      </c>
      <c r="F106" t="str">
        <f>"JDG_Methane_YMF"&amp;CHAR(10)&amp;A106&amp;"_"&amp;B106&amp;"_"&amp;C106&amp;CHAR(10)&amp;"Organic Soil - July 2021"</f>
        <v>JDG_Methane_YMF
Lowland_BEPA_PB5
Organic Soil - July 2021</v>
      </c>
      <c r="G106" t="str">
        <f>"JDG_Methane_YMF"&amp;CHAR(10)&amp;A106&amp;"_"&amp;B106&amp;"_"&amp;C106&amp;CHAR(10)&amp;"Mineral Soil - July 2021"</f>
        <v>JDG_Methane_YMF
Lowland_BEPA_PB5
Mineral Soil - July 2021</v>
      </c>
    </row>
    <row r="107" spans="1:7" hidden="1" x14ac:dyDescent="0.2">
      <c r="A107" t="s">
        <v>7</v>
      </c>
      <c r="B107" t="s">
        <v>113</v>
      </c>
      <c r="C107" t="s">
        <v>114</v>
      </c>
      <c r="D107">
        <v>27.5</v>
      </c>
      <c r="F107" t="str">
        <f>"JDG_Methane_YMF"&amp;CHAR(10)&amp;A107&amp;"_"&amp;B107&amp;"_"&amp;C107&amp;CHAR(10)&amp;"Organic Soil - July 2021"</f>
        <v>JDG_Methane_YMF
Lowland_FAGR_AB1
Organic Soil - July 2021</v>
      </c>
      <c r="G107" t="str">
        <f>"JDG_Methane_YMF"&amp;CHAR(10)&amp;A107&amp;"_"&amp;B107&amp;"_"&amp;C107&amp;CHAR(10)&amp;"Mineral Soil - July 2021"</f>
        <v>JDG_Methane_YMF
Lowland_FAGR_AB1
Mineral Soil - July 2021</v>
      </c>
    </row>
    <row r="108" spans="1:7" hidden="1" x14ac:dyDescent="0.2">
      <c r="A108" t="s">
        <v>7</v>
      </c>
      <c r="B108" t="s">
        <v>113</v>
      </c>
      <c r="C108" t="s">
        <v>115</v>
      </c>
      <c r="D108">
        <v>25.5</v>
      </c>
      <c r="F108" t="str">
        <f>"JDG_Methane_YMF"&amp;CHAR(10)&amp;A108&amp;"_"&amp;B108&amp;"_"&amp;C108&amp;CHAR(10)&amp;"Organic Soil - July 2021"</f>
        <v>JDG_Methane_YMF
Lowland_FAGR_AB2
Organic Soil - July 2021</v>
      </c>
      <c r="G108" t="str">
        <f>"JDG_Methane_YMF"&amp;CHAR(10)&amp;A108&amp;"_"&amp;B108&amp;"_"&amp;C108&amp;CHAR(10)&amp;"Mineral Soil - July 2021"</f>
        <v>JDG_Methane_YMF
Lowland_FAGR_AB2
Mineral Soil - July 2021</v>
      </c>
    </row>
    <row r="109" spans="1:7" hidden="1" x14ac:dyDescent="0.2">
      <c r="A109" t="s">
        <v>7</v>
      </c>
      <c r="B109" t="s">
        <v>113</v>
      </c>
      <c r="C109" t="s">
        <v>116</v>
      </c>
      <c r="D109">
        <v>28.5</v>
      </c>
      <c r="F109" t="str">
        <f>"JDG_Methane_YMF"&amp;CHAR(10)&amp;A109&amp;"_"&amp;B109&amp;"_"&amp;C109&amp;CHAR(10)&amp;"Organic Soil - July 2021"</f>
        <v>JDG_Methane_YMF
Lowland_FAGR_AB3
Organic Soil - July 2021</v>
      </c>
      <c r="G109" t="str">
        <f>"JDG_Methane_YMF"&amp;CHAR(10)&amp;A109&amp;"_"&amp;B109&amp;"_"&amp;C109&amp;CHAR(10)&amp;"Mineral Soil - July 2021"</f>
        <v>JDG_Methane_YMF
Lowland_FAGR_AB3
Mineral Soil - July 2021</v>
      </c>
    </row>
    <row r="110" spans="1:7" hidden="1" x14ac:dyDescent="0.2">
      <c r="A110" t="s">
        <v>7</v>
      </c>
      <c r="B110" t="s">
        <v>113</v>
      </c>
      <c r="C110" t="s">
        <v>117</v>
      </c>
      <c r="D110">
        <v>26</v>
      </c>
      <c r="F110" t="str">
        <f>"JDG_Methane_YMF"&amp;CHAR(10)&amp;A110&amp;"_"&amp;B110&amp;"_"&amp;C110&amp;CHAR(10)&amp;"Organic Soil - July 2021"</f>
        <v>JDG_Methane_YMF
Lowland_FAGR_AB4
Organic Soil - July 2021</v>
      </c>
      <c r="G110" t="str">
        <f>"JDG_Methane_YMF"&amp;CHAR(10)&amp;A110&amp;"_"&amp;B110&amp;"_"&amp;C110&amp;CHAR(10)&amp;"Mineral Soil - July 2021"</f>
        <v>JDG_Methane_YMF
Lowland_FAGR_AB4
Mineral Soil - July 2021</v>
      </c>
    </row>
    <row r="111" spans="1:7" hidden="1" x14ac:dyDescent="0.2">
      <c r="A111" t="s">
        <v>7</v>
      </c>
      <c r="B111" t="s">
        <v>113</v>
      </c>
      <c r="C111" t="s">
        <v>118</v>
      </c>
      <c r="D111">
        <v>22.5</v>
      </c>
      <c r="E111" t="s">
        <v>119</v>
      </c>
      <c r="F111" t="str">
        <f>"JDG_Methane_YMF"&amp;CHAR(10)&amp;A111&amp;"_"&amp;B111&amp;"_"&amp;C111&amp;CHAR(10)&amp;"Organic Soil - July 2021"</f>
        <v>JDG_Methane_YMF
Lowland_FAGR_AB4/6
Organic Soil - July 2021</v>
      </c>
      <c r="G111" t="str">
        <f>"JDG_Methane_YMF"&amp;CHAR(10)&amp;A111&amp;"_"&amp;B111&amp;"_"&amp;C111&amp;CHAR(10)&amp;"Mineral Soil - July 2021"</f>
        <v>JDG_Methane_YMF
Lowland_FAGR_AB4/6
Mineral Soil - July 2021</v>
      </c>
    </row>
    <row r="112" spans="1:7" hidden="1" x14ac:dyDescent="0.2">
      <c r="A112" t="s">
        <v>7</v>
      </c>
      <c r="B112" t="s">
        <v>113</v>
      </c>
      <c r="C112" t="s">
        <v>120</v>
      </c>
      <c r="D112">
        <v>43.5</v>
      </c>
      <c r="E112" t="s">
        <v>119</v>
      </c>
      <c r="F112" t="str">
        <f>"JDG_Methane_YMF"&amp;CHAR(10)&amp;A112&amp;"_"&amp;B112&amp;"_"&amp;C112&amp;CHAR(10)&amp;"Organic Soil - July 2021"</f>
        <v>JDG_Methane_YMF
Lowland_FAGR_AB3/5
Organic Soil - July 2021</v>
      </c>
      <c r="G112" t="str">
        <f>"JDG_Methane_YMF"&amp;CHAR(10)&amp;A112&amp;"_"&amp;B112&amp;"_"&amp;C112&amp;CHAR(10)&amp;"Mineral Soil - July 2021"</f>
        <v>JDG_Methane_YMF
Lowland_FAGR_AB3/5
Mineral Soil - July 2021</v>
      </c>
    </row>
    <row r="113" spans="1:7" hidden="1" x14ac:dyDescent="0.2">
      <c r="A113" t="s">
        <v>7</v>
      </c>
      <c r="B113" t="s">
        <v>113</v>
      </c>
      <c r="C113" t="s">
        <v>121</v>
      </c>
      <c r="D113">
        <v>42.5</v>
      </c>
      <c r="E113" t="s">
        <v>122</v>
      </c>
      <c r="F113" t="str">
        <f>"JDG_Methane_YMF"&amp;CHAR(10)&amp;A113&amp;"_"&amp;B113&amp;"_"&amp;C113&amp;CHAR(10)&amp;"Organic Soil - July 2021"</f>
        <v>JDG_Methane_YMF
Lowland_FAGR_AB6
Organic Soil - July 2021</v>
      </c>
      <c r="G113" t="str">
        <f>"JDG_Methane_YMF"&amp;CHAR(10)&amp;A113&amp;"_"&amp;B113&amp;"_"&amp;C113&amp;CHAR(10)&amp;"Mineral Soil - July 2021"</f>
        <v>JDG_Methane_YMF
Lowland_FAGR_AB6
Mineral Soil - July 2021</v>
      </c>
    </row>
    <row r="114" spans="1:7" hidden="1" x14ac:dyDescent="0.2">
      <c r="A114" t="s">
        <v>7</v>
      </c>
      <c r="B114" t="s">
        <v>113</v>
      </c>
      <c r="C114" t="s">
        <v>123</v>
      </c>
      <c r="D114">
        <v>31</v>
      </c>
      <c r="E114" t="s">
        <v>124</v>
      </c>
      <c r="F114" t="str">
        <f>"JDG_Methane_YMF"&amp;CHAR(10)&amp;A114&amp;"_"&amp;B114&amp;"_"&amp;C114&amp;CHAR(10)&amp;"Organic Soil - July 2021"</f>
        <v>JDG_Methane_YMF
Lowland_FAGR_AB6'
Organic Soil - July 2021</v>
      </c>
      <c r="G114" t="str">
        <f>"JDG_Methane_YMF"&amp;CHAR(10)&amp;A114&amp;"_"&amp;B114&amp;"_"&amp;C114&amp;CHAR(10)&amp;"Mineral Soil - July 2021"</f>
        <v>JDG_Methane_YMF
Lowland_FAGR_AB6'
Mineral Soil - July 2021</v>
      </c>
    </row>
    <row r="115" spans="1:7" hidden="1" x14ac:dyDescent="0.2">
      <c r="A115" t="s">
        <v>7</v>
      </c>
      <c r="B115" t="s">
        <v>113</v>
      </c>
      <c r="C115" t="s">
        <v>125</v>
      </c>
      <c r="D115">
        <v>36.5</v>
      </c>
      <c r="E115" t="s">
        <v>124</v>
      </c>
      <c r="F115" t="str">
        <f>"JDG_Methane_YMF"&amp;CHAR(10)&amp;A115&amp;"_"&amp;B115&amp;"_"&amp;C115&amp;CHAR(10)&amp;"Organic Soil - July 2021"</f>
        <v>JDG_Methane_YMF
Lowland_FAGR_AB5
Organic Soil - July 2021</v>
      </c>
      <c r="G115" t="str">
        <f>"JDG_Methane_YMF"&amp;CHAR(10)&amp;A115&amp;"_"&amp;B115&amp;"_"&amp;C115&amp;CHAR(10)&amp;"Mineral Soil - July 2021"</f>
        <v>JDG_Methane_YMF
Lowland_FAGR_AB5
Mineral Soil - July 2021</v>
      </c>
    </row>
    <row r="116" spans="1:7" hidden="1" x14ac:dyDescent="0.2">
      <c r="A116" t="s">
        <v>7</v>
      </c>
      <c r="B116" t="s">
        <v>113</v>
      </c>
      <c r="C116" t="s">
        <v>126</v>
      </c>
      <c r="D116">
        <v>26</v>
      </c>
      <c r="E116" t="s">
        <v>127</v>
      </c>
      <c r="F116" t="str">
        <f>"JDG_Methane_YMF"&amp;CHAR(10)&amp;A116&amp;"_"&amp;B116&amp;"_"&amp;C116&amp;CHAR(10)&amp;"Organic Soil - July 2021"</f>
        <v>JDG_Methane_YMF
Lowland_FAGR_AB8
Organic Soil - July 2021</v>
      </c>
      <c r="G116" t="str">
        <f>"JDG_Methane_YMF"&amp;CHAR(10)&amp;A116&amp;"_"&amp;B116&amp;"_"&amp;C116&amp;CHAR(10)&amp;"Mineral Soil - July 2021"</f>
        <v>JDG_Methane_YMF
Lowland_FAGR_AB8
Mineral Soil - July 2021</v>
      </c>
    </row>
    <row r="117" spans="1:7" hidden="1" x14ac:dyDescent="0.2">
      <c r="A117" t="s">
        <v>7</v>
      </c>
      <c r="B117" t="s">
        <v>131</v>
      </c>
      <c r="C117" t="s">
        <v>138</v>
      </c>
      <c r="D117">
        <v>72</v>
      </c>
      <c r="F117" t="str">
        <f>"JDG_Methane_YMF"&amp;CHAR(10)&amp;A117&amp;"_"&amp;B117&amp;"_"&amp;C117&amp;CHAR(10)&amp;"Organic Soil - July 2021"</f>
        <v>JDG_Methane_YMF
Lowland_PIST_WP1
Organic Soil - July 2021</v>
      </c>
      <c r="G117" t="str">
        <f>"JDG_Methane_YMF"&amp;CHAR(10)&amp;A117&amp;"_"&amp;B117&amp;"_"&amp;C117&amp;CHAR(10)&amp;"Mineral Soil - July 2021"</f>
        <v>JDG_Methane_YMF
Lowland_PIST_WP1
Mineral Soil - July 2021</v>
      </c>
    </row>
    <row r="118" spans="1:7" hidden="1" x14ac:dyDescent="0.2">
      <c r="A118" t="s">
        <v>7</v>
      </c>
      <c r="B118" t="s">
        <v>131</v>
      </c>
      <c r="C118" t="s">
        <v>139</v>
      </c>
      <c r="D118">
        <v>70</v>
      </c>
      <c r="F118" t="str">
        <f>"JDG_Methane_YMF"&amp;CHAR(10)&amp;A118&amp;"_"&amp;B118&amp;"_"&amp;C118&amp;CHAR(10)&amp;"Organic Soil - July 2021"</f>
        <v>JDG_Methane_YMF
Lowland_PIST_WP3
Organic Soil - July 2021</v>
      </c>
      <c r="G118" t="str">
        <f>"JDG_Methane_YMF"&amp;CHAR(10)&amp;A118&amp;"_"&amp;B118&amp;"_"&amp;C118&amp;CHAR(10)&amp;"Mineral Soil - July 2021"</f>
        <v>JDG_Methane_YMF
Lowland_PIST_WP3
Mineral Soil - July 2021</v>
      </c>
    </row>
    <row r="119" spans="1:7" hidden="1" x14ac:dyDescent="0.2">
      <c r="A119" t="s">
        <v>7</v>
      </c>
      <c r="B119" t="s">
        <v>131</v>
      </c>
      <c r="C119" t="s">
        <v>140</v>
      </c>
      <c r="D119">
        <v>34</v>
      </c>
      <c r="F119" t="str">
        <f>"JDG_Methane_YMF"&amp;CHAR(10)&amp;A119&amp;"_"&amp;B119&amp;"_"&amp;C119&amp;CHAR(10)&amp;"Organic Soil - July 2021"</f>
        <v>JDG_Methane_YMF
Lowland_PIST_WP2
Organic Soil - July 2021</v>
      </c>
      <c r="G119" t="str">
        <f>"JDG_Methane_YMF"&amp;CHAR(10)&amp;A119&amp;"_"&amp;B119&amp;"_"&amp;C119&amp;CHAR(10)&amp;"Mineral Soil - July 2021"</f>
        <v>JDG_Methane_YMF
Lowland_PIST_WP2
Mineral Soil - July 2021</v>
      </c>
    </row>
    <row r="120" spans="1:7" hidden="1" x14ac:dyDescent="0.2">
      <c r="A120" t="s">
        <v>7</v>
      </c>
      <c r="B120" t="s">
        <v>131</v>
      </c>
      <c r="C120" t="s">
        <v>141</v>
      </c>
      <c r="D120">
        <v>58.5</v>
      </c>
      <c r="F120" t="str">
        <f>"JDG_Methane_YMF"&amp;CHAR(10)&amp;A120&amp;"_"&amp;B120&amp;"_"&amp;C120&amp;CHAR(10)&amp;"Organic Soil - July 2021"</f>
        <v>JDG_Methane_YMF
Lowland_PIST_WP4
Organic Soil - July 2021</v>
      </c>
      <c r="G120" t="str">
        <f>"JDG_Methane_YMF"&amp;CHAR(10)&amp;A120&amp;"_"&amp;B120&amp;"_"&amp;C120&amp;CHAR(10)&amp;"Mineral Soil - July 2021"</f>
        <v>JDG_Methane_YMF
Lowland_PIST_WP4
Mineral Soil - July 2021</v>
      </c>
    </row>
    <row r="121" spans="1:7" hidden="1" x14ac:dyDescent="0.2">
      <c r="A121" t="s">
        <v>7</v>
      </c>
      <c r="B121" t="s">
        <v>131</v>
      </c>
      <c r="C121" t="s">
        <v>142</v>
      </c>
      <c r="D121">
        <v>69.5</v>
      </c>
      <c r="F121" t="str">
        <f>"JDG_Methane_YMF"&amp;CHAR(10)&amp;A121&amp;"_"&amp;B121&amp;"_"&amp;C121&amp;CHAR(10)&amp;"Organic Soil - July 2021"</f>
        <v>JDG_Methane_YMF
Lowland_PIST_WP5
Organic Soil - July 2021</v>
      </c>
      <c r="G121" t="str">
        <f>"JDG_Methane_YMF"&amp;CHAR(10)&amp;A121&amp;"_"&amp;B121&amp;"_"&amp;C121&amp;CHAR(10)&amp;"Mineral Soil - July 2021"</f>
        <v>JDG_Methane_YMF
Lowland_PIST_WP5
Mineral Soil - July 2021</v>
      </c>
    </row>
    <row r="122" spans="1:7" hidden="1" x14ac:dyDescent="0.2">
      <c r="A122" t="s">
        <v>7</v>
      </c>
      <c r="B122" t="s">
        <v>131</v>
      </c>
      <c r="C122" t="s">
        <v>143</v>
      </c>
      <c r="D122">
        <v>43.5</v>
      </c>
      <c r="F122" t="str">
        <f>"JDG_Methane_YMF"&amp;CHAR(10)&amp;A122&amp;"_"&amp;B122&amp;"_"&amp;C122&amp;CHAR(10)&amp;"Organic Soil - July 2021"</f>
        <v>JDG_Methane_YMF
Lowland_PIST_WP6
Organic Soil - July 2021</v>
      </c>
      <c r="G122" t="str">
        <f>"JDG_Methane_YMF"&amp;CHAR(10)&amp;A122&amp;"_"&amp;B122&amp;"_"&amp;C122&amp;CHAR(10)&amp;"Mineral Soil - July 2021"</f>
        <v>JDG_Methane_YMF
Lowland_PIST_WP6
Mineral Soil - July 2021</v>
      </c>
    </row>
    <row r="123" spans="1:7" hidden="1" x14ac:dyDescent="0.2">
      <c r="A123" t="s">
        <v>7</v>
      </c>
      <c r="B123" t="s">
        <v>131</v>
      </c>
      <c r="C123" t="s">
        <v>144</v>
      </c>
      <c r="D123">
        <v>48.5</v>
      </c>
      <c r="F123" t="str">
        <f>"JDG_Methane_YMF"&amp;CHAR(10)&amp;A123&amp;"_"&amp;B123&amp;"_"&amp;C123&amp;CHAR(10)&amp;"Organic Soil - July 2021"</f>
        <v>JDG_Methane_YMF
Lowland_PIST_WP7
Organic Soil - July 2021</v>
      </c>
      <c r="G123" t="str">
        <f>"JDG_Methane_YMF"&amp;CHAR(10)&amp;A123&amp;"_"&amp;B123&amp;"_"&amp;C123&amp;CHAR(10)&amp;"Mineral Soil - July 2021"</f>
        <v>JDG_Methane_YMF
Lowland_PIST_WP7
Mineral Soil - July 2021</v>
      </c>
    </row>
    <row r="124" spans="1:7" hidden="1" x14ac:dyDescent="0.2">
      <c r="A124" t="s">
        <v>7</v>
      </c>
      <c r="B124" t="s">
        <v>131</v>
      </c>
      <c r="C124" t="s">
        <v>145</v>
      </c>
      <c r="D124">
        <v>48.5</v>
      </c>
      <c r="F124" t="str">
        <f>"JDG_Methane_YMF"&amp;CHAR(10)&amp;A124&amp;"_"&amp;B124&amp;"_"&amp;C124&amp;CHAR(10)&amp;"Organic Soil - July 2021"</f>
        <v>JDG_Methane_YMF
Lowland_PIST_WP9
Organic Soil - July 2021</v>
      </c>
      <c r="G124" t="str">
        <f>"JDG_Methane_YMF"&amp;CHAR(10)&amp;A124&amp;"_"&amp;B124&amp;"_"&amp;C124&amp;CHAR(10)&amp;"Mineral Soil - July 2021"</f>
        <v>JDG_Methane_YMF
Lowland_PIST_WP9
Mineral Soil - July 2021</v>
      </c>
    </row>
    <row r="125" spans="1:7" hidden="1" x14ac:dyDescent="0.2">
      <c r="A125" t="s">
        <v>7</v>
      </c>
      <c r="B125" t="s">
        <v>131</v>
      </c>
      <c r="C125" t="s">
        <v>146</v>
      </c>
      <c r="D125">
        <v>48.5</v>
      </c>
      <c r="F125" t="str">
        <f>"JDG_Methane_YMF"&amp;CHAR(10)&amp;A125&amp;"_"&amp;B125&amp;"_"&amp;C125&amp;CHAR(10)&amp;"Organic Soil - July 2021"</f>
        <v>JDG_Methane_YMF
Lowland_PIST_WP10
Organic Soil - July 2021</v>
      </c>
      <c r="G125" t="str">
        <f>"JDG_Methane_YMF"&amp;CHAR(10)&amp;A125&amp;"_"&amp;B125&amp;"_"&amp;C125&amp;CHAR(10)&amp;"Mineral Soil - July 2021"</f>
        <v>JDG_Methane_YMF
Lowland_PIST_WP10
Mineral Soil - July 2021</v>
      </c>
    </row>
    <row r="126" spans="1:7" hidden="1" x14ac:dyDescent="0.2">
      <c r="A126" t="s">
        <v>7</v>
      </c>
      <c r="B126" t="s">
        <v>131</v>
      </c>
      <c r="C126" t="s">
        <v>147</v>
      </c>
      <c r="D126">
        <v>33</v>
      </c>
      <c r="F126" t="str">
        <f>"JDG_Methane_YMF"&amp;CHAR(10)&amp;A126&amp;"_"&amp;B126&amp;"_"&amp;C126&amp;CHAR(10)&amp;"Organic Soil - July 2021"</f>
        <v>JDG_Methane_YMF
Lowland_PIST_WP11
Organic Soil - July 2021</v>
      </c>
      <c r="G126" t="str">
        <f>"JDG_Methane_YMF"&amp;CHAR(10)&amp;A126&amp;"_"&amp;B126&amp;"_"&amp;C126&amp;CHAR(10)&amp;"Mineral Soil - July 2021"</f>
        <v>JDG_Methane_YMF
Lowland_PIST_WP11
Mineral Soil - July 2021</v>
      </c>
    </row>
    <row r="127" spans="1:7" hidden="1" x14ac:dyDescent="0.2">
      <c r="A127" t="s">
        <v>7</v>
      </c>
      <c r="B127" t="s">
        <v>131</v>
      </c>
      <c r="C127" t="s">
        <v>148</v>
      </c>
      <c r="D127">
        <v>52.5</v>
      </c>
      <c r="F127" t="str">
        <f>"JDG_Methane_YMF"&amp;CHAR(10)&amp;A127&amp;"_"&amp;B127&amp;"_"&amp;C127&amp;CHAR(10)&amp;"Organic Soil - July 2021"</f>
        <v>JDG_Methane_YMF
Lowland_PIST_WP12
Organic Soil - July 2021</v>
      </c>
      <c r="G127" t="str">
        <f>"JDG_Methane_YMF"&amp;CHAR(10)&amp;A127&amp;"_"&amp;B127&amp;"_"&amp;C127&amp;CHAR(10)&amp;"Mineral Soil - July 2021"</f>
        <v>JDG_Methane_YMF
Lowland_PIST_WP12
Mineral Soil - July 2021</v>
      </c>
    </row>
    <row r="128" spans="1:7" hidden="1" x14ac:dyDescent="0.2">
      <c r="A128" t="s">
        <v>7</v>
      </c>
      <c r="B128" t="s">
        <v>131</v>
      </c>
      <c r="C128" t="s">
        <v>24</v>
      </c>
      <c r="D128">
        <v>64</v>
      </c>
      <c r="E128" t="s">
        <v>149</v>
      </c>
      <c r="F128" t="str">
        <f>"JDG_Methane_YMF"&amp;CHAR(10)&amp;A128&amp;"_"&amp;B128&amp;"_"&amp;C128&amp;CHAR(10)&amp;"Organic Soil - July 2021"</f>
        <v>JDG_Methane_YMF
Lowland_PIST_Untagged
Organic Soil - July 2021</v>
      </c>
      <c r="G128" t="str">
        <f>"JDG_Methane_YMF"&amp;CHAR(10)&amp;A128&amp;"_"&amp;B128&amp;"_"&amp;C128&amp;CHAR(10)&amp;"Mineral Soil - July 2021"</f>
        <v>JDG_Methane_YMF
Lowland_PIST_Untagged
Mineral Soil - July 2021</v>
      </c>
    </row>
    <row r="129" spans="1:7" hidden="1" x14ac:dyDescent="0.2">
      <c r="A129" t="s">
        <v>7</v>
      </c>
      <c r="B129" t="s">
        <v>131</v>
      </c>
      <c r="C129" t="s">
        <v>24</v>
      </c>
      <c r="D129">
        <v>45</v>
      </c>
      <c r="E129" t="s">
        <v>150</v>
      </c>
      <c r="F129" t="str">
        <f>"JDG_Methane_YMF"&amp;CHAR(10)&amp;A129&amp;"_"&amp;B129&amp;"_"&amp;C129&amp;CHAR(10)&amp;"Organic Soil - July 2021"</f>
        <v>JDG_Methane_YMF
Lowland_PIST_Untagged
Organic Soil - July 2021</v>
      </c>
      <c r="G129" t="str">
        <f>"JDG_Methane_YMF"&amp;CHAR(10)&amp;A129&amp;"_"&amp;B129&amp;"_"&amp;C129&amp;CHAR(10)&amp;"Mineral Soil - July 2021"</f>
        <v>JDG_Methane_YMF
Lowland_PIST_Untagged
Mineral Soil - July 2021</v>
      </c>
    </row>
    <row r="130" spans="1:7" hidden="1" x14ac:dyDescent="0.2">
      <c r="A130" t="s">
        <v>7</v>
      </c>
      <c r="B130" t="s">
        <v>131</v>
      </c>
      <c r="C130" t="s">
        <v>151</v>
      </c>
      <c r="D130">
        <v>26</v>
      </c>
      <c r="F130" t="str">
        <f>"JDG_Methane_YMF"&amp;CHAR(10)&amp;A130&amp;"_"&amp;B130&amp;"_"&amp;C130&amp;CHAR(10)&amp;"Organic Soil - July 2021"</f>
        <v>JDG_Methane_YMF
Lowland_PIST_WP13
Organic Soil - July 2021</v>
      </c>
      <c r="G130" t="str">
        <f>"JDG_Methane_YMF"&amp;CHAR(10)&amp;A130&amp;"_"&amp;B130&amp;"_"&amp;C130&amp;CHAR(10)&amp;"Mineral Soil - July 2021"</f>
        <v>JDG_Methane_YMF
Lowland_PIST_WP13
Mineral Soil - July 2021</v>
      </c>
    </row>
    <row r="131" spans="1:7" hidden="1" x14ac:dyDescent="0.2">
      <c r="A131" t="s">
        <v>7</v>
      </c>
      <c r="B131" t="s">
        <v>131</v>
      </c>
      <c r="C131" t="s">
        <v>152</v>
      </c>
      <c r="D131">
        <v>27</v>
      </c>
      <c r="F131" t="str">
        <f>"JDG_Methane_YMF"&amp;CHAR(10)&amp;A131&amp;"_"&amp;B131&amp;"_"&amp;C131&amp;CHAR(10)&amp;"Organic Soil - July 2021"</f>
        <v>JDG_Methane_YMF
Lowland_PIST_WP14
Organic Soil - July 2021</v>
      </c>
      <c r="G131" t="str">
        <f>"JDG_Methane_YMF"&amp;CHAR(10)&amp;A131&amp;"_"&amp;B131&amp;"_"&amp;C131&amp;CHAR(10)&amp;"Mineral Soil - July 2021"</f>
        <v>JDG_Methane_YMF
Lowland_PIST_WP14
Mineral Soil - July 2021</v>
      </c>
    </row>
    <row r="132" spans="1:7" hidden="1" x14ac:dyDescent="0.2">
      <c r="A132" t="s">
        <v>7</v>
      </c>
      <c r="B132" t="s">
        <v>153</v>
      </c>
      <c r="C132" t="s">
        <v>160</v>
      </c>
      <c r="D132">
        <v>30</v>
      </c>
      <c r="F132" t="str">
        <f>"JDG_Methane_YMF"&amp;CHAR(10)&amp;A132&amp;"_"&amp;B132&amp;"_"&amp;C132&amp;CHAR(10)&amp;"Organic Soil - July 2021"</f>
        <v>JDG_Methane_YMF
Lowland_TSCA_H1
Organic Soil - July 2021</v>
      </c>
      <c r="G132" t="str">
        <f>"JDG_Methane_YMF"&amp;CHAR(10)&amp;A132&amp;"_"&amp;B132&amp;"_"&amp;C132&amp;CHAR(10)&amp;"Mineral Soil - July 2021"</f>
        <v>JDG_Methane_YMF
Lowland_TSCA_H1
Mineral Soil - July 2021</v>
      </c>
    </row>
    <row r="133" spans="1:7" hidden="1" x14ac:dyDescent="0.2">
      <c r="A133" t="s">
        <v>7</v>
      </c>
      <c r="B133" t="s">
        <v>153</v>
      </c>
      <c r="C133" t="s">
        <v>161</v>
      </c>
      <c r="D133">
        <v>33</v>
      </c>
      <c r="F133" t="str">
        <f>"JDG_Methane_YMF"&amp;CHAR(10)&amp;A133&amp;"_"&amp;B133&amp;"_"&amp;C133&amp;CHAR(10)&amp;"Organic Soil - July 2021"</f>
        <v>JDG_Methane_YMF
Lowland_TSCA_H4
Organic Soil - July 2021</v>
      </c>
      <c r="G133" t="str">
        <f>"JDG_Methane_YMF"&amp;CHAR(10)&amp;A133&amp;"_"&amp;B133&amp;"_"&amp;C133&amp;CHAR(10)&amp;"Mineral Soil - July 2021"</f>
        <v>JDG_Methane_YMF
Lowland_TSCA_H4
Mineral Soil - July 2021</v>
      </c>
    </row>
    <row r="134" spans="1:7" hidden="1" x14ac:dyDescent="0.2">
      <c r="A134" t="s">
        <v>7</v>
      </c>
      <c r="B134" t="s">
        <v>153</v>
      </c>
      <c r="C134" t="s">
        <v>162</v>
      </c>
      <c r="D134">
        <v>31</v>
      </c>
      <c r="F134" t="str">
        <f>"JDG_Methane_YMF"&amp;CHAR(10)&amp;A134&amp;"_"&amp;B134&amp;"_"&amp;C134&amp;CHAR(10)&amp;"Organic Soil - July 2021"</f>
        <v>JDG_Methane_YMF
Lowland_TSCA_H3
Organic Soil - July 2021</v>
      </c>
      <c r="G134" t="str">
        <f>"JDG_Methane_YMF"&amp;CHAR(10)&amp;A134&amp;"_"&amp;B134&amp;"_"&amp;C134&amp;CHAR(10)&amp;"Mineral Soil - July 2021"</f>
        <v>JDG_Methane_YMF
Lowland_TSCA_H3
Mineral Soil - July 2021</v>
      </c>
    </row>
    <row r="135" spans="1:7" hidden="1" x14ac:dyDescent="0.2">
      <c r="A135" t="s">
        <v>7</v>
      </c>
      <c r="B135" t="s">
        <v>153</v>
      </c>
      <c r="C135" t="s">
        <v>163</v>
      </c>
      <c r="D135">
        <v>40.5</v>
      </c>
      <c r="F135" t="str">
        <f>"JDG_Methane_YMF"&amp;CHAR(10)&amp;A135&amp;"_"&amp;B135&amp;"_"&amp;C135&amp;CHAR(10)&amp;"Organic Soil - July 2021"</f>
        <v>JDG_Methane_YMF
Lowland_TSCA_H2
Organic Soil - July 2021</v>
      </c>
      <c r="G135" t="str">
        <f>"JDG_Methane_YMF"&amp;CHAR(10)&amp;A135&amp;"_"&amp;B135&amp;"_"&amp;C135&amp;CHAR(10)&amp;"Mineral Soil - July 2021"</f>
        <v>JDG_Methane_YMF
Lowland_TSCA_H2
Mineral Soil - July 2021</v>
      </c>
    </row>
    <row r="136" spans="1:7" hidden="1" x14ac:dyDescent="0.2">
      <c r="A136" t="s">
        <v>7</v>
      </c>
      <c r="B136" t="s">
        <v>153</v>
      </c>
      <c r="C136" t="s">
        <v>164</v>
      </c>
      <c r="D136">
        <v>45</v>
      </c>
      <c r="F136" t="str">
        <f>"JDG_Methane_YMF"&amp;CHAR(10)&amp;A136&amp;"_"&amp;B136&amp;"_"&amp;C136&amp;CHAR(10)&amp;"Organic Soil - July 2021"</f>
        <v>JDG_Methane_YMF
Lowland_TSCA_H5
Organic Soil - July 2021</v>
      </c>
      <c r="G136" t="str">
        <f>"JDG_Methane_YMF"&amp;CHAR(10)&amp;A136&amp;"_"&amp;B136&amp;"_"&amp;C136&amp;CHAR(10)&amp;"Mineral Soil - July 2021"</f>
        <v>JDG_Methane_YMF
Lowland_TSCA_H5
Mineral Soil - July 2021</v>
      </c>
    </row>
    <row r="137" spans="1:7" hidden="1" x14ac:dyDescent="0.2">
      <c r="A137" t="s">
        <v>7</v>
      </c>
      <c r="B137" t="s">
        <v>153</v>
      </c>
      <c r="C137" t="s">
        <v>165</v>
      </c>
      <c r="D137">
        <v>40.5</v>
      </c>
      <c r="F137" t="str">
        <f>"JDG_Methane_YMF"&amp;CHAR(10)&amp;A137&amp;"_"&amp;B137&amp;"_"&amp;C137&amp;CHAR(10)&amp;"Organic Soil - July 2021"</f>
        <v>JDG_Methane_YMF
Lowland_TSCA_H6
Organic Soil - July 2021</v>
      </c>
      <c r="G137" t="str">
        <f>"JDG_Methane_YMF"&amp;CHAR(10)&amp;A137&amp;"_"&amp;B137&amp;"_"&amp;C137&amp;CHAR(10)&amp;"Mineral Soil - July 2021"</f>
        <v>JDG_Methane_YMF
Lowland_TSCA_H6
Mineral Soil - July 2021</v>
      </c>
    </row>
    <row r="138" spans="1:7" hidden="1" x14ac:dyDescent="0.2">
      <c r="A138" t="s">
        <v>7</v>
      </c>
      <c r="B138" t="s">
        <v>153</v>
      </c>
      <c r="C138" t="s">
        <v>166</v>
      </c>
      <c r="D138">
        <v>32.5</v>
      </c>
      <c r="F138" t="str">
        <f>"JDG_Methane_YMF"&amp;CHAR(10)&amp;A138&amp;"_"&amp;B138&amp;"_"&amp;C138&amp;CHAR(10)&amp;"Organic Soil - July 2021"</f>
        <v>JDG_Methane_YMF
Lowland_TSCA_H7
Organic Soil - July 2021</v>
      </c>
      <c r="G138" t="str">
        <f>"JDG_Methane_YMF"&amp;CHAR(10)&amp;A138&amp;"_"&amp;B138&amp;"_"&amp;C138&amp;CHAR(10)&amp;"Mineral Soil - July 2021"</f>
        <v>JDG_Methane_YMF
Lowland_TSCA_H7
Mineral Soil - July 2021</v>
      </c>
    </row>
    <row r="139" spans="1:7" hidden="1" x14ac:dyDescent="0.2">
      <c r="A139" t="s">
        <v>7</v>
      </c>
      <c r="B139" t="s">
        <v>153</v>
      </c>
      <c r="C139" t="s">
        <v>167</v>
      </c>
      <c r="D139">
        <v>33.799999999999997</v>
      </c>
      <c r="F139" t="str">
        <f>"JDG_Methane_YMF"&amp;CHAR(10)&amp;A139&amp;"_"&amp;B139&amp;"_"&amp;C139&amp;CHAR(10)&amp;"Organic Soil - July 2021"</f>
        <v>JDG_Methane_YMF
Lowland_TSCA_H8
Organic Soil - July 2021</v>
      </c>
      <c r="G139" t="str">
        <f>"JDG_Methane_YMF"&amp;CHAR(10)&amp;A139&amp;"_"&amp;B139&amp;"_"&amp;C139&amp;CHAR(10)&amp;"Mineral Soil - July 2021"</f>
        <v>JDG_Methane_YMF
Lowland_TSCA_H8
Mineral Soil - July 2021</v>
      </c>
    </row>
    <row r="140" spans="1:7" hidden="1" x14ac:dyDescent="0.2">
      <c r="A140" t="s">
        <v>7</v>
      </c>
      <c r="B140" t="s">
        <v>153</v>
      </c>
      <c r="C140" t="s">
        <v>168</v>
      </c>
      <c r="D140">
        <v>31</v>
      </c>
      <c r="F140" t="str">
        <f>"JDG_Methane_YMF"&amp;CHAR(10)&amp;A140&amp;"_"&amp;B140&amp;"_"&amp;C140&amp;CHAR(10)&amp;"Organic Soil - July 2021"</f>
        <v>JDG_Methane_YMF
Lowland_TSCA_H9
Organic Soil - July 2021</v>
      </c>
      <c r="G140" t="str">
        <f>"JDG_Methane_YMF"&amp;CHAR(10)&amp;A140&amp;"_"&amp;B140&amp;"_"&amp;C140&amp;CHAR(10)&amp;"Mineral Soil - July 2021"</f>
        <v>JDG_Methane_YMF
Lowland_TSCA_H9
Mineral Soil - July 2021</v>
      </c>
    </row>
    <row r="141" spans="1:7" hidden="1" x14ac:dyDescent="0.2">
      <c r="A141" t="s">
        <v>7</v>
      </c>
      <c r="B141" t="s">
        <v>153</v>
      </c>
      <c r="C141" t="s">
        <v>24</v>
      </c>
      <c r="D141">
        <v>26</v>
      </c>
      <c r="E141" t="s">
        <v>149</v>
      </c>
      <c r="F141" t="str">
        <f>"JDG_Methane_YMF"&amp;CHAR(10)&amp;A141&amp;"_"&amp;B141&amp;"_"&amp;C141&amp;CHAR(10)&amp;"Organic Soil - July 2021"</f>
        <v>JDG_Methane_YMF
Lowland_TSCA_Untagged
Organic Soil - July 2021</v>
      </c>
      <c r="G141" t="str">
        <f>"JDG_Methane_YMF"&amp;CHAR(10)&amp;A141&amp;"_"&amp;B141&amp;"_"&amp;C141&amp;CHAR(10)&amp;"Mineral Soil - July 2021"</f>
        <v>JDG_Methane_YMF
Lowland_TSCA_Untagged
Mineral Soil - July 2021</v>
      </c>
    </row>
    <row r="142" spans="1:7" hidden="1" x14ac:dyDescent="0.2">
      <c r="A142" t="s">
        <v>7</v>
      </c>
      <c r="B142" t="s">
        <v>153</v>
      </c>
      <c r="C142" t="s">
        <v>24</v>
      </c>
      <c r="D142">
        <v>59.5</v>
      </c>
      <c r="E142" t="s">
        <v>149</v>
      </c>
      <c r="F142" t="str">
        <f>"JDG_Methane_YMF"&amp;CHAR(10)&amp;A142&amp;"_"&amp;B142&amp;"_"&amp;C142&amp;CHAR(10)&amp;"Organic Soil - July 2021"</f>
        <v>JDG_Methane_YMF
Lowland_TSCA_Untagged
Organic Soil - July 2021</v>
      </c>
      <c r="G142" t="str">
        <f>"JDG_Methane_YMF"&amp;CHAR(10)&amp;A142&amp;"_"&amp;B142&amp;"_"&amp;C142&amp;CHAR(10)&amp;"Mineral Soil - July 2021"</f>
        <v>JDG_Methane_YMF
Lowland_TSCA_Untagged
Mineral Soil - July 2021</v>
      </c>
    </row>
    <row r="143" spans="1:7" hidden="1" x14ac:dyDescent="0.2">
      <c r="A143" t="s">
        <v>7</v>
      </c>
      <c r="B143" t="s">
        <v>153</v>
      </c>
      <c r="C143" t="s">
        <v>169</v>
      </c>
      <c r="D143">
        <v>30</v>
      </c>
      <c r="F143" t="str">
        <f>"JDG_Methane_YMF"&amp;CHAR(10)&amp;A143&amp;"_"&amp;B143&amp;"_"&amp;C143&amp;CHAR(10)&amp;"Organic Soil - July 2021"</f>
        <v>JDG_Methane_YMF
Lowland_TSCA_H14
Organic Soil - July 2021</v>
      </c>
      <c r="G143" t="str">
        <f>"JDG_Methane_YMF"&amp;CHAR(10)&amp;A143&amp;"_"&amp;B143&amp;"_"&amp;C143&amp;CHAR(10)&amp;"Mineral Soil - July 2021"</f>
        <v>JDG_Methane_YMF
Lowland_TSCA_H14
Mineral Soil - July 2021</v>
      </c>
    </row>
    <row r="144" spans="1:7" hidden="1" x14ac:dyDescent="0.2">
      <c r="A144" t="s">
        <v>7</v>
      </c>
      <c r="B144" t="s">
        <v>153</v>
      </c>
      <c r="C144" t="s">
        <v>170</v>
      </c>
      <c r="D144">
        <v>47</v>
      </c>
      <c r="F144" t="str">
        <f>"JDG_Methane_YMF"&amp;CHAR(10)&amp;A144&amp;"_"&amp;B144&amp;"_"&amp;C144&amp;CHAR(10)&amp;"Organic Soil - July 2021"</f>
        <v>JDG_Methane_YMF
Lowland_TSCA_H15
Organic Soil - July 2021</v>
      </c>
      <c r="G144" t="str">
        <f>"JDG_Methane_YMF"&amp;CHAR(10)&amp;A144&amp;"_"&amp;B144&amp;"_"&amp;C144&amp;CHAR(10)&amp;"Mineral Soil - July 2021"</f>
        <v>JDG_Methane_YMF
Lowland_TSCA_H15
Mineral Soil - July 2021</v>
      </c>
    </row>
    <row r="145" spans="1:7" hidden="1" x14ac:dyDescent="0.2">
      <c r="A145" t="s">
        <v>7</v>
      </c>
      <c r="B145" t="s">
        <v>153</v>
      </c>
      <c r="C145" t="s">
        <v>171</v>
      </c>
      <c r="D145">
        <v>49</v>
      </c>
      <c r="F145" t="str">
        <f>"JDG_Methane_YMF"&amp;CHAR(10)&amp;A145&amp;"_"&amp;B145&amp;"_"&amp;C145&amp;CHAR(10)&amp;"Organic Soil - July 2021"</f>
        <v>JDG_Methane_YMF
Lowland_TSCA_H12
Organic Soil - July 2021</v>
      </c>
      <c r="G145" t="str">
        <f>"JDG_Methane_YMF"&amp;CHAR(10)&amp;A145&amp;"_"&amp;B145&amp;"_"&amp;C145&amp;CHAR(10)&amp;"Mineral Soil - July 2021"</f>
        <v>JDG_Methane_YMF
Lowland_TSCA_H12
Mineral Soil - July 2021</v>
      </c>
    </row>
    <row r="146" spans="1:7" hidden="1" x14ac:dyDescent="0.2">
      <c r="A146" t="s">
        <v>7</v>
      </c>
      <c r="B146" t="s">
        <v>153</v>
      </c>
      <c r="C146" t="s">
        <v>172</v>
      </c>
      <c r="D146">
        <v>26</v>
      </c>
      <c r="F146" t="str">
        <f>"JDG_Methane_YMF"&amp;CHAR(10)&amp;A146&amp;"_"&amp;B146&amp;"_"&amp;C146&amp;CHAR(10)&amp;"Organic Soil - July 2021"</f>
        <v>JDG_Methane_YMF
Lowland_TSCA_H12'
Organic Soil - July 2021</v>
      </c>
      <c r="G146" t="str">
        <f>"JDG_Methane_YMF"&amp;CHAR(10)&amp;A146&amp;"_"&amp;B146&amp;"_"&amp;C146&amp;CHAR(10)&amp;"Mineral Soil - July 2021"</f>
        <v>JDG_Methane_YMF
Lowland_TSCA_H12'
Mineral Soil - July 2021</v>
      </c>
    </row>
    <row r="147" spans="1:7" hidden="1" x14ac:dyDescent="0.2">
      <c r="A147" t="s">
        <v>7</v>
      </c>
      <c r="B147" t="s">
        <v>153</v>
      </c>
      <c r="C147" t="s">
        <v>169</v>
      </c>
      <c r="D147">
        <v>36</v>
      </c>
      <c r="F147" t="str">
        <f>"JDG_Methane_YMF"&amp;CHAR(10)&amp;A147&amp;"_"&amp;B147&amp;"_"&amp;C147&amp;CHAR(10)&amp;"Organic Soil - July 2021"</f>
        <v>JDG_Methane_YMF
Lowland_TSCA_H14
Organic Soil - July 2021</v>
      </c>
      <c r="G147" t="str">
        <f>"JDG_Methane_YMF"&amp;CHAR(10)&amp;A147&amp;"_"&amp;B147&amp;"_"&amp;C147&amp;CHAR(10)&amp;"Mineral Soil - July 2021"</f>
        <v>JDG_Methane_YMF
Lowland_TSCA_H14
Mineral Soil - July 2021</v>
      </c>
    </row>
    <row r="148" spans="1:7" hidden="1" x14ac:dyDescent="0.2">
      <c r="A148" t="s">
        <v>7</v>
      </c>
      <c r="B148" t="s">
        <v>153</v>
      </c>
      <c r="C148" t="s">
        <v>173</v>
      </c>
      <c r="D148">
        <v>38</v>
      </c>
      <c r="F148" t="str">
        <f>"JDG_Methane_YMF"&amp;CHAR(10)&amp;A148&amp;"_"&amp;B148&amp;"_"&amp;C148&amp;CHAR(10)&amp;"Organic Soil - July 2021"</f>
        <v>JDG_Methane_YMF
Lowland_TSCA_H11
Organic Soil - July 2021</v>
      </c>
      <c r="G148" t="str">
        <f>"JDG_Methane_YMF"&amp;CHAR(10)&amp;A148&amp;"_"&amp;B148&amp;"_"&amp;C148&amp;CHAR(10)&amp;"Mineral Soil - July 2021"</f>
        <v>JDG_Methane_YMF
Lowland_TSCA_H11
Mineral Soil - July 2021</v>
      </c>
    </row>
    <row r="149" spans="1:7" hidden="1" x14ac:dyDescent="0.2">
      <c r="A149" t="s">
        <v>7</v>
      </c>
      <c r="B149" t="s">
        <v>153</v>
      </c>
      <c r="C149" t="s">
        <v>174</v>
      </c>
      <c r="D149">
        <v>44</v>
      </c>
      <c r="F149" t="str">
        <f>"JDG_Methane_YMF"&amp;CHAR(10)&amp;A149&amp;"_"&amp;B149&amp;"_"&amp;C149&amp;CHAR(10)&amp;"Organic Soil - July 2021"</f>
        <v>JDG_Methane_YMF
Lowland_TSCA_H10
Organic Soil - July 2021</v>
      </c>
      <c r="G149" t="str">
        <f>"JDG_Methane_YMF"&amp;CHAR(10)&amp;A149&amp;"_"&amp;B149&amp;"_"&amp;C149&amp;CHAR(10)&amp;"Mineral Soil - July 2021"</f>
        <v>JDG_Methane_YMF
Lowland_TSCA_H10
Mineral Soil - July 2021</v>
      </c>
    </row>
    <row r="150" spans="1:7" hidden="1" x14ac:dyDescent="0.2">
      <c r="A150" t="s">
        <v>7</v>
      </c>
      <c r="B150" t="s">
        <v>191</v>
      </c>
      <c r="C150" t="s">
        <v>192</v>
      </c>
      <c r="D150">
        <v>28.5</v>
      </c>
      <c r="F150" t="str">
        <f>"JDG_Methane_YMF"&amp;CHAR(10)&amp;A150&amp;"_"&amp;B150&amp;"_"&amp;C150&amp;CHAR(10)&amp;"Organic Soil - July 2021"</f>
        <v>JDG_Methane_YMF
Lowland_PRSE_BC1
Organic Soil - July 2021</v>
      </c>
      <c r="G150" t="str">
        <f>"JDG_Methane_YMF"&amp;CHAR(10)&amp;A150&amp;"_"&amp;B150&amp;"_"&amp;C150&amp;CHAR(10)&amp;"Mineral Soil - July 2021"</f>
        <v>JDG_Methane_YMF
Lowland_PRSE_BC1
Mineral Soil - July 2021</v>
      </c>
    </row>
    <row r="151" spans="1:7" hidden="1" x14ac:dyDescent="0.2">
      <c r="A151" t="s">
        <v>7</v>
      </c>
      <c r="B151" t="s">
        <v>193</v>
      </c>
      <c r="C151" t="s">
        <v>194</v>
      </c>
      <c r="D151">
        <v>39</v>
      </c>
      <c r="F151" t="str">
        <f>"JDG_Methane_YMF"&amp;CHAR(10)&amp;A151&amp;"_"&amp;B151&amp;"_"&amp;C151&amp;CHAR(10)&amp;"Organic Soil - July 2021"</f>
        <v>JDG_Methane_YMF
Lowland_QUAL_WO1
Organic Soil - July 2021</v>
      </c>
      <c r="G151" t="str">
        <f>"JDG_Methane_YMF"&amp;CHAR(10)&amp;A151&amp;"_"&amp;B151&amp;"_"&amp;C151&amp;CHAR(10)&amp;"Mineral Soil - July 2021"</f>
        <v>JDG_Methane_YMF
Lowland_QUAL_WO1
Mineral Soil - July 2021</v>
      </c>
    </row>
    <row r="152" spans="1:7" hidden="1" x14ac:dyDescent="0.2">
      <c r="A152" t="s">
        <v>7</v>
      </c>
      <c r="B152" t="s">
        <v>193</v>
      </c>
      <c r="C152" t="s">
        <v>195</v>
      </c>
      <c r="D152">
        <v>41</v>
      </c>
      <c r="F152" t="str">
        <f>"JDG_Methane_YMF"&amp;CHAR(10)&amp;A152&amp;"_"&amp;B152&amp;"_"&amp;C152&amp;CHAR(10)&amp;"Organic Soil - July 2021"</f>
        <v>JDG_Methane_YMF
Lowland_QUAL_WO2
Organic Soil - July 2021</v>
      </c>
      <c r="G152" t="str">
        <f>"JDG_Methane_YMF"&amp;CHAR(10)&amp;A152&amp;"_"&amp;B152&amp;"_"&amp;C152&amp;CHAR(10)&amp;"Mineral Soil - July 2021"</f>
        <v>JDG_Methane_YMF
Lowland_QUAL_WO2
Mineral Soil - July 2021</v>
      </c>
    </row>
    <row r="153" spans="1:7" hidden="1" x14ac:dyDescent="0.2">
      <c r="A153" t="s">
        <v>7</v>
      </c>
      <c r="B153" t="s">
        <v>196</v>
      </c>
      <c r="C153" t="s">
        <v>197</v>
      </c>
      <c r="D153">
        <v>37</v>
      </c>
      <c r="F153" t="str">
        <f>"JDG_Methane_YMF"&amp;CHAR(10)&amp;A153&amp;"_"&amp;B153&amp;"_"&amp;C153&amp;CHAR(10)&amp;"Organic Soil - July 2021"</f>
        <v>JDG_Methane_YMF
Lowland_QUVE_BO1
Organic Soil - July 2021</v>
      </c>
      <c r="G153" t="str">
        <f>"JDG_Methane_YMF"&amp;CHAR(10)&amp;A153&amp;"_"&amp;B153&amp;"_"&amp;C153&amp;CHAR(10)&amp;"Mineral Soil - July 2021"</f>
        <v>JDG_Methane_YMF
Lowland_QUVE_BO1
Mineral Soil - July 2021</v>
      </c>
    </row>
    <row r="154" spans="1:7" hidden="1" x14ac:dyDescent="0.2">
      <c r="A154" t="s">
        <v>7</v>
      </c>
      <c r="B154" t="s">
        <v>196</v>
      </c>
      <c r="C154" t="s">
        <v>198</v>
      </c>
      <c r="D154">
        <v>38</v>
      </c>
      <c r="F154" t="str">
        <f>"JDG_Methane_YMF"&amp;CHAR(10)&amp;A154&amp;"_"&amp;B154&amp;"_"&amp;C154&amp;CHAR(10)&amp;"Organic Soil - July 2021"</f>
        <v>JDG_Methane_YMF
Lowland_QUVE_BO2
Organic Soil - July 2021</v>
      </c>
      <c r="G154" t="str">
        <f>"JDG_Methane_YMF"&amp;CHAR(10)&amp;A154&amp;"_"&amp;B154&amp;"_"&amp;C154&amp;CHAR(10)&amp;"Mineral Soil - July 2021"</f>
        <v>JDG_Methane_YMF
Lowland_QUVE_BO2
Mineral Soil - July 2021</v>
      </c>
    </row>
    <row r="155" spans="1:7" hidden="1" x14ac:dyDescent="0.2">
      <c r="A155" t="s">
        <v>7</v>
      </c>
      <c r="B155" t="s">
        <v>196</v>
      </c>
      <c r="C155" t="s">
        <v>199</v>
      </c>
      <c r="D155" t="s">
        <v>200</v>
      </c>
      <c r="F155" t="str">
        <f>"JDG_Methane_YMF"&amp;CHAR(10)&amp;A155&amp;"_"&amp;B155&amp;"_"&amp;C155&amp;CHAR(10)&amp;"Organic Soil - July 2021"</f>
        <v>JDG_Methane_YMF
Lowland_QUVE_BO3
Organic Soil - July 2021</v>
      </c>
      <c r="G155" t="str">
        <f>"JDG_Methane_YMF"&amp;CHAR(10)&amp;A155&amp;"_"&amp;B155&amp;"_"&amp;C155&amp;CHAR(10)&amp;"Mineral Soil - July 2021"</f>
        <v>JDG_Methane_YMF
Lowland_QUVE_BO3
Mineral Soil - July 2021</v>
      </c>
    </row>
    <row r="156" spans="1:7" hidden="1" x14ac:dyDescent="0.2">
      <c r="A156" t="s">
        <v>7</v>
      </c>
      <c r="B156" t="s">
        <v>191</v>
      </c>
      <c r="C156" t="s">
        <v>201</v>
      </c>
      <c r="D156">
        <v>48.5</v>
      </c>
      <c r="F156" t="str">
        <f>"JDG_Methane_YMF"&amp;CHAR(10)&amp;A156&amp;"_"&amp;B156&amp;"_"&amp;C156&amp;CHAR(10)&amp;"Organic Soil - July 2021"</f>
        <v>JDG_Methane_YMF
Lowland_PRSE_BC4
Organic Soil - July 2021</v>
      </c>
      <c r="G156" t="str">
        <f>"JDG_Methane_YMF"&amp;CHAR(10)&amp;A156&amp;"_"&amp;B156&amp;"_"&amp;C156&amp;CHAR(10)&amp;"Mineral Soil - July 2021"</f>
        <v>JDG_Methane_YMF
Lowland_PRSE_BC4
Mineral Soil - July 2021</v>
      </c>
    </row>
    <row r="157" spans="1:7" hidden="1" x14ac:dyDescent="0.2">
      <c r="A157" t="s">
        <v>7</v>
      </c>
      <c r="B157" t="s">
        <v>191</v>
      </c>
      <c r="C157" t="s">
        <v>202</v>
      </c>
      <c r="D157">
        <v>34</v>
      </c>
      <c r="F157" t="str">
        <f>"JDG_Methane_YMF"&amp;CHAR(10)&amp;A157&amp;"_"&amp;B157&amp;"_"&amp;C157&amp;CHAR(10)&amp;"Organic Soil - July 2021"</f>
        <v>JDG_Methane_YMF
Lowland_PRSE_BC5
Organic Soil - July 2021</v>
      </c>
      <c r="G157" t="str">
        <f>"JDG_Methane_YMF"&amp;CHAR(10)&amp;A157&amp;"_"&amp;B157&amp;"_"&amp;C157&amp;CHAR(10)&amp;"Mineral Soil - July 2021"</f>
        <v>JDG_Methane_YMF
Lowland_PRSE_BC5
Mineral Soil - July 2021</v>
      </c>
    </row>
    <row r="158" spans="1:7" x14ac:dyDescent="0.2">
      <c r="A158" t="s">
        <v>26</v>
      </c>
      <c r="B158" t="s">
        <v>8</v>
      </c>
      <c r="C158" t="s">
        <v>24</v>
      </c>
      <c r="D158">
        <v>21</v>
      </c>
      <c r="F158" t="str">
        <f>"JDG_Methane_YMF"&amp;CHAR(10)&amp;A158&amp;"_"&amp;B158&amp;"_"&amp;C158&amp;CHAR(10)&amp;"Organic Soil - July 2021"</f>
        <v>JDG_Methane_YMF
Ridge_ACRU_Untagged
Organic Soil - July 2021</v>
      </c>
      <c r="G158" t="str">
        <f>"JDG_Methane_YMF"&amp;CHAR(10)&amp;A158&amp;"_"&amp;B158&amp;"_"&amp;C158&amp;CHAR(10)&amp;"Mineral Soil - July 2021"</f>
        <v>JDG_Methane_YMF
Ridge_ACRU_Untagged
Mineral Soil - July 2021</v>
      </c>
    </row>
    <row r="159" spans="1:7" x14ac:dyDescent="0.2">
      <c r="A159" t="s">
        <v>26</v>
      </c>
      <c r="B159" t="s">
        <v>8</v>
      </c>
      <c r="C159" t="s">
        <v>24</v>
      </c>
      <c r="D159">
        <v>28</v>
      </c>
      <c r="F159" t="str">
        <f>"JDG_Methane_YMF"&amp;CHAR(10)&amp;A159&amp;"_"&amp;B159&amp;"_"&amp;C159&amp;CHAR(10)&amp;"Organic Soil - July 2021"</f>
        <v>JDG_Methane_YMF
Ridge_ACRU_Untagged
Organic Soil - July 2021</v>
      </c>
      <c r="G159" t="str">
        <f>"JDG_Methane_YMF"&amp;CHAR(10)&amp;A159&amp;"_"&amp;B159&amp;"_"&amp;C159&amp;CHAR(10)&amp;"Mineral Soil - July 2021"</f>
        <v>JDG_Methane_YMF
Ridge_ACRU_Untagged
Mineral Soil - July 2021</v>
      </c>
    </row>
    <row r="160" spans="1:7" x14ac:dyDescent="0.2">
      <c r="A160" t="s">
        <v>26</v>
      </c>
      <c r="B160" t="s">
        <v>8</v>
      </c>
      <c r="C160" t="s">
        <v>24</v>
      </c>
      <c r="D160">
        <v>23.5</v>
      </c>
      <c r="F160" t="str">
        <f>"JDG_Methane_YMF"&amp;CHAR(10)&amp;A160&amp;"_"&amp;B160&amp;"_"&amp;C160&amp;CHAR(10)&amp;"Organic Soil - July 2021"</f>
        <v>JDG_Methane_YMF
Ridge_ACRU_Untagged
Organic Soil - July 2021</v>
      </c>
      <c r="G160" t="str">
        <f>"JDG_Methane_YMF"&amp;CHAR(10)&amp;A160&amp;"_"&amp;B160&amp;"_"&amp;C160&amp;CHAR(10)&amp;"Mineral Soil - July 2021"</f>
        <v>JDG_Methane_YMF
Ridge_ACRU_Untagged
Mineral Soil - July 2021</v>
      </c>
    </row>
    <row r="161" spans="1:7" x14ac:dyDescent="0.2">
      <c r="A161" t="s">
        <v>26</v>
      </c>
      <c r="B161" t="s">
        <v>8</v>
      </c>
      <c r="C161" t="s">
        <v>24</v>
      </c>
      <c r="D161">
        <v>24</v>
      </c>
      <c r="F161" t="str">
        <f>"JDG_Methane_YMF"&amp;CHAR(10)&amp;A161&amp;"_"&amp;B161&amp;"_"&amp;C161&amp;CHAR(10)&amp;"Organic Soil - July 2021"</f>
        <v>JDG_Methane_YMF
Ridge_ACRU_Untagged
Organic Soil - July 2021</v>
      </c>
      <c r="G161" t="str">
        <f>"JDG_Methane_YMF"&amp;CHAR(10)&amp;A161&amp;"_"&amp;B161&amp;"_"&amp;C161&amp;CHAR(10)&amp;"Mineral Soil - July 2021"</f>
        <v>JDG_Methane_YMF
Ridge_ACRU_Untagged
Mineral Soil - July 2021</v>
      </c>
    </row>
    <row r="162" spans="1:7" x14ac:dyDescent="0.2">
      <c r="A162" t="s">
        <v>26</v>
      </c>
      <c r="B162" t="s">
        <v>8</v>
      </c>
      <c r="C162" t="s">
        <v>24</v>
      </c>
      <c r="D162">
        <v>29</v>
      </c>
      <c r="F162" t="str">
        <f>"JDG_Methane_YMF"&amp;CHAR(10)&amp;A162&amp;"_"&amp;B162&amp;"_"&amp;C162&amp;CHAR(10)&amp;"Organic Soil - July 2021"</f>
        <v>JDG_Methane_YMF
Ridge_ACRU_Untagged
Organic Soil - July 2021</v>
      </c>
      <c r="G162" t="str">
        <f>"JDG_Methane_YMF"&amp;CHAR(10)&amp;A162&amp;"_"&amp;B162&amp;"_"&amp;C162&amp;CHAR(10)&amp;"Mineral Soil - July 2021"</f>
        <v>JDG_Methane_YMF
Ridge_ACRU_Untagged
Mineral Soil - July 2021</v>
      </c>
    </row>
    <row r="163" spans="1:7" x14ac:dyDescent="0.2">
      <c r="A163" t="s">
        <v>26</v>
      </c>
      <c r="B163" t="s">
        <v>27</v>
      </c>
      <c r="C163" t="s">
        <v>46</v>
      </c>
      <c r="D163">
        <v>35</v>
      </c>
      <c r="F163" t="str">
        <f>"JDG_Methane_YMF"&amp;CHAR(10)&amp;A163&amp;"_"&amp;B163&amp;"_"&amp;C163&amp;CHAR(10)&amp;"Organic Soil - July 2021"</f>
        <v>JDG_Methane_YMF
Ridge_QURU_RO17
Organic Soil - July 2021</v>
      </c>
      <c r="G163" t="str">
        <f>"JDG_Methane_YMF"&amp;CHAR(10)&amp;A163&amp;"_"&amp;B163&amp;"_"&amp;C163&amp;CHAR(10)&amp;"Mineral Soil - July 2021"</f>
        <v>JDG_Methane_YMF
Ridge_QURU_RO17
Mineral Soil - July 2021</v>
      </c>
    </row>
    <row r="164" spans="1:7" x14ac:dyDescent="0.2">
      <c r="A164" t="s">
        <v>26</v>
      </c>
      <c r="B164" t="s">
        <v>27</v>
      </c>
      <c r="C164" t="s">
        <v>47</v>
      </c>
      <c r="D164">
        <v>42</v>
      </c>
      <c r="F164" t="str">
        <f>"JDG_Methane_YMF"&amp;CHAR(10)&amp;A164&amp;"_"&amp;B164&amp;"_"&amp;C164&amp;CHAR(10)&amp;"Organic Soil - July 2021"</f>
        <v>JDG_Methane_YMF
Ridge_QURU_RO18
Organic Soil - July 2021</v>
      </c>
      <c r="G164" t="str">
        <f>"JDG_Methane_YMF"&amp;CHAR(10)&amp;A164&amp;"_"&amp;B164&amp;"_"&amp;C164&amp;CHAR(10)&amp;"Mineral Soil - July 2021"</f>
        <v>JDG_Methane_YMF
Ridge_QURU_RO18
Mineral Soil - July 2021</v>
      </c>
    </row>
    <row r="165" spans="1:7" x14ac:dyDescent="0.2">
      <c r="A165" t="s">
        <v>26</v>
      </c>
      <c r="B165" t="s">
        <v>27</v>
      </c>
      <c r="C165" t="s">
        <v>24</v>
      </c>
      <c r="D165">
        <v>41.5</v>
      </c>
      <c r="F165" t="str">
        <f>"JDG_Methane_YMF"&amp;CHAR(10)&amp;A165&amp;"_"&amp;B165&amp;"_"&amp;C165&amp;CHAR(10)&amp;"Organic Soil - July 2021"</f>
        <v>JDG_Methane_YMF
Ridge_QURU_Untagged
Organic Soil - July 2021</v>
      </c>
      <c r="G165" t="str">
        <f>"JDG_Methane_YMF"&amp;CHAR(10)&amp;A165&amp;"_"&amp;B165&amp;"_"&amp;C165&amp;CHAR(10)&amp;"Mineral Soil - July 2021"</f>
        <v>JDG_Methane_YMF
Ridge_QURU_Untagged
Mineral Soil - July 2021</v>
      </c>
    </row>
    <row r="166" spans="1:7" x14ac:dyDescent="0.2">
      <c r="A166" t="s">
        <v>26</v>
      </c>
      <c r="B166" t="s">
        <v>27</v>
      </c>
      <c r="C166" t="s">
        <v>24</v>
      </c>
      <c r="D166">
        <v>42.5</v>
      </c>
      <c r="F166" t="str">
        <f>"JDG_Methane_YMF"&amp;CHAR(10)&amp;A166&amp;"_"&amp;B166&amp;"_"&amp;C166&amp;CHAR(10)&amp;"Organic Soil - July 2021"</f>
        <v>JDG_Methane_YMF
Ridge_QURU_Untagged
Organic Soil - July 2021</v>
      </c>
      <c r="G166" t="str">
        <f>"JDG_Methane_YMF"&amp;CHAR(10)&amp;A166&amp;"_"&amp;B166&amp;"_"&amp;C166&amp;CHAR(10)&amp;"Mineral Soil - July 2021"</f>
        <v>JDG_Methane_YMF
Ridge_QURU_Untagged
Mineral Soil - July 2021</v>
      </c>
    </row>
    <row r="167" spans="1:7" x14ac:dyDescent="0.2">
      <c r="A167" t="s">
        <v>26</v>
      </c>
      <c r="B167" t="s">
        <v>27</v>
      </c>
      <c r="C167" t="s">
        <v>24</v>
      </c>
      <c r="D167">
        <v>50.5</v>
      </c>
      <c r="F167" t="str">
        <f>"JDG_Methane_YMF"&amp;CHAR(10)&amp;A167&amp;"_"&amp;B167&amp;"_"&amp;C167&amp;CHAR(10)&amp;"Organic Soil - July 2021"</f>
        <v>JDG_Methane_YMF
Ridge_QURU_Untagged
Organic Soil - July 2021</v>
      </c>
      <c r="G167" t="str">
        <f>"JDG_Methane_YMF"&amp;CHAR(10)&amp;A167&amp;"_"&amp;B167&amp;"_"&amp;C167&amp;CHAR(10)&amp;"Mineral Soil - July 2021"</f>
        <v>JDG_Methane_YMF
Ridge_QURU_Untagged
Mineral Soil - July 2021</v>
      </c>
    </row>
    <row r="168" spans="1:7" x14ac:dyDescent="0.2">
      <c r="A168" t="s">
        <v>26</v>
      </c>
      <c r="B168" t="s">
        <v>27</v>
      </c>
      <c r="C168" t="s">
        <v>24</v>
      </c>
      <c r="D168">
        <v>35.5</v>
      </c>
      <c r="F168" t="str">
        <f>"JDG_Methane_YMF"&amp;CHAR(10)&amp;A168&amp;"_"&amp;B168&amp;"_"&amp;C168&amp;CHAR(10)&amp;"Organic Soil - July 2021"</f>
        <v>JDG_Methane_YMF
Ridge_QURU_Untagged
Organic Soil - July 2021</v>
      </c>
      <c r="G168" t="str">
        <f>"JDG_Methane_YMF"&amp;CHAR(10)&amp;A168&amp;"_"&amp;B168&amp;"_"&amp;C168&amp;CHAR(10)&amp;"Mineral Soil - July 2021"</f>
        <v>JDG_Methane_YMF
Ridge_QURU_Untagged
Mineral Soil - July 2021</v>
      </c>
    </row>
    <row r="169" spans="1:7" x14ac:dyDescent="0.2">
      <c r="A169" t="s">
        <v>26</v>
      </c>
      <c r="B169" t="s">
        <v>27</v>
      </c>
      <c r="C169" t="s">
        <v>24</v>
      </c>
      <c r="D169">
        <v>27</v>
      </c>
      <c r="F169" t="str">
        <f>"JDG_Methane_YMF"&amp;CHAR(10)&amp;A169&amp;"_"&amp;B169&amp;"_"&amp;C169&amp;CHAR(10)&amp;"Organic Soil - July 2021"</f>
        <v>JDG_Methane_YMF
Ridge_QURU_Untagged
Organic Soil - July 2021</v>
      </c>
      <c r="G169" t="str">
        <f>"JDG_Methane_YMF"&amp;CHAR(10)&amp;A169&amp;"_"&amp;B169&amp;"_"&amp;C169&amp;CHAR(10)&amp;"Mineral Soil - July 2021"</f>
        <v>JDG_Methane_YMF
Ridge_QURU_Untagged
Mineral Soil - July 2021</v>
      </c>
    </row>
    <row r="170" spans="1:7" x14ac:dyDescent="0.2">
      <c r="A170" t="s">
        <v>26</v>
      </c>
      <c r="B170" t="s">
        <v>27</v>
      </c>
      <c r="C170" t="s">
        <v>24</v>
      </c>
      <c r="D170">
        <v>45</v>
      </c>
      <c r="F170" t="str">
        <f>"JDG_Methane_YMF"&amp;CHAR(10)&amp;A170&amp;"_"&amp;B170&amp;"_"&amp;C170&amp;CHAR(10)&amp;"Organic Soil - July 2021"</f>
        <v>JDG_Methane_YMF
Ridge_QURU_Untagged
Organic Soil - July 2021</v>
      </c>
      <c r="G170" t="str">
        <f>"JDG_Methane_YMF"&amp;CHAR(10)&amp;A170&amp;"_"&amp;B170&amp;"_"&amp;C170&amp;CHAR(10)&amp;"Mineral Soil - July 2021"</f>
        <v>JDG_Methane_YMF
Ridge_QURU_Untagged
Mineral Soil - July 2021</v>
      </c>
    </row>
    <row r="171" spans="1:7" x14ac:dyDescent="0.2">
      <c r="A171" t="s">
        <v>26</v>
      </c>
      <c r="B171" t="s">
        <v>49</v>
      </c>
      <c r="C171" t="s">
        <v>65</v>
      </c>
      <c r="D171">
        <v>41</v>
      </c>
      <c r="E171" t="s">
        <v>26</v>
      </c>
      <c r="F171" t="str">
        <f>"JDG_Methane_YMF"&amp;CHAR(10)&amp;A171&amp;"_"&amp;B171&amp;"_"&amp;C171&amp;CHAR(10)&amp;"Organic Soil - July 2021"</f>
        <v>JDG_Methane_YMF
Ridge_ACSA_SMR1
Organic Soil - July 2021</v>
      </c>
      <c r="G171" t="str">
        <f>"JDG_Methane_YMF"&amp;CHAR(10)&amp;A171&amp;"_"&amp;B171&amp;"_"&amp;C171&amp;CHAR(10)&amp;"Mineral Soil - July 2021"</f>
        <v>JDG_Methane_YMF
Ridge_ACSA_SMR1
Mineral Soil - July 2021</v>
      </c>
    </row>
    <row r="172" spans="1:7" x14ac:dyDescent="0.2">
      <c r="A172" t="s">
        <v>26</v>
      </c>
      <c r="B172" t="s">
        <v>66</v>
      </c>
      <c r="C172" t="s">
        <v>76</v>
      </c>
      <c r="D172">
        <v>31.5</v>
      </c>
      <c r="F172" t="str">
        <f>"JDG_Methane_YMF"&amp;CHAR(10)&amp;A172&amp;"_"&amp;B172&amp;"_"&amp;C172&amp;CHAR(10)&amp;"Organic Soil - July 2021"</f>
        <v>JDG_Methane_YMF
Ridge_BELE_BB5
Organic Soil - July 2021</v>
      </c>
      <c r="G172" t="str">
        <f>"JDG_Methane_YMF"&amp;CHAR(10)&amp;A172&amp;"_"&amp;B172&amp;"_"&amp;C172&amp;CHAR(10)&amp;"Mineral Soil - July 2021"</f>
        <v>JDG_Methane_YMF
Ridge_BELE_BB5
Mineral Soil - July 2021</v>
      </c>
    </row>
    <row r="173" spans="1:7" x14ac:dyDescent="0.2">
      <c r="A173" t="s">
        <v>26</v>
      </c>
      <c r="B173" t="s">
        <v>66</v>
      </c>
      <c r="C173" t="s">
        <v>77</v>
      </c>
      <c r="D173">
        <v>29.5</v>
      </c>
      <c r="F173" t="str">
        <f>"JDG_Methane_YMF"&amp;CHAR(10)&amp;A173&amp;"_"&amp;B173&amp;"_"&amp;C173&amp;CHAR(10)&amp;"Organic Soil - July 2021"</f>
        <v>JDG_Methane_YMF
Ridge_BELE_BB6
Organic Soil - July 2021</v>
      </c>
      <c r="G173" t="str">
        <f>"JDG_Methane_YMF"&amp;CHAR(10)&amp;A173&amp;"_"&amp;B173&amp;"_"&amp;C173&amp;CHAR(10)&amp;"Mineral Soil - July 2021"</f>
        <v>JDG_Methane_YMF
Ridge_BELE_BB6
Mineral Soil - July 2021</v>
      </c>
    </row>
    <row r="174" spans="1:7" x14ac:dyDescent="0.2">
      <c r="A174" t="s">
        <v>26</v>
      </c>
      <c r="B174" t="s">
        <v>66</v>
      </c>
      <c r="C174" t="s">
        <v>78</v>
      </c>
      <c r="D174">
        <v>22.5</v>
      </c>
      <c r="F174" t="str">
        <f>"JDG_Methane_YMF"&amp;CHAR(10)&amp;A174&amp;"_"&amp;B174&amp;"_"&amp;C174&amp;CHAR(10)&amp;"Organic Soil - July 2021"</f>
        <v>JDG_Methane_YMF
Ridge_BELE_BB8
Organic Soil - July 2021</v>
      </c>
      <c r="G174" t="str">
        <f>"JDG_Methane_YMF"&amp;CHAR(10)&amp;A174&amp;"_"&amp;B174&amp;"_"&amp;C174&amp;CHAR(10)&amp;"Mineral Soil - July 2021"</f>
        <v>JDG_Methane_YMF
Ridge_BELE_BB8
Mineral Soil - July 2021</v>
      </c>
    </row>
    <row r="175" spans="1:7" x14ac:dyDescent="0.2">
      <c r="A175" t="s">
        <v>26</v>
      </c>
      <c r="B175" t="s">
        <v>66</v>
      </c>
      <c r="C175" t="s">
        <v>79</v>
      </c>
      <c r="D175">
        <v>32</v>
      </c>
      <c r="F175" t="str">
        <f>"JDG_Methane_YMF"&amp;CHAR(10)&amp;A175&amp;"_"&amp;B175&amp;"_"&amp;C175&amp;CHAR(10)&amp;"Organic Soil - July 2021"</f>
        <v>JDG_Methane_YMF
Ridge_BELE_BB7
Organic Soil - July 2021</v>
      </c>
      <c r="G175" t="str">
        <f>"JDG_Methane_YMF"&amp;CHAR(10)&amp;A175&amp;"_"&amp;B175&amp;"_"&amp;C175&amp;CHAR(10)&amp;"Mineral Soil - July 2021"</f>
        <v>JDG_Methane_YMF
Ridge_BELE_BB7
Mineral Soil - July 2021</v>
      </c>
    </row>
    <row r="176" spans="1:7" x14ac:dyDescent="0.2">
      <c r="A176" t="s">
        <v>26</v>
      </c>
      <c r="B176" t="s">
        <v>66</v>
      </c>
      <c r="C176" t="s">
        <v>80</v>
      </c>
      <c r="D176">
        <v>34</v>
      </c>
      <c r="F176" t="str">
        <f>"JDG_Methane_YMF"&amp;CHAR(10)&amp;A176&amp;"_"&amp;B176&amp;"_"&amp;C176&amp;CHAR(10)&amp;"Organic Soil - July 2021"</f>
        <v>JDG_Methane_YMF
Ridge_BELE_BB9
Organic Soil - July 2021</v>
      </c>
      <c r="G176" t="str">
        <f>"JDG_Methane_YMF"&amp;CHAR(10)&amp;A176&amp;"_"&amp;B176&amp;"_"&amp;C176&amp;CHAR(10)&amp;"Mineral Soil - July 2021"</f>
        <v>JDG_Methane_YMF
Ridge_BELE_BB9
Mineral Soil - July 2021</v>
      </c>
    </row>
    <row r="177" spans="1:7" x14ac:dyDescent="0.2">
      <c r="A177" t="s">
        <v>26</v>
      </c>
      <c r="B177" t="s">
        <v>66</v>
      </c>
      <c r="C177" t="s">
        <v>81</v>
      </c>
      <c r="D177">
        <v>28.5</v>
      </c>
      <c r="F177" t="str">
        <f>"JDG_Methane_YMF"&amp;CHAR(10)&amp;A177&amp;"_"&amp;B177&amp;"_"&amp;C177&amp;CHAR(10)&amp;"Organic Soil - July 2021"</f>
        <v>JDG_Methane_YMF
Ridge_BELE_BB10
Organic Soil - July 2021</v>
      </c>
      <c r="G177" t="str">
        <f>"JDG_Methane_YMF"&amp;CHAR(10)&amp;A177&amp;"_"&amp;B177&amp;"_"&amp;C177&amp;CHAR(10)&amp;"Mineral Soil - July 2021"</f>
        <v>JDG_Methane_YMF
Ridge_BELE_BB10
Mineral Soil - July 2021</v>
      </c>
    </row>
    <row r="178" spans="1:7" x14ac:dyDescent="0.2">
      <c r="A178" t="s">
        <v>26</v>
      </c>
      <c r="B178" t="s">
        <v>66</v>
      </c>
      <c r="C178" t="s">
        <v>82</v>
      </c>
      <c r="D178">
        <v>29</v>
      </c>
      <c r="F178" t="str">
        <f>"JDG_Methane_YMF"&amp;CHAR(10)&amp;A178&amp;"_"&amp;B178&amp;"_"&amp;C178&amp;CHAR(10)&amp;"Organic Soil - July 2021"</f>
        <v>JDG_Methane_YMF
Ridge_BELE_BB10'
Organic Soil - July 2021</v>
      </c>
      <c r="G178" t="str">
        <f>"JDG_Methane_YMF"&amp;CHAR(10)&amp;A178&amp;"_"&amp;B178&amp;"_"&amp;C178&amp;CHAR(10)&amp;"Mineral Soil - July 2021"</f>
        <v>JDG_Methane_YMF
Ridge_BELE_BB10'
Mineral Soil - July 2021</v>
      </c>
    </row>
    <row r="179" spans="1:7" x14ac:dyDescent="0.2">
      <c r="A179" t="s">
        <v>26</v>
      </c>
      <c r="B179" t="s">
        <v>66</v>
      </c>
      <c r="C179" t="s">
        <v>83</v>
      </c>
      <c r="D179">
        <v>31.5</v>
      </c>
      <c r="F179" t="str">
        <f>"JDG_Methane_YMF"&amp;CHAR(10)&amp;A179&amp;"_"&amp;B179&amp;"_"&amp;C179&amp;CHAR(10)&amp;"Organic Soil - July 2021"</f>
        <v>JDG_Methane_YMF
Ridge_BELE_BB11
Organic Soil - July 2021</v>
      </c>
      <c r="G179" t="str">
        <f>"JDG_Methane_YMF"&amp;CHAR(10)&amp;A179&amp;"_"&amp;B179&amp;"_"&amp;C179&amp;CHAR(10)&amp;"Mineral Soil - July 2021"</f>
        <v>JDG_Methane_YMF
Ridge_BELE_BB11
Mineral Soil - July 2021</v>
      </c>
    </row>
    <row r="180" spans="1:7" x14ac:dyDescent="0.2">
      <c r="A180" t="s">
        <v>26</v>
      </c>
      <c r="B180" t="s">
        <v>66</v>
      </c>
      <c r="C180" t="s">
        <v>84</v>
      </c>
      <c r="D180">
        <v>26.5</v>
      </c>
      <c r="F180" t="str">
        <f>"JDG_Methane_YMF"&amp;CHAR(10)&amp;A180&amp;"_"&amp;B180&amp;"_"&amp;C180&amp;CHAR(10)&amp;"Organic Soil - July 2021"</f>
        <v>JDG_Methane_YMF
Ridge_BELE_BB12
Organic Soil - July 2021</v>
      </c>
      <c r="G180" t="str">
        <f>"JDG_Methane_YMF"&amp;CHAR(10)&amp;A180&amp;"_"&amp;B180&amp;"_"&amp;C180&amp;CHAR(10)&amp;"Mineral Soil - July 2021"</f>
        <v>JDG_Methane_YMF
Ridge_BELE_BB12
Mineral Soil - July 2021</v>
      </c>
    </row>
    <row r="181" spans="1:7" x14ac:dyDescent="0.2">
      <c r="A181" t="s">
        <v>26</v>
      </c>
      <c r="B181" t="s">
        <v>66</v>
      </c>
      <c r="C181" t="s">
        <v>85</v>
      </c>
      <c r="D181">
        <v>31</v>
      </c>
      <c r="F181" t="str">
        <f>"JDG_Methane_YMF"&amp;CHAR(10)&amp;A181&amp;"_"&amp;B181&amp;"_"&amp;C181&amp;CHAR(10)&amp;"Organic Soil - July 2021"</f>
        <v>JDG_Methane_YMF
Ridge_BELE_BB13
Organic Soil - July 2021</v>
      </c>
      <c r="G181" t="str">
        <f>"JDG_Methane_YMF"&amp;CHAR(10)&amp;A181&amp;"_"&amp;B181&amp;"_"&amp;C181&amp;CHAR(10)&amp;"Mineral Soil - July 2021"</f>
        <v>JDG_Methane_YMF
Ridge_BELE_BB13
Mineral Soil - July 2021</v>
      </c>
    </row>
    <row r="182" spans="1:7" x14ac:dyDescent="0.2">
      <c r="A182" t="s">
        <v>26</v>
      </c>
      <c r="B182" t="s">
        <v>66</v>
      </c>
      <c r="C182" t="s">
        <v>86</v>
      </c>
      <c r="D182">
        <v>24.5</v>
      </c>
      <c r="F182" t="str">
        <f>"JDG_Methane_YMF"&amp;CHAR(10)&amp;A182&amp;"_"&amp;B182&amp;"_"&amp;C182&amp;CHAR(10)&amp;"Organic Soil - July 2021"</f>
        <v>JDG_Methane_YMF
Ridge_BELE_BB14
Organic Soil - July 2021</v>
      </c>
      <c r="G182" t="str">
        <f>"JDG_Methane_YMF"&amp;CHAR(10)&amp;A182&amp;"_"&amp;B182&amp;"_"&amp;C182&amp;CHAR(10)&amp;"Mineral Soil - July 2021"</f>
        <v>JDG_Methane_YMF
Ridge_BELE_BB14
Mineral Soil - July 2021</v>
      </c>
    </row>
    <row r="183" spans="1:7" x14ac:dyDescent="0.2">
      <c r="A183" t="s">
        <v>26</v>
      </c>
      <c r="B183" t="s">
        <v>66</v>
      </c>
      <c r="C183" t="s">
        <v>87</v>
      </c>
      <c r="D183">
        <v>33.5</v>
      </c>
      <c r="F183" t="str">
        <f>"JDG_Methane_YMF"&amp;CHAR(10)&amp;A183&amp;"_"&amp;B183&amp;"_"&amp;C183&amp;CHAR(10)&amp;"Organic Soil - July 2021"</f>
        <v>JDG_Methane_YMF
Ridge_BELE_BB16
Organic Soil - July 2021</v>
      </c>
      <c r="G183" t="str">
        <f>"JDG_Methane_YMF"&amp;CHAR(10)&amp;A183&amp;"_"&amp;B183&amp;"_"&amp;C183&amp;CHAR(10)&amp;"Mineral Soil - July 2021"</f>
        <v>JDG_Methane_YMF
Ridge_BELE_BB16
Mineral Soil - July 2021</v>
      </c>
    </row>
    <row r="184" spans="1:7" x14ac:dyDescent="0.2">
      <c r="A184" t="s">
        <v>26</v>
      </c>
      <c r="B184" t="s">
        <v>66</v>
      </c>
      <c r="C184" t="s">
        <v>88</v>
      </c>
      <c r="D184">
        <v>25</v>
      </c>
      <c r="F184" t="str">
        <f>"JDG_Methane_YMF"&amp;CHAR(10)&amp;A184&amp;"_"&amp;B184&amp;"_"&amp;C184&amp;CHAR(10)&amp;"Organic Soil - July 2021"</f>
        <v>JDG_Methane_YMF
Ridge_BELE_BB16'
Organic Soil - July 2021</v>
      </c>
      <c r="G184" t="str">
        <f>"JDG_Methane_YMF"&amp;CHAR(10)&amp;A184&amp;"_"&amp;B184&amp;"_"&amp;C184&amp;CHAR(10)&amp;"Mineral Soil - July 2021"</f>
        <v>JDG_Methane_YMF
Ridge_BELE_BB16'
Mineral Soil - July 2021</v>
      </c>
    </row>
    <row r="185" spans="1:7" x14ac:dyDescent="0.2">
      <c r="A185" t="s">
        <v>26</v>
      </c>
      <c r="B185" t="s">
        <v>113</v>
      </c>
      <c r="C185" t="s">
        <v>128</v>
      </c>
      <c r="D185">
        <v>20</v>
      </c>
      <c r="F185" t="str">
        <f>"JDG_Methane_YMF"&amp;CHAR(10)&amp;A185&amp;"_"&amp;B185&amp;"_"&amp;C185&amp;CHAR(10)&amp;"Organic Soil - July 2021"</f>
        <v>JDG_Methane_YMF
Ridge_FAGR_AB10
Organic Soil - July 2021</v>
      </c>
      <c r="G185" t="str">
        <f>"JDG_Methane_YMF"&amp;CHAR(10)&amp;A185&amp;"_"&amp;B185&amp;"_"&amp;C185&amp;CHAR(10)&amp;"Mineral Soil - July 2021"</f>
        <v>JDG_Methane_YMF
Ridge_FAGR_AB10
Mineral Soil - July 2021</v>
      </c>
    </row>
    <row r="186" spans="1:7" x14ac:dyDescent="0.2">
      <c r="A186" t="s">
        <v>26</v>
      </c>
      <c r="B186" t="s">
        <v>113</v>
      </c>
      <c r="C186" t="s">
        <v>129</v>
      </c>
      <c r="D186">
        <v>20.5</v>
      </c>
      <c r="F186" t="str">
        <f>"JDG_Methane_YMF"&amp;CHAR(10)&amp;A186&amp;"_"&amp;B186&amp;"_"&amp;C186&amp;CHAR(10)&amp;"Organic Soil - July 2021"</f>
        <v>JDG_Methane_YMF
Ridge_FAGR_AB9
Organic Soil - July 2021</v>
      </c>
      <c r="G186" t="str">
        <f>"JDG_Methane_YMF"&amp;CHAR(10)&amp;A186&amp;"_"&amp;B186&amp;"_"&amp;C186&amp;CHAR(10)&amp;"Mineral Soil - July 2021"</f>
        <v>JDG_Methane_YMF
Ridge_FAGR_AB9
Mineral Soil - July 2021</v>
      </c>
    </row>
    <row r="187" spans="1:7" x14ac:dyDescent="0.2">
      <c r="A187" t="s">
        <v>26</v>
      </c>
      <c r="B187" t="s">
        <v>113</v>
      </c>
      <c r="C187" t="s">
        <v>130</v>
      </c>
      <c r="D187">
        <v>25.5</v>
      </c>
      <c r="F187" t="str">
        <f>"JDG_Methane_YMF"&amp;CHAR(10)&amp;A187&amp;"_"&amp;B187&amp;"_"&amp;C187&amp;CHAR(10)&amp;"Organic Soil - July 2021"</f>
        <v>JDG_Methane_YMF
Ridge_FAGR_AB11
Organic Soil - July 2021</v>
      </c>
      <c r="G187" t="str">
        <f>"JDG_Methane_YMF"&amp;CHAR(10)&amp;A187&amp;"_"&amp;B187&amp;"_"&amp;C187&amp;CHAR(10)&amp;"Mineral Soil - July 2021"</f>
        <v>JDG_Methane_YMF
Ridge_FAGR_AB11
Mineral Soil - July 2021</v>
      </c>
    </row>
    <row r="188" spans="1:7" x14ac:dyDescent="0.2">
      <c r="A188" t="s">
        <v>26</v>
      </c>
      <c r="B188" t="s">
        <v>131</v>
      </c>
      <c r="C188" t="s">
        <v>24</v>
      </c>
      <c r="D188">
        <v>68.5</v>
      </c>
      <c r="F188" t="str">
        <f>"JDG_Methane_YMF"&amp;CHAR(10)&amp;A188&amp;"_"&amp;B188&amp;"_"&amp;C188&amp;CHAR(10)&amp;"Organic Soil - July 2021"</f>
        <v>JDG_Methane_YMF
Ridge_PIST_Untagged
Organic Soil - July 2021</v>
      </c>
      <c r="G188" t="str">
        <f>"JDG_Methane_YMF"&amp;CHAR(10)&amp;A188&amp;"_"&amp;B188&amp;"_"&amp;C188&amp;CHAR(10)&amp;"Mineral Soil - July 2021"</f>
        <v>JDG_Methane_YMF
Ridge_PIST_Untagged
Mineral Soil - July 2021</v>
      </c>
    </row>
    <row r="189" spans="1:7" x14ac:dyDescent="0.2">
      <c r="A189" t="s">
        <v>26</v>
      </c>
      <c r="B189" t="s">
        <v>131</v>
      </c>
      <c r="C189" t="s">
        <v>24</v>
      </c>
      <c r="D189">
        <v>45</v>
      </c>
      <c r="F189" t="str">
        <f>"JDG_Methane_YMF"&amp;CHAR(10)&amp;A189&amp;"_"&amp;B189&amp;"_"&amp;C189&amp;CHAR(10)&amp;"Organic Soil - July 2021"</f>
        <v>JDG_Methane_YMF
Ridge_PIST_Untagged
Organic Soil - July 2021</v>
      </c>
      <c r="G189" t="str">
        <f>"JDG_Methane_YMF"&amp;CHAR(10)&amp;A189&amp;"_"&amp;B189&amp;"_"&amp;C189&amp;CHAR(10)&amp;"Mineral Soil - July 2021"</f>
        <v>JDG_Methane_YMF
Ridge_PIST_Untagged
Mineral Soil - July 2021</v>
      </c>
    </row>
    <row r="190" spans="1:7" x14ac:dyDescent="0.2">
      <c r="A190" t="s">
        <v>26</v>
      </c>
      <c r="B190" t="s">
        <v>131</v>
      </c>
      <c r="C190" t="s">
        <v>24</v>
      </c>
      <c r="D190">
        <v>46</v>
      </c>
      <c r="F190" t="str">
        <f>"JDG_Methane_YMF"&amp;CHAR(10)&amp;A190&amp;"_"&amp;B190&amp;"_"&amp;C190&amp;CHAR(10)&amp;"Organic Soil - July 2021"</f>
        <v>JDG_Methane_YMF
Ridge_PIST_Untagged
Organic Soil - July 2021</v>
      </c>
      <c r="G190" t="str">
        <f>"JDG_Methane_YMF"&amp;CHAR(10)&amp;A190&amp;"_"&amp;B190&amp;"_"&amp;C190&amp;CHAR(10)&amp;"Mineral Soil - July 2021"</f>
        <v>JDG_Methane_YMF
Ridge_PIST_Untagged
Mineral Soil - July 2021</v>
      </c>
    </row>
    <row r="191" spans="1:7" x14ac:dyDescent="0.2">
      <c r="A191" t="s">
        <v>26</v>
      </c>
      <c r="B191" t="s">
        <v>131</v>
      </c>
      <c r="C191" t="s">
        <v>24</v>
      </c>
      <c r="D191">
        <v>46</v>
      </c>
      <c r="F191" t="str">
        <f>"JDG_Methane_YMF"&amp;CHAR(10)&amp;A191&amp;"_"&amp;B191&amp;"_"&amp;C191&amp;CHAR(10)&amp;"Organic Soil - July 2021"</f>
        <v>JDG_Methane_YMF
Ridge_PIST_Untagged
Organic Soil - July 2021</v>
      </c>
      <c r="G191" t="str">
        <f>"JDG_Methane_YMF"&amp;CHAR(10)&amp;A191&amp;"_"&amp;B191&amp;"_"&amp;C191&amp;CHAR(10)&amp;"Mineral Soil - July 2021"</f>
        <v>JDG_Methane_YMF
Ridge_PIST_Untagged
Mineral Soil - July 2021</v>
      </c>
    </row>
    <row r="192" spans="1:7" x14ac:dyDescent="0.2">
      <c r="A192" t="s">
        <v>26</v>
      </c>
      <c r="B192" t="s">
        <v>131</v>
      </c>
      <c r="C192" t="s">
        <v>24</v>
      </c>
      <c r="D192">
        <v>23</v>
      </c>
      <c r="F192" t="str">
        <f>"JDG_Methane_YMF"&amp;CHAR(10)&amp;A192&amp;"_"&amp;B192&amp;"_"&amp;C192&amp;CHAR(10)&amp;"Organic Soil - July 2021"</f>
        <v>JDG_Methane_YMF
Ridge_PIST_Untagged
Organic Soil - July 2021</v>
      </c>
      <c r="G192" t="str">
        <f>"JDG_Methane_YMF"&amp;CHAR(10)&amp;A192&amp;"_"&amp;B192&amp;"_"&amp;C192&amp;CHAR(10)&amp;"Mineral Soil - July 2021"</f>
        <v>JDG_Methane_YMF
Ridge_PIST_Untagged
Mineral Soil - July 2021</v>
      </c>
    </row>
    <row r="193" spans="1:7" x14ac:dyDescent="0.2">
      <c r="A193" t="s">
        <v>26</v>
      </c>
      <c r="B193" t="s">
        <v>131</v>
      </c>
      <c r="C193" t="s">
        <v>24</v>
      </c>
      <c r="D193">
        <v>33.5</v>
      </c>
      <c r="F193" t="str">
        <f>"JDG_Methane_YMF"&amp;CHAR(10)&amp;A193&amp;"_"&amp;B193&amp;"_"&amp;C193&amp;CHAR(10)&amp;"Organic Soil - July 2021"</f>
        <v>JDG_Methane_YMF
Ridge_PIST_Untagged
Organic Soil - July 2021</v>
      </c>
      <c r="G193" t="str">
        <f>"JDG_Methane_YMF"&amp;CHAR(10)&amp;A193&amp;"_"&amp;B193&amp;"_"&amp;C193&amp;CHAR(10)&amp;"Mineral Soil - July 2021"</f>
        <v>JDG_Methane_YMF
Ridge_PIST_Untagged
Mineral Soil - July 2021</v>
      </c>
    </row>
    <row r="194" spans="1:7" x14ac:dyDescent="0.2">
      <c r="A194" t="s">
        <v>26</v>
      </c>
      <c r="B194" t="s">
        <v>153</v>
      </c>
      <c r="C194" t="s">
        <v>24</v>
      </c>
      <c r="D194">
        <v>35</v>
      </c>
      <c r="F194" t="str">
        <f>"JDG_Methane_YMF"&amp;CHAR(10)&amp;A194&amp;"_"&amp;B194&amp;"_"&amp;C194&amp;CHAR(10)&amp;"Organic Soil - July 2021"</f>
        <v>JDG_Methane_YMF
Ridge_TSCA_Untagged
Organic Soil - July 2021</v>
      </c>
      <c r="G194" t="str">
        <f>"JDG_Methane_YMF"&amp;CHAR(10)&amp;A194&amp;"_"&amp;B194&amp;"_"&amp;C194&amp;CHAR(10)&amp;"Mineral Soil - July 2021"</f>
        <v>JDG_Methane_YMF
Ridge_TSCA_Untagged
Mineral Soil - July 2021</v>
      </c>
    </row>
    <row r="195" spans="1:7" x14ac:dyDescent="0.2">
      <c r="A195" t="s">
        <v>26</v>
      </c>
      <c r="B195" t="s">
        <v>153</v>
      </c>
      <c r="C195" t="s">
        <v>24</v>
      </c>
      <c r="D195">
        <v>68</v>
      </c>
      <c r="F195" t="str">
        <f>"JDG_Methane_YMF"&amp;CHAR(10)&amp;A195&amp;"_"&amp;B195&amp;"_"&amp;C195&amp;CHAR(10)&amp;"Organic Soil - July 2021"</f>
        <v>JDG_Methane_YMF
Ridge_TSCA_Untagged
Organic Soil - July 2021</v>
      </c>
      <c r="G195" t="str">
        <f>"JDG_Methane_YMF"&amp;CHAR(10)&amp;A195&amp;"_"&amp;B195&amp;"_"&amp;C195&amp;CHAR(10)&amp;"Mineral Soil - July 2021"</f>
        <v>JDG_Methane_YMF
Ridge_TSCA_Untagged
Mineral Soil - July 2021</v>
      </c>
    </row>
    <row r="196" spans="1:7" x14ac:dyDescent="0.2">
      <c r="A196" t="s">
        <v>26</v>
      </c>
      <c r="B196" t="s">
        <v>153</v>
      </c>
      <c r="C196" t="s">
        <v>24</v>
      </c>
      <c r="D196">
        <v>23</v>
      </c>
      <c r="F196" t="str">
        <f>"JDG_Methane_YMF"&amp;CHAR(10)&amp;A196&amp;"_"&amp;B196&amp;"_"&amp;C196&amp;CHAR(10)&amp;"Organic Soil - July 2021"</f>
        <v>JDG_Methane_YMF
Ridge_TSCA_Untagged
Organic Soil - July 2021</v>
      </c>
      <c r="G196" t="str">
        <f>"JDG_Methane_YMF"&amp;CHAR(10)&amp;A196&amp;"_"&amp;B196&amp;"_"&amp;C196&amp;CHAR(10)&amp;"Mineral Soil - July 2021"</f>
        <v>JDG_Methane_YMF
Ridge_TSCA_Untagged
Mineral Soil - July 2021</v>
      </c>
    </row>
    <row r="197" spans="1:7" x14ac:dyDescent="0.2">
      <c r="A197" t="s">
        <v>26</v>
      </c>
      <c r="B197" t="s">
        <v>153</v>
      </c>
      <c r="C197" t="s">
        <v>24</v>
      </c>
      <c r="D197">
        <v>28.5</v>
      </c>
      <c r="F197" t="str">
        <f>"JDG_Methane_YMF"&amp;CHAR(10)&amp;A197&amp;"_"&amp;B197&amp;"_"&amp;C197&amp;CHAR(10)&amp;"Organic Soil - July 2021"</f>
        <v>JDG_Methane_YMF
Ridge_TSCA_Untagged
Organic Soil - July 2021</v>
      </c>
      <c r="G197" t="str">
        <f>"JDG_Methane_YMF"&amp;CHAR(10)&amp;A197&amp;"_"&amp;B197&amp;"_"&amp;C197&amp;CHAR(10)&amp;"Mineral Soil - July 2021"</f>
        <v>JDG_Methane_YMF
Ridge_TSCA_Untagged
Mineral Soil - July 2021</v>
      </c>
    </row>
    <row r="198" spans="1:7" x14ac:dyDescent="0.2">
      <c r="A198" t="s">
        <v>26</v>
      </c>
      <c r="B198" t="s">
        <v>153</v>
      </c>
      <c r="C198" t="s">
        <v>24</v>
      </c>
      <c r="D198">
        <v>23</v>
      </c>
      <c r="F198" t="str">
        <f>"JDG_Methane_YMF"&amp;CHAR(10)&amp;A198&amp;"_"&amp;B198&amp;"_"&amp;C198&amp;CHAR(10)&amp;"Organic Soil - July 2021"</f>
        <v>JDG_Methane_YMF
Ridge_TSCA_Untagged
Organic Soil - July 2021</v>
      </c>
      <c r="G198" t="str">
        <f>"JDG_Methane_YMF"&amp;CHAR(10)&amp;A198&amp;"_"&amp;B198&amp;"_"&amp;C198&amp;CHAR(10)&amp;"Mineral Soil - July 2021"</f>
        <v>JDG_Methane_YMF
Ridge_TSCA_Untagged
Mineral Soil - July 2021</v>
      </c>
    </row>
    <row r="199" spans="1:7" x14ac:dyDescent="0.2">
      <c r="A199" t="s">
        <v>26</v>
      </c>
      <c r="B199" t="s">
        <v>153</v>
      </c>
      <c r="C199" t="s">
        <v>24</v>
      </c>
      <c r="D199">
        <v>32</v>
      </c>
      <c r="F199" t="str">
        <f>"JDG_Methane_YMF"&amp;CHAR(10)&amp;A199&amp;"_"&amp;B199&amp;"_"&amp;C199&amp;CHAR(10)&amp;"Organic Soil - July 2021"</f>
        <v>JDG_Methane_YMF
Ridge_TSCA_Untagged
Organic Soil - July 2021</v>
      </c>
      <c r="G199" t="str">
        <f>"JDG_Methane_YMF"&amp;CHAR(10)&amp;A199&amp;"_"&amp;B199&amp;"_"&amp;C199&amp;CHAR(10)&amp;"Mineral Soil - July 2021"</f>
        <v>JDG_Methane_YMF
Ridge_TSCA_Untagged
Mineral Soil - July 2021</v>
      </c>
    </row>
    <row r="200" spans="1:7" x14ac:dyDescent="0.2">
      <c r="A200" t="s">
        <v>26</v>
      </c>
      <c r="B200" t="s">
        <v>191</v>
      </c>
      <c r="C200" t="s">
        <v>203</v>
      </c>
      <c r="D200">
        <v>31</v>
      </c>
      <c r="F200" t="str">
        <f>"JDG_Methane_YMF"&amp;CHAR(10)&amp;A200&amp;"_"&amp;B200&amp;"_"&amp;C200&amp;CHAR(10)&amp;"Organic Soil - July 2021"</f>
        <v>JDG_Methane_YMF
Ridge_PRSE_BC2
Organic Soil - July 2021</v>
      </c>
      <c r="G200" t="str">
        <f>"JDG_Methane_YMF"&amp;CHAR(10)&amp;A200&amp;"_"&amp;B200&amp;"_"&amp;C200&amp;CHAR(10)&amp;"Mineral Soil - July 2021"</f>
        <v>JDG_Methane_YMF
Ridge_PRSE_BC2
Mineral Soil - July 2021</v>
      </c>
    </row>
    <row r="201" spans="1:7" hidden="1" x14ac:dyDescent="0.2"/>
  </sheetData>
  <autoFilter ref="A1:A201" xr:uid="{347D8BEF-46B5-DD4F-B2DD-124CD6C3BBCC}">
    <filterColumn colId="0">
      <filters>
        <filter val="Ridge"/>
      </filters>
    </filterColumn>
  </autoFilter>
  <sortState ref="A2:G200">
    <sortCondition ref="A1"/>
  </sortState>
  <pageMargins left="0.7" right="0.7" top="0.75" bottom="0.75" header="0.3" footer="0.3"/>
  <pageSetup scale="67" fitToHeight="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2021-07-08T12:53:24Z</cp:lastPrinted>
  <dcterms:created xsi:type="dcterms:W3CDTF">2021-07-06T14:02:53Z</dcterms:created>
  <dcterms:modified xsi:type="dcterms:W3CDTF">2021-07-13T16:53:28Z</dcterms:modified>
</cp:coreProperties>
</file>