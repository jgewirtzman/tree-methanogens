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gewirtzman/Google Drive/YMF Methane/Data/"/>
    </mc:Choice>
  </mc:AlternateContent>
  <xr:revisionPtr revIDLastSave="0" documentId="13_ncr:1_{EBA25974-780E-594C-8AF3-59004A4CFB2A}" xr6:coauthVersionLast="36" xr6:coauthVersionMax="36" xr10:uidLastSave="{00000000-0000-0000-0000-000000000000}"/>
  <bookViews>
    <workbookView xWindow="8720" yWindow="500" windowWidth="20080" windowHeight="17500" xr2:uid="{E75C5668-701B-F343-B8B1-5F8FB85B3F9A}"/>
  </bookViews>
  <sheets>
    <sheet name="Sheet1" sheetId="1" r:id="rId1"/>
  </sheets>
  <definedNames>
    <definedName name="_xlnm._FilterDatabase" localSheetId="0" hidden="1">Sheet1!$A$1:$A$170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70" i="1" l="1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2" i="1"/>
  <c r="I44" i="1"/>
  <c r="I46" i="1"/>
  <c r="I50" i="1"/>
  <c r="I51" i="1"/>
  <c r="I52" i="1"/>
  <c r="I53" i="1"/>
  <c r="I54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4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71" i="1"/>
  <c r="G47" i="1"/>
  <c r="H47" i="1"/>
  <c r="I47" i="1" s="1"/>
  <c r="E124" i="1"/>
  <c r="C107" i="1"/>
  <c r="G104" i="1"/>
  <c r="G101" i="1"/>
  <c r="G102" i="1"/>
  <c r="G103" i="1"/>
  <c r="G90" i="1"/>
  <c r="G70" i="1"/>
  <c r="G64" i="1"/>
  <c r="G65" i="1"/>
  <c r="G66" i="1"/>
  <c r="G67" i="1"/>
  <c r="G68" i="1"/>
  <c r="G69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I170" i="1" s="1"/>
  <c r="H171" i="1"/>
  <c r="H2" i="1"/>
  <c r="G147" i="1"/>
  <c r="G148" i="1"/>
  <c r="G146" i="1"/>
  <c r="G156" i="1"/>
  <c r="C25" i="1" l="1"/>
  <c r="G126" i="1" l="1"/>
  <c r="G95" i="1" l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I40" i="1" s="1"/>
  <c r="G41" i="1"/>
  <c r="I41" i="1" s="1"/>
  <c r="G42" i="1"/>
  <c r="G43" i="1"/>
  <c r="I43" i="1" s="1"/>
  <c r="G44" i="1"/>
  <c r="G45" i="1"/>
  <c r="I45" i="1" s="1"/>
  <c r="G46" i="1"/>
  <c r="G48" i="1"/>
  <c r="I48" i="1" s="1"/>
  <c r="G49" i="1"/>
  <c r="I49" i="1" s="1"/>
  <c r="G50" i="1"/>
  <c r="G51" i="1"/>
  <c r="G52" i="1"/>
  <c r="G53" i="1"/>
  <c r="G54" i="1"/>
  <c r="G55" i="1"/>
  <c r="I55" i="1" s="1"/>
  <c r="G56" i="1"/>
  <c r="I56" i="1" s="1"/>
  <c r="G57" i="1"/>
  <c r="G58" i="1"/>
  <c r="G59" i="1"/>
  <c r="G60" i="1"/>
  <c r="G61" i="1"/>
  <c r="G62" i="1"/>
  <c r="G63" i="1"/>
  <c r="G71" i="1"/>
  <c r="G72" i="1"/>
  <c r="I72" i="1" s="1"/>
  <c r="G73" i="1"/>
  <c r="I73" i="1" s="1"/>
  <c r="G74" i="1"/>
  <c r="G75" i="1"/>
  <c r="I75" i="1" s="1"/>
  <c r="G76" i="1"/>
  <c r="I76" i="1" s="1"/>
  <c r="G77" i="1"/>
  <c r="I77" i="1" s="1"/>
  <c r="G78" i="1"/>
  <c r="I78" i="1" s="1"/>
  <c r="G79" i="1"/>
  <c r="I79" i="1" s="1"/>
  <c r="G80" i="1"/>
  <c r="I80" i="1" s="1"/>
  <c r="G81" i="1"/>
  <c r="I81" i="1" s="1"/>
  <c r="G82" i="1"/>
  <c r="I82" i="1" s="1"/>
  <c r="G83" i="1"/>
  <c r="I83" i="1" s="1"/>
  <c r="G84" i="1"/>
  <c r="I84" i="1" s="1"/>
  <c r="G85" i="1"/>
  <c r="I85" i="1" s="1"/>
  <c r="G86" i="1"/>
  <c r="I86" i="1" s="1"/>
  <c r="G87" i="1"/>
  <c r="I87" i="1" s="1"/>
  <c r="G88" i="1"/>
  <c r="G89" i="1"/>
  <c r="G91" i="1"/>
  <c r="G92" i="1"/>
  <c r="G93" i="1"/>
  <c r="G94" i="1"/>
  <c r="G96" i="1"/>
  <c r="G97" i="1"/>
  <c r="G98" i="1"/>
  <c r="G99" i="1"/>
  <c r="G100" i="1"/>
  <c r="G105" i="1"/>
  <c r="G106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9" i="1"/>
  <c r="G150" i="1"/>
  <c r="G151" i="1"/>
  <c r="G152" i="1"/>
  <c r="G153" i="1"/>
  <c r="G154" i="1"/>
  <c r="G155" i="1"/>
  <c r="G157" i="1"/>
  <c r="I157" i="1" s="1"/>
  <c r="G158" i="1"/>
  <c r="I158" i="1" s="1"/>
  <c r="G159" i="1"/>
  <c r="I159" i="1" s="1"/>
  <c r="G160" i="1"/>
  <c r="I160" i="1" s="1"/>
  <c r="G161" i="1"/>
  <c r="I161" i="1" s="1"/>
  <c r="G162" i="1"/>
  <c r="I162" i="1" s="1"/>
  <c r="G163" i="1"/>
  <c r="I163" i="1" s="1"/>
  <c r="G164" i="1"/>
  <c r="I164" i="1" s="1"/>
  <c r="G165" i="1"/>
  <c r="I165" i="1" s="1"/>
  <c r="G166" i="1"/>
  <c r="I166" i="1" s="1"/>
  <c r="G167" i="1"/>
  <c r="I167" i="1" s="1"/>
  <c r="G168" i="1"/>
  <c r="I168" i="1" s="1"/>
  <c r="G169" i="1"/>
  <c r="I169" i="1" s="1"/>
  <c r="G107" i="1"/>
</calcChain>
</file>

<file path=xl/sharedStrings.xml><?xml version="1.0" encoding="utf-8"?>
<sst xmlns="http://schemas.openxmlformats.org/spreadsheetml/2006/main" count="186" uniqueCount="182">
  <si>
    <t>Tree_ID</t>
  </si>
  <si>
    <t>AB 4/6</t>
  </si>
  <si>
    <t>AB 3/5</t>
  </si>
  <si>
    <t>AB 6'</t>
  </si>
  <si>
    <t>ABT 14P</t>
  </si>
  <si>
    <t>YBYB</t>
  </si>
  <si>
    <t>YB CUL8R</t>
  </si>
  <si>
    <t>BB1</t>
  </si>
  <si>
    <t>AB1</t>
  </si>
  <si>
    <t>AB2</t>
  </si>
  <si>
    <t>AB3</t>
  </si>
  <si>
    <t>BO1</t>
  </si>
  <si>
    <t>YB10</t>
  </si>
  <si>
    <t>YB9</t>
  </si>
  <si>
    <t>YB2</t>
  </si>
  <si>
    <t>HM7</t>
  </si>
  <si>
    <t>RM10</t>
  </si>
  <si>
    <t>AB4</t>
  </si>
  <si>
    <t>WO1</t>
  </si>
  <si>
    <t>BC1</t>
  </si>
  <si>
    <t>RM4</t>
  </si>
  <si>
    <t>RM5</t>
  </si>
  <si>
    <t>RM501</t>
  </si>
  <si>
    <t>AB501</t>
  </si>
  <si>
    <t>RM502</t>
  </si>
  <si>
    <t>RM503</t>
  </si>
  <si>
    <t>OB501</t>
  </si>
  <si>
    <t>AB9</t>
  </si>
  <si>
    <t>WP401</t>
  </si>
  <si>
    <t>AB11</t>
  </si>
  <si>
    <t>WP402</t>
  </si>
  <si>
    <t>WB403</t>
  </si>
  <si>
    <t>AB10</t>
  </si>
  <si>
    <t>RM1</t>
  </si>
  <si>
    <t>RM2</t>
  </si>
  <si>
    <t>YB15</t>
  </si>
  <si>
    <t>YB14</t>
  </si>
  <si>
    <t>YB11</t>
  </si>
  <si>
    <t>YB11'</t>
  </si>
  <si>
    <t>YB12</t>
  </si>
  <si>
    <t>YB13</t>
  </si>
  <si>
    <t>RM301</t>
  </si>
  <si>
    <t>RM302</t>
  </si>
  <si>
    <t>MLGP</t>
  </si>
  <si>
    <t>RM303</t>
  </si>
  <si>
    <t>RM304</t>
  </si>
  <si>
    <t>H301</t>
  </si>
  <si>
    <t>BB9</t>
  </si>
  <si>
    <t>BB10</t>
  </si>
  <si>
    <t>BB10'</t>
  </si>
  <si>
    <t>BB16'</t>
  </si>
  <si>
    <t>WP101</t>
  </si>
  <si>
    <t>WP102</t>
  </si>
  <si>
    <t>WP103</t>
  </si>
  <si>
    <t>BB11</t>
  </si>
  <si>
    <t>BB12</t>
  </si>
  <si>
    <t>BB13</t>
  </si>
  <si>
    <t>BB14</t>
  </si>
  <si>
    <t>BB16</t>
  </si>
  <si>
    <t>RM105</t>
  </si>
  <si>
    <t>H104</t>
  </si>
  <si>
    <t>H102</t>
  </si>
  <si>
    <t>RO104</t>
  </si>
  <si>
    <t>RO103</t>
  </si>
  <si>
    <t>RO101</t>
  </si>
  <si>
    <t>H103</t>
  </si>
  <si>
    <t>H101</t>
  </si>
  <si>
    <t>RO102</t>
  </si>
  <si>
    <t>SM15</t>
  </si>
  <si>
    <t>BB5</t>
  </si>
  <si>
    <t>BB6</t>
  </si>
  <si>
    <t>BB7</t>
  </si>
  <si>
    <t>BB8</t>
  </si>
  <si>
    <t>RO3</t>
  </si>
  <si>
    <t>RO2</t>
  </si>
  <si>
    <t>SF1</t>
  </si>
  <si>
    <t>WP7</t>
  </si>
  <si>
    <t>YB4</t>
  </si>
  <si>
    <t>BC4</t>
  </si>
  <si>
    <t>BC2</t>
  </si>
  <si>
    <t>RMS1 (STEM)</t>
  </si>
  <si>
    <t>YB5</t>
  </si>
  <si>
    <t>WPX2</t>
  </si>
  <si>
    <t>WPX22</t>
  </si>
  <si>
    <t>WA15</t>
  </si>
  <si>
    <t>WA5</t>
  </si>
  <si>
    <t>WA10</t>
  </si>
  <si>
    <t>HZ1</t>
  </si>
  <si>
    <t>BBZ1</t>
  </si>
  <si>
    <t>SH1</t>
  </si>
  <si>
    <t>AB6</t>
  </si>
  <si>
    <t>AB5</t>
  </si>
  <si>
    <t>PB4</t>
  </si>
  <si>
    <t>PB4?</t>
  </si>
  <si>
    <t>YB3</t>
  </si>
  <si>
    <t>WP8</t>
  </si>
  <si>
    <t>H8</t>
  </si>
  <si>
    <t>H9</t>
  </si>
  <si>
    <t>RO8</t>
  </si>
  <si>
    <t>RO7</t>
  </si>
  <si>
    <t>WA12</t>
  </si>
  <si>
    <t>WA14</t>
  </si>
  <si>
    <t>WA1</t>
  </si>
  <si>
    <t>WAX1</t>
  </si>
  <si>
    <t>PB3</t>
  </si>
  <si>
    <t>RM14</t>
  </si>
  <si>
    <t>PB1</t>
  </si>
  <si>
    <t>PB2</t>
  </si>
  <si>
    <t>R09</t>
  </si>
  <si>
    <t>WP6</t>
  </si>
  <si>
    <t>ML1</t>
  </si>
  <si>
    <t>ML2</t>
  </si>
  <si>
    <t>ML3</t>
  </si>
  <si>
    <t>WP9</t>
  </si>
  <si>
    <t>RO13</t>
  </si>
  <si>
    <t>RO11</t>
  </si>
  <si>
    <t>RO10</t>
  </si>
  <si>
    <t>BB3</t>
  </si>
  <si>
    <t>H5</t>
  </si>
  <si>
    <t>H4</t>
  </si>
  <si>
    <t>WP5</t>
  </si>
  <si>
    <t>RO1</t>
  </si>
  <si>
    <t>RM3</t>
  </si>
  <si>
    <t>H2</t>
  </si>
  <si>
    <t>WP2</t>
  </si>
  <si>
    <t>WP4</t>
  </si>
  <si>
    <t>WP3</t>
  </si>
  <si>
    <t>H3</t>
  </si>
  <si>
    <t>HX3</t>
  </si>
  <si>
    <t>HX2</t>
  </si>
  <si>
    <t>HX5</t>
  </si>
  <si>
    <t>HX4</t>
  </si>
  <si>
    <t>BBX6</t>
  </si>
  <si>
    <t>BBX1</t>
  </si>
  <si>
    <t>BBGT1</t>
  </si>
  <si>
    <t>WPX7</t>
  </si>
  <si>
    <t>WPX5</t>
  </si>
  <si>
    <t>SM11</t>
  </si>
  <si>
    <t>SM12</t>
  </si>
  <si>
    <t>SM13</t>
  </si>
  <si>
    <t>SM14</t>
  </si>
  <si>
    <t>BBX7</t>
  </si>
  <si>
    <t>SM1</t>
  </si>
  <si>
    <t>SM2</t>
  </si>
  <si>
    <t>SM3</t>
  </si>
  <si>
    <t>SM4</t>
  </si>
  <si>
    <t>SM5</t>
  </si>
  <si>
    <t>SM6</t>
  </si>
  <si>
    <t>SM7</t>
  </si>
  <si>
    <t>SM8</t>
  </si>
  <si>
    <t>SM9</t>
  </si>
  <si>
    <t>SM10</t>
  </si>
  <si>
    <t>WA101</t>
  </si>
  <si>
    <t>WA102</t>
  </si>
  <si>
    <t>WA103</t>
  </si>
  <si>
    <t>WA104</t>
  </si>
  <si>
    <t>WA105</t>
  </si>
  <si>
    <t>ML7809</t>
  </si>
  <si>
    <t>Mass Wet Core + Plastic Straw</t>
  </si>
  <si>
    <t>Mass Empty Plastic Straw</t>
  </si>
  <si>
    <t>Mass Empty Paper Straw</t>
  </si>
  <si>
    <t>Mass Wet Core + Paper Straw</t>
  </si>
  <si>
    <t>Mass Dry Core + Paper Straw</t>
  </si>
  <si>
    <t>Dry Mass Core</t>
  </si>
  <si>
    <t>Bowser dead red oak-ROB1</t>
  </si>
  <si>
    <t>RO105</t>
  </si>
  <si>
    <t>test straw 1</t>
  </si>
  <si>
    <t>test straw 2</t>
  </si>
  <si>
    <t>test straw 3</t>
  </si>
  <si>
    <t>smaller diameter core</t>
  </si>
  <si>
    <t>Notes</t>
  </si>
  <si>
    <t>WP403</t>
  </si>
  <si>
    <t>WP Bernice</t>
  </si>
  <si>
    <t>possibly mislabeled 22?</t>
  </si>
  <si>
    <t>WP???</t>
  </si>
  <si>
    <t>PB501</t>
  </si>
  <si>
    <t>PB5</t>
  </si>
  <si>
    <t>Sasafrass</t>
  </si>
  <si>
    <t>Wet Mass Core (Paper)</t>
  </si>
  <si>
    <t>Wet Mass Core (Plastic)</t>
  </si>
  <si>
    <t>Flag if masses disagree</t>
  </si>
  <si>
    <t>H304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</si>
</sst>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i/>
      <sz val="2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6" xfId="0" applyFont="1" applyBorder="1"/>
    <xf numFmtId="0" fontId="2" fillId="0" borderId="12" xfId="0" applyFont="1" applyBorder="1" applyAlignment="1">
      <alignment wrapText="1"/>
    </xf>
    <xf numFmtId="0" fontId="4" fillId="0" borderId="0" xfId="0" applyFont="1"/>
    <xf numFmtId="0" fontId="5" fillId="0" borderId="0" xfId="0" applyFont="1"/>
    <xf numFmtId="164" fontId="2" fillId="0" borderId="11" xfId="0" applyNumberFormat="1" applyFont="1" applyBorder="1" applyAlignment="1">
      <alignment wrapText="1"/>
    </xf>
    <xf numFmtId="164" fontId="2" fillId="0" borderId="2" xfId="0" applyNumberFormat="1" applyFont="1" applyBorder="1" applyAlignment="1">
      <alignment wrapText="1"/>
    </xf>
    <xf numFmtId="164" fontId="2" fillId="2" borderId="12" xfId="0" applyNumberFormat="1" applyFont="1" applyFill="1" applyBorder="1" applyAlignment="1">
      <alignment wrapText="1"/>
    </xf>
    <xf numFmtId="164" fontId="4" fillId="0" borderId="7" xfId="0" applyNumberFormat="1" applyFont="1" applyBorder="1"/>
    <xf numFmtId="164" fontId="3" fillId="0" borderId="8" xfId="0" applyNumberFormat="1" applyFont="1" applyBorder="1"/>
    <xf numFmtId="164" fontId="3" fillId="2" borderId="9" xfId="0" applyNumberFormat="1" applyFont="1" applyFill="1" applyBorder="1"/>
    <xf numFmtId="164" fontId="3" fillId="2" borderId="10" xfId="0" applyNumberFormat="1" applyFont="1" applyFill="1" applyBorder="1"/>
    <xf numFmtId="164" fontId="1" fillId="0" borderId="0" xfId="0" applyNumberFormat="1" applyFont="1"/>
    <xf numFmtId="164" fontId="4" fillId="0" borderId="3" xfId="0" applyNumberFormat="1" applyFont="1" applyBorder="1"/>
    <xf numFmtId="164" fontId="3" fillId="0" borderId="5" xfId="0" applyNumberFormat="1" applyFont="1" applyBorder="1"/>
    <xf numFmtId="164" fontId="3" fillId="2" borderId="4" xfId="0" applyNumberFormat="1" applyFont="1" applyFill="1" applyBorder="1"/>
    <xf numFmtId="164" fontId="3" fillId="2" borderId="1" xfId="0" applyNumberFormat="1" applyFont="1" applyFill="1" applyBorder="1"/>
    <xf numFmtId="164" fontId="4" fillId="0" borderId="3" xfId="0" applyNumberFormat="1" applyFont="1" applyFill="1" applyBorder="1"/>
    <xf numFmtId="164" fontId="4" fillId="2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Wet Mass Core (Paper)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7.5840489839619912E-2"/>
                  <c:y val="0.3075295589255394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Sheet1!$G$2:$G$175</c:f>
              <c:numCache>
                <c:formatCode>0.000</c:formatCode>
                <c:ptCount val="174"/>
                <c:pt idx="0">
                  <c:v>3.6409999999999996</c:v>
                </c:pt>
                <c:pt idx="1">
                  <c:v>2.7600000000000002</c:v>
                </c:pt>
                <c:pt idx="2">
                  <c:v>3.1840000000000002</c:v>
                </c:pt>
                <c:pt idx="3">
                  <c:v>3.972</c:v>
                </c:pt>
                <c:pt idx="4">
                  <c:v>3.7150000000000003</c:v>
                </c:pt>
                <c:pt idx="5">
                  <c:v>3.69</c:v>
                </c:pt>
                <c:pt idx="6">
                  <c:v>2.3959999999999999</c:v>
                </c:pt>
                <c:pt idx="7">
                  <c:v>3.1809999999999996</c:v>
                </c:pt>
                <c:pt idx="8">
                  <c:v>3.0779999999999998</c:v>
                </c:pt>
                <c:pt idx="9">
                  <c:v>3.9620000000000006</c:v>
                </c:pt>
                <c:pt idx="10">
                  <c:v>3.6199999999999997</c:v>
                </c:pt>
                <c:pt idx="11">
                  <c:v>4.0640000000000001</c:v>
                </c:pt>
                <c:pt idx="12">
                  <c:v>3.6650000000000005</c:v>
                </c:pt>
                <c:pt idx="13">
                  <c:v>3.4390000000000005</c:v>
                </c:pt>
                <c:pt idx="14">
                  <c:v>2.5361000000000002</c:v>
                </c:pt>
                <c:pt idx="15">
                  <c:v>4.2925000000000004</c:v>
                </c:pt>
                <c:pt idx="16">
                  <c:v>2.9474000000000005</c:v>
                </c:pt>
                <c:pt idx="17">
                  <c:v>3.4299999999999997</c:v>
                </c:pt>
                <c:pt idx="18">
                  <c:v>3.9340000000000002</c:v>
                </c:pt>
                <c:pt idx="19">
                  <c:v>3.3560000000000003</c:v>
                </c:pt>
                <c:pt idx="20">
                  <c:v>4.1383000000000001</c:v>
                </c:pt>
                <c:pt idx="21">
                  <c:v>4.5942999999999996</c:v>
                </c:pt>
                <c:pt idx="22">
                  <c:v>3.7559</c:v>
                </c:pt>
                <c:pt idx="23">
                  <c:v>4.5180000000000007</c:v>
                </c:pt>
                <c:pt idx="24">
                  <c:v>4.6319999999999997</c:v>
                </c:pt>
                <c:pt idx="25">
                  <c:v>4.8940000000000001</c:v>
                </c:pt>
                <c:pt idx="26">
                  <c:v>3.9636</c:v>
                </c:pt>
                <c:pt idx="27">
                  <c:v>4.4393000000000002</c:v>
                </c:pt>
                <c:pt idx="28">
                  <c:v>4.5171999999999999</c:v>
                </c:pt>
                <c:pt idx="29">
                  <c:v>3.9097</c:v>
                </c:pt>
                <c:pt idx="30">
                  <c:v>3.7439999999999998</c:v>
                </c:pt>
                <c:pt idx="31">
                  <c:v>3.1291000000000002</c:v>
                </c:pt>
                <c:pt idx="32">
                  <c:v>3.1594000000000002</c:v>
                </c:pt>
                <c:pt idx="33">
                  <c:v>0</c:v>
                </c:pt>
                <c:pt idx="34">
                  <c:v>2.1219999999999999</c:v>
                </c:pt>
                <c:pt idx="35">
                  <c:v>2.6779999999999995</c:v>
                </c:pt>
                <c:pt idx="36">
                  <c:v>5.1379999999999999</c:v>
                </c:pt>
                <c:pt idx="37">
                  <c:v>7.4239999999999995</c:v>
                </c:pt>
                <c:pt idx="38">
                  <c:v>1.5469999999999997</c:v>
                </c:pt>
                <c:pt idx="39">
                  <c:v>2.5349999999999997</c:v>
                </c:pt>
                <c:pt idx="40">
                  <c:v>0</c:v>
                </c:pt>
                <c:pt idx="41">
                  <c:v>3.4819999999999998</c:v>
                </c:pt>
                <c:pt idx="42">
                  <c:v>5.0090000000000003</c:v>
                </c:pt>
                <c:pt idx="43">
                  <c:v>3.6769999999999996</c:v>
                </c:pt>
                <c:pt idx="44">
                  <c:v>0</c:v>
                </c:pt>
                <c:pt idx="45">
                  <c:v>4.0129999999999999</c:v>
                </c:pt>
                <c:pt idx="46">
                  <c:v>3.5580000000000003</c:v>
                </c:pt>
                <c:pt idx="47">
                  <c:v>3.5370000000000004</c:v>
                </c:pt>
                <c:pt idx="48">
                  <c:v>5.23</c:v>
                </c:pt>
                <c:pt idx="49">
                  <c:v>5.5340000000000007</c:v>
                </c:pt>
                <c:pt idx="50">
                  <c:v>3.1960000000000002</c:v>
                </c:pt>
                <c:pt idx="51">
                  <c:v>3.0519999999999996</c:v>
                </c:pt>
                <c:pt idx="52">
                  <c:v>3.9910000000000001</c:v>
                </c:pt>
                <c:pt idx="53">
                  <c:v>3.6329999999999996</c:v>
                </c:pt>
                <c:pt idx="54">
                  <c:v>2.5870000000000002</c:v>
                </c:pt>
                <c:pt idx="55">
                  <c:v>5.8729999999999993</c:v>
                </c:pt>
                <c:pt idx="56">
                  <c:v>0</c:v>
                </c:pt>
                <c:pt idx="57">
                  <c:v>0.83499999999999996</c:v>
                </c:pt>
                <c:pt idx="58">
                  <c:v>0</c:v>
                </c:pt>
                <c:pt idx="59">
                  <c:v>0</c:v>
                </c:pt>
                <c:pt idx="60">
                  <c:v>0.90300000000000002</c:v>
                </c:pt>
                <c:pt idx="61">
                  <c:v>0</c:v>
                </c:pt>
                <c:pt idx="62">
                  <c:v>4.9960000000000004</c:v>
                </c:pt>
                <c:pt idx="63">
                  <c:v>1.855</c:v>
                </c:pt>
                <c:pt idx="64">
                  <c:v>4.6590000000000007</c:v>
                </c:pt>
                <c:pt idx="65">
                  <c:v>0</c:v>
                </c:pt>
                <c:pt idx="66">
                  <c:v>2.3090000000000002</c:v>
                </c:pt>
                <c:pt idx="67">
                  <c:v>3.9969999999999994</c:v>
                </c:pt>
                <c:pt idx="68">
                  <c:v>6.2059999999999995</c:v>
                </c:pt>
                <c:pt idx="69">
                  <c:v>0</c:v>
                </c:pt>
                <c:pt idx="70">
                  <c:v>3.9390000000000001</c:v>
                </c:pt>
                <c:pt idx="71">
                  <c:v>2.8390000000000004</c:v>
                </c:pt>
                <c:pt idx="72">
                  <c:v>0</c:v>
                </c:pt>
                <c:pt idx="73">
                  <c:v>3.855</c:v>
                </c:pt>
                <c:pt idx="74">
                  <c:v>3.819</c:v>
                </c:pt>
                <c:pt idx="75">
                  <c:v>2.1840000000000002</c:v>
                </c:pt>
                <c:pt idx="76">
                  <c:v>3.1149999999999998</c:v>
                </c:pt>
                <c:pt idx="77">
                  <c:v>1.883</c:v>
                </c:pt>
                <c:pt idx="78">
                  <c:v>3.637</c:v>
                </c:pt>
                <c:pt idx="79">
                  <c:v>3.8050000000000002</c:v>
                </c:pt>
                <c:pt idx="80">
                  <c:v>1.6280000000000001</c:v>
                </c:pt>
                <c:pt idx="81">
                  <c:v>1.923</c:v>
                </c:pt>
                <c:pt idx="82">
                  <c:v>0.94</c:v>
                </c:pt>
                <c:pt idx="83">
                  <c:v>2.0350000000000001</c:v>
                </c:pt>
                <c:pt idx="84">
                  <c:v>3.1659999999999995</c:v>
                </c:pt>
                <c:pt idx="85">
                  <c:v>2.6840000000000002</c:v>
                </c:pt>
                <c:pt idx="86">
                  <c:v>4.976</c:v>
                </c:pt>
                <c:pt idx="87">
                  <c:v>0</c:v>
                </c:pt>
                <c:pt idx="88">
                  <c:v>5.8730000000000011</c:v>
                </c:pt>
                <c:pt idx="89">
                  <c:v>6.1950000000000003</c:v>
                </c:pt>
                <c:pt idx="90">
                  <c:v>5.5019999999999989</c:v>
                </c:pt>
                <c:pt idx="91">
                  <c:v>3.5280000000000005</c:v>
                </c:pt>
                <c:pt idx="92">
                  <c:v>4.9390000000000001</c:v>
                </c:pt>
                <c:pt idx="93">
                  <c:v>5.625</c:v>
                </c:pt>
                <c:pt idx="94">
                  <c:v>6.5890000000000004</c:v>
                </c:pt>
                <c:pt idx="95">
                  <c:v>0</c:v>
                </c:pt>
                <c:pt idx="96">
                  <c:v>5.6909999999999998</c:v>
                </c:pt>
                <c:pt idx="97">
                  <c:v>2.2480000000000002</c:v>
                </c:pt>
                <c:pt idx="98">
                  <c:v>4.6210000000000004</c:v>
                </c:pt>
                <c:pt idx="99">
                  <c:v>0</c:v>
                </c:pt>
                <c:pt idx="100">
                  <c:v>7.8409999999999993</c:v>
                </c:pt>
                <c:pt idx="101">
                  <c:v>6.1960000000000006</c:v>
                </c:pt>
                <c:pt idx="102">
                  <c:v>4.532</c:v>
                </c:pt>
                <c:pt idx="103">
                  <c:v>0</c:v>
                </c:pt>
                <c:pt idx="104">
                  <c:v>5.3219999999999992</c:v>
                </c:pt>
                <c:pt idx="105">
                  <c:v>5.0205000000000002</c:v>
                </c:pt>
                <c:pt idx="106">
                  <c:v>3.4120000000000004</c:v>
                </c:pt>
                <c:pt idx="107">
                  <c:v>4.5804</c:v>
                </c:pt>
                <c:pt idx="108">
                  <c:v>4.7210000000000001</c:v>
                </c:pt>
                <c:pt idx="109">
                  <c:v>2.964</c:v>
                </c:pt>
                <c:pt idx="110">
                  <c:v>3.8075000000000006</c:v>
                </c:pt>
                <c:pt idx="111">
                  <c:v>4.3384</c:v>
                </c:pt>
                <c:pt idx="112">
                  <c:v>3.2134999999999998</c:v>
                </c:pt>
                <c:pt idx="113">
                  <c:v>2.0150000000000001</c:v>
                </c:pt>
                <c:pt idx="114">
                  <c:v>4.5914000000000001</c:v>
                </c:pt>
                <c:pt idx="115">
                  <c:v>4.1505000000000001</c:v>
                </c:pt>
                <c:pt idx="116">
                  <c:v>4.0384000000000002</c:v>
                </c:pt>
                <c:pt idx="117">
                  <c:v>4.2080000000000002</c:v>
                </c:pt>
                <c:pt idx="118">
                  <c:v>4.2779999999999996</c:v>
                </c:pt>
                <c:pt idx="119">
                  <c:v>4.5129999999999999</c:v>
                </c:pt>
                <c:pt idx="120">
                  <c:v>4.7050000000000001</c:v>
                </c:pt>
                <c:pt idx="121">
                  <c:v>4.2429999999999994</c:v>
                </c:pt>
                <c:pt idx="122">
                  <c:v>1.2219999999999995</c:v>
                </c:pt>
                <c:pt idx="123">
                  <c:v>4.3849999999999998</c:v>
                </c:pt>
                <c:pt idx="124">
                  <c:v>4.7299999999999995</c:v>
                </c:pt>
                <c:pt idx="125">
                  <c:v>5.3639999999999999</c:v>
                </c:pt>
                <c:pt idx="126">
                  <c:v>1.0699999999999998</c:v>
                </c:pt>
                <c:pt idx="127">
                  <c:v>0</c:v>
                </c:pt>
                <c:pt idx="128">
                  <c:v>6.8480000000000008</c:v>
                </c:pt>
                <c:pt idx="129">
                  <c:v>5.952</c:v>
                </c:pt>
                <c:pt idx="130">
                  <c:v>1.8319999999999994</c:v>
                </c:pt>
                <c:pt idx="131">
                  <c:v>6.234</c:v>
                </c:pt>
                <c:pt idx="132">
                  <c:v>4.7119999999999997</c:v>
                </c:pt>
                <c:pt idx="133">
                  <c:v>0</c:v>
                </c:pt>
                <c:pt idx="134">
                  <c:v>4.5549999999999997</c:v>
                </c:pt>
                <c:pt idx="135">
                  <c:v>4.6530000000000005</c:v>
                </c:pt>
                <c:pt idx="136">
                  <c:v>5.0239000000000003</c:v>
                </c:pt>
                <c:pt idx="137">
                  <c:v>2.7750000000000004</c:v>
                </c:pt>
                <c:pt idx="138">
                  <c:v>4.8776999999999999</c:v>
                </c:pt>
                <c:pt idx="139">
                  <c:v>2.3097999999999996</c:v>
                </c:pt>
                <c:pt idx="140">
                  <c:v>6.1159999999999997</c:v>
                </c:pt>
                <c:pt idx="141">
                  <c:v>7.7961</c:v>
                </c:pt>
                <c:pt idx="142">
                  <c:v>4.2084999999999999</c:v>
                </c:pt>
                <c:pt idx="143">
                  <c:v>4.0750999999999999</c:v>
                </c:pt>
                <c:pt idx="144">
                  <c:v>2.2768999999999995</c:v>
                </c:pt>
                <c:pt idx="145">
                  <c:v>6.3497000000000003</c:v>
                </c:pt>
                <c:pt idx="146">
                  <c:v>6.8540000000000001</c:v>
                </c:pt>
                <c:pt idx="147">
                  <c:v>6.5106999999999999</c:v>
                </c:pt>
                <c:pt idx="148">
                  <c:v>5.673</c:v>
                </c:pt>
                <c:pt idx="149">
                  <c:v>3.9769999999999999</c:v>
                </c:pt>
                <c:pt idx="150">
                  <c:v>2.2263000000000002</c:v>
                </c:pt>
                <c:pt idx="151">
                  <c:v>3.4510000000000001</c:v>
                </c:pt>
                <c:pt idx="152">
                  <c:v>3.4076000000000004</c:v>
                </c:pt>
                <c:pt idx="153">
                  <c:v>3.8100600000000004</c:v>
                </c:pt>
                <c:pt idx="154">
                  <c:v>2.516</c:v>
                </c:pt>
                <c:pt idx="155">
                  <c:v>3.2569999999999997</c:v>
                </c:pt>
                <c:pt idx="156">
                  <c:v>3.82</c:v>
                </c:pt>
                <c:pt idx="157">
                  <c:v>3.3400000000000003</c:v>
                </c:pt>
                <c:pt idx="158">
                  <c:v>2.1119999999999997</c:v>
                </c:pt>
                <c:pt idx="159">
                  <c:v>3.214</c:v>
                </c:pt>
                <c:pt idx="160">
                  <c:v>2.3010000000000002</c:v>
                </c:pt>
                <c:pt idx="161">
                  <c:v>0.80200000000000005</c:v>
                </c:pt>
                <c:pt idx="162">
                  <c:v>4.6880000000000006</c:v>
                </c:pt>
                <c:pt idx="163">
                  <c:v>1.4300000000000002</c:v>
                </c:pt>
                <c:pt idx="164">
                  <c:v>2.6620000000000004</c:v>
                </c:pt>
                <c:pt idx="165">
                  <c:v>4.1639999999999997</c:v>
                </c:pt>
                <c:pt idx="166">
                  <c:v>3.1379999999999999</c:v>
                </c:pt>
                <c:pt idx="167">
                  <c:v>2.4340000000000002</c:v>
                </c:pt>
                <c:pt idx="168">
                  <c:v>3.5870000000000002</c:v>
                </c:pt>
              </c:numCache>
            </c:numRef>
          </c:xVal>
          <c:yVal>
            <c:numRef>
              <c:f>Sheet1!$H$2:$H$175</c:f>
              <c:numCache>
                <c:formatCode>0.000</c:formatCode>
                <c:ptCount val="174"/>
                <c:pt idx="0">
                  <c:v>3.569</c:v>
                </c:pt>
                <c:pt idx="1">
                  <c:v>2.7359999999999998</c:v>
                </c:pt>
                <c:pt idx="2">
                  <c:v>3.1540000000000004</c:v>
                </c:pt>
                <c:pt idx="3">
                  <c:v>3.9589999999999996</c:v>
                </c:pt>
                <c:pt idx="4">
                  <c:v>3.6940000000000004</c:v>
                </c:pt>
                <c:pt idx="5">
                  <c:v>3.6770000000000005</c:v>
                </c:pt>
                <c:pt idx="6">
                  <c:v>2.3860000000000001</c:v>
                </c:pt>
                <c:pt idx="7">
                  <c:v>3.1800000000000006</c:v>
                </c:pt>
                <c:pt idx="8">
                  <c:v>3.0670000000000002</c:v>
                </c:pt>
                <c:pt idx="9">
                  <c:v>3.9</c:v>
                </c:pt>
                <c:pt idx="10">
                  <c:v>3.5990000000000002</c:v>
                </c:pt>
                <c:pt idx="11">
                  <c:v>4.0599999999999996</c:v>
                </c:pt>
                <c:pt idx="12">
                  <c:v>3.6709999999999998</c:v>
                </c:pt>
                <c:pt idx="13">
                  <c:v>3.4554999999999998</c:v>
                </c:pt>
                <c:pt idx="14">
                  <c:v>2.5019999999999998</c:v>
                </c:pt>
                <c:pt idx="15">
                  <c:v>4.2658000000000005</c:v>
                </c:pt>
                <c:pt idx="16">
                  <c:v>2.9356</c:v>
                </c:pt>
                <c:pt idx="17">
                  <c:v>3.4250000000000003</c:v>
                </c:pt>
                <c:pt idx="18">
                  <c:v>3.9251999999999998</c:v>
                </c:pt>
                <c:pt idx="19">
                  <c:v>3.3360000000000003</c:v>
                </c:pt>
                <c:pt idx="20">
                  <c:v>4.1192000000000002</c:v>
                </c:pt>
                <c:pt idx="21">
                  <c:v>4.5788000000000002</c:v>
                </c:pt>
                <c:pt idx="22">
                  <c:v>3.6997999999999998</c:v>
                </c:pt>
                <c:pt idx="23">
                  <c:v>4.4639999999999995</c:v>
                </c:pt>
                <c:pt idx="24">
                  <c:v>4.6120000000000001</c:v>
                </c:pt>
                <c:pt idx="25">
                  <c:v>4.8680810810810797</c:v>
                </c:pt>
                <c:pt idx="26">
                  <c:v>3.9573999999999998</c:v>
                </c:pt>
                <c:pt idx="27">
                  <c:v>4.3881999999999994</c:v>
                </c:pt>
                <c:pt idx="28">
                  <c:v>4.4998000000000005</c:v>
                </c:pt>
                <c:pt idx="29">
                  <c:v>3.8942999999999994</c:v>
                </c:pt>
                <c:pt idx="30">
                  <c:v>3.7289999999999996</c:v>
                </c:pt>
                <c:pt idx="31">
                  <c:v>3.1049999999999995</c:v>
                </c:pt>
                <c:pt idx="32">
                  <c:v>3.1429999999999998</c:v>
                </c:pt>
                <c:pt idx="33">
                  <c:v>0</c:v>
                </c:pt>
                <c:pt idx="34">
                  <c:v>2.1120000000000001</c:v>
                </c:pt>
                <c:pt idx="35">
                  <c:v>2.6740000000000004</c:v>
                </c:pt>
                <c:pt idx="36">
                  <c:v>5.1059999999999999</c:v>
                </c:pt>
                <c:pt idx="37">
                  <c:v>7.3980000000000006</c:v>
                </c:pt>
                <c:pt idx="38">
                  <c:v>1.546</c:v>
                </c:pt>
                <c:pt idx="39">
                  <c:v>2.516</c:v>
                </c:pt>
                <c:pt idx="40">
                  <c:v>0</c:v>
                </c:pt>
                <c:pt idx="41">
                  <c:v>3.4420000000000002</c:v>
                </c:pt>
                <c:pt idx="42">
                  <c:v>4.9940000000000007</c:v>
                </c:pt>
                <c:pt idx="43">
                  <c:v>3.65</c:v>
                </c:pt>
                <c:pt idx="44">
                  <c:v>0</c:v>
                </c:pt>
                <c:pt idx="45">
                  <c:v>3.984</c:v>
                </c:pt>
                <c:pt idx="46">
                  <c:v>3.5070000000000006</c:v>
                </c:pt>
                <c:pt idx="47">
                  <c:v>3.5110000000000001</c:v>
                </c:pt>
                <c:pt idx="48">
                  <c:v>5.2030000000000003</c:v>
                </c:pt>
                <c:pt idx="49">
                  <c:v>5.51</c:v>
                </c:pt>
                <c:pt idx="50">
                  <c:v>3.1890000000000001</c:v>
                </c:pt>
                <c:pt idx="51">
                  <c:v>3.0190000000000001</c:v>
                </c:pt>
                <c:pt idx="52">
                  <c:v>3.9470000000000001</c:v>
                </c:pt>
                <c:pt idx="53">
                  <c:v>3.6260000000000003</c:v>
                </c:pt>
                <c:pt idx="54">
                  <c:v>2.5789999999999997</c:v>
                </c:pt>
                <c:pt idx="55">
                  <c:v>5.8289999999999997</c:v>
                </c:pt>
                <c:pt idx="56">
                  <c:v>0</c:v>
                </c:pt>
                <c:pt idx="57">
                  <c:v>0.82599999999999996</c:v>
                </c:pt>
                <c:pt idx="58">
                  <c:v>0</c:v>
                </c:pt>
                <c:pt idx="59">
                  <c:v>0</c:v>
                </c:pt>
                <c:pt idx="60">
                  <c:v>0.89800000000000002</c:v>
                </c:pt>
                <c:pt idx="61">
                  <c:v>0</c:v>
                </c:pt>
                <c:pt idx="62">
                  <c:v>5.0299999999999994</c:v>
                </c:pt>
                <c:pt idx="63">
                  <c:v>1.8470000000000002</c:v>
                </c:pt>
                <c:pt idx="64">
                  <c:v>4.6080000000000005</c:v>
                </c:pt>
                <c:pt idx="65">
                  <c:v>0</c:v>
                </c:pt>
                <c:pt idx="66">
                  <c:v>2.286</c:v>
                </c:pt>
                <c:pt idx="67">
                  <c:v>3.9319999999999999</c:v>
                </c:pt>
                <c:pt idx="68">
                  <c:v>6.1579999999999995</c:v>
                </c:pt>
                <c:pt idx="69">
                  <c:v>0</c:v>
                </c:pt>
                <c:pt idx="70">
                  <c:v>3.9029999999999996</c:v>
                </c:pt>
                <c:pt idx="71">
                  <c:v>2.8249999999999997</c:v>
                </c:pt>
                <c:pt idx="72">
                  <c:v>0</c:v>
                </c:pt>
                <c:pt idx="73">
                  <c:v>3.8389999999999995</c:v>
                </c:pt>
                <c:pt idx="74">
                  <c:v>3.8050000000000006</c:v>
                </c:pt>
                <c:pt idx="75">
                  <c:v>2.1309999999999998</c:v>
                </c:pt>
                <c:pt idx="76">
                  <c:v>3.0949999999999998</c:v>
                </c:pt>
                <c:pt idx="77">
                  <c:v>1.8640000000000001</c:v>
                </c:pt>
                <c:pt idx="78">
                  <c:v>3.6209999999999996</c:v>
                </c:pt>
                <c:pt idx="79">
                  <c:v>3.7700000000000005</c:v>
                </c:pt>
                <c:pt idx="80">
                  <c:v>1.6119999999999999</c:v>
                </c:pt>
                <c:pt idx="81">
                  <c:v>1.9180000000000001</c:v>
                </c:pt>
                <c:pt idx="82">
                  <c:v>0.93200000000000016</c:v>
                </c:pt>
                <c:pt idx="83">
                  <c:v>2.004</c:v>
                </c:pt>
                <c:pt idx="84">
                  <c:v>3.1060000000000008</c:v>
                </c:pt>
                <c:pt idx="85">
                  <c:v>2.6739999999999999</c:v>
                </c:pt>
                <c:pt idx="86">
                  <c:v>4.9619999999999997</c:v>
                </c:pt>
                <c:pt idx="87">
                  <c:v>0</c:v>
                </c:pt>
                <c:pt idx="88">
                  <c:v>5.8620000000000001</c:v>
                </c:pt>
                <c:pt idx="89">
                  <c:v>6.1819999999999995</c:v>
                </c:pt>
                <c:pt idx="90">
                  <c:v>5.4489999999999998</c:v>
                </c:pt>
                <c:pt idx="91">
                  <c:v>3.5200000000000005</c:v>
                </c:pt>
                <c:pt idx="92">
                  <c:v>4.9250000000000007</c:v>
                </c:pt>
                <c:pt idx="93">
                  <c:v>5.6109999999999998</c:v>
                </c:pt>
                <c:pt idx="94">
                  <c:v>6.5670000000000002</c:v>
                </c:pt>
                <c:pt idx="95">
                  <c:v>0</c:v>
                </c:pt>
                <c:pt idx="96">
                  <c:v>5.6340000000000003</c:v>
                </c:pt>
                <c:pt idx="97">
                  <c:v>2.1870000000000003</c:v>
                </c:pt>
                <c:pt idx="98">
                  <c:v>4.5990000000000002</c:v>
                </c:pt>
                <c:pt idx="99">
                  <c:v>0</c:v>
                </c:pt>
                <c:pt idx="100">
                  <c:v>7.8199999999999994</c:v>
                </c:pt>
                <c:pt idx="101">
                  <c:v>6.1770000000000005</c:v>
                </c:pt>
                <c:pt idx="102">
                  <c:v>4.532</c:v>
                </c:pt>
                <c:pt idx="103">
                  <c:v>0</c:v>
                </c:pt>
                <c:pt idx="104">
                  <c:v>5.3089999999999993</c:v>
                </c:pt>
                <c:pt idx="105">
                  <c:v>5.0205000000000002</c:v>
                </c:pt>
                <c:pt idx="106">
                  <c:v>3.351</c:v>
                </c:pt>
                <c:pt idx="107">
                  <c:v>4.6745000000000001</c:v>
                </c:pt>
                <c:pt idx="108">
                  <c:v>4.702</c:v>
                </c:pt>
                <c:pt idx="109">
                  <c:v>2.9370000000000003</c:v>
                </c:pt>
                <c:pt idx="110">
                  <c:v>3.8043000000000005</c:v>
                </c:pt>
                <c:pt idx="111">
                  <c:v>4.2992999999999997</c:v>
                </c:pt>
                <c:pt idx="112">
                  <c:v>3.1796999999999995</c:v>
                </c:pt>
                <c:pt idx="113">
                  <c:v>2.008</c:v>
                </c:pt>
                <c:pt idx="114">
                  <c:v>4.5688999999999993</c:v>
                </c:pt>
                <c:pt idx="115">
                  <c:v>4.0229999999999997</c:v>
                </c:pt>
                <c:pt idx="116">
                  <c:v>4.0200000000000005</c:v>
                </c:pt>
                <c:pt idx="117">
                  <c:v>4.1960000000000006</c:v>
                </c:pt>
                <c:pt idx="118">
                  <c:v>4.2530000000000001</c:v>
                </c:pt>
                <c:pt idx="119">
                  <c:v>4.4740000000000002</c:v>
                </c:pt>
                <c:pt idx="120">
                  <c:v>4.694</c:v>
                </c:pt>
                <c:pt idx="121">
                  <c:v>4.1719999999999997</c:v>
                </c:pt>
                <c:pt idx="122">
                  <c:v>1.222</c:v>
                </c:pt>
                <c:pt idx="123">
                  <c:v>4.3679999999999994</c:v>
                </c:pt>
                <c:pt idx="124">
                  <c:v>4.7189999999999994</c:v>
                </c:pt>
                <c:pt idx="125">
                  <c:v>5.3159999999999998</c:v>
                </c:pt>
                <c:pt idx="126">
                  <c:v>1.0609999999999999</c:v>
                </c:pt>
                <c:pt idx="127">
                  <c:v>0</c:v>
                </c:pt>
                <c:pt idx="128">
                  <c:v>6.82</c:v>
                </c:pt>
                <c:pt idx="129">
                  <c:v>5.9390000000000001</c:v>
                </c:pt>
                <c:pt idx="130">
                  <c:v>1.8099999999999998</c:v>
                </c:pt>
                <c:pt idx="131">
                  <c:v>6.2070000000000007</c:v>
                </c:pt>
                <c:pt idx="132">
                  <c:v>4.6870000000000003</c:v>
                </c:pt>
                <c:pt idx="133">
                  <c:v>0</c:v>
                </c:pt>
                <c:pt idx="134">
                  <c:v>4.4489999999999998</c:v>
                </c:pt>
                <c:pt idx="135">
                  <c:v>4.6210000000000004</c:v>
                </c:pt>
                <c:pt idx="136">
                  <c:v>4.22</c:v>
                </c:pt>
                <c:pt idx="137">
                  <c:v>2.7643</c:v>
                </c:pt>
                <c:pt idx="138">
                  <c:v>4.8711000000000002</c:v>
                </c:pt>
                <c:pt idx="139">
                  <c:v>2.2904999999999998</c:v>
                </c:pt>
                <c:pt idx="140">
                  <c:v>6.1210000000000004</c:v>
                </c:pt>
                <c:pt idx="141">
                  <c:v>7.7620000000000005</c:v>
                </c:pt>
                <c:pt idx="142">
                  <c:v>4.2025000000000006</c:v>
                </c:pt>
                <c:pt idx="143">
                  <c:v>4.0590000000000002</c:v>
                </c:pt>
                <c:pt idx="144">
                  <c:v>2.2643</c:v>
                </c:pt>
                <c:pt idx="145">
                  <c:v>6.3211000000000004</c:v>
                </c:pt>
                <c:pt idx="146">
                  <c:v>6.7569999999999997</c:v>
                </c:pt>
                <c:pt idx="147">
                  <c:v>6.4932999999999996</c:v>
                </c:pt>
                <c:pt idx="148">
                  <c:v>5.6189999999999998</c:v>
                </c:pt>
                <c:pt idx="149">
                  <c:v>3.9299999999999997</c:v>
                </c:pt>
                <c:pt idx="150">
                  <c:v>2.2195</c:v>
                </c:pt>
                <c:pt idx="151">
                  <c:v>3.4270000000000005</c:v>
                </c:pt>
                <c:pt idx="152">
                  <c:v>3.4314999999999998</c:v>
                </c:pt>
                <c:pt idx="153">
                  <c:v>3.7876000000000003</c:v>
                </c:pt>
                <c:pt idx="154">
                  <c:v>2.492</c:v>
                </c:pt>
                <c:pt idx="155">
                  <c:v>3.2430000000000003</c:v>
                </c:pt>
                <c:pt idx="156">
                  <c:v>3.8</c:v>
                </c:pt>
                <c:pt idx="157">
                  <c:v>3.3220000000000001</c:v>
                </c:pt>
                <c:pt idx="158">
                  <c:v>2.101</c:v>
                </c:pt>
                <c:pt idx="159">
                  <c:v>3.2040000000000006</c:v>
                </c:pt>
                <c:pt idx="160">
                  <c:v>2.2649999999999997</c:v>
                </c:pt>
                <c:pt idx="161">
                  <c:v>0.79800000000000004</c:v>
                </c:pt>
                <c:pt idx="162">
                  <c:v>4.66</c:v>
                </c:pt>
                <c:pt idx="163">
                  <c:v>1.42</c:v>
                </c:pt>
                <c:pt idx="164">
                  <c:v>2.65</c:v>
                </c:pt>
                <c:pt idx="165">
                  <c:v>4.0839999999999996</c:v>
                </c:pt>
                <c:pt idx="166">
                  <c:v>3.1159999999999997</c:v>
                </c:pt>
                <c:pt idx="167">
                  <c:v>2.4180000000000001</c:v>
                </c:pt>
                <c:pt idx="168">
                  <c:v>3.5649999999999999</c:v>
                </c:pt>
                <c:pt idx="169">
                  <c:v>3.3149999999999995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D3-844F-8014-D7B962FE8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2250288"/>
        <c:axId val="440103600"/>
      </c:scatterChart>
      <c:valAx>
        <c:axId val="822250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103600"/>
        <c:crosses val="autoZero"/>
        <c:crossBetween val="midCat"/>
      </c:valAx>
      <c:valAx>
        <c:axId val="44010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250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220132</xdr:colOff>
      <xdr:row>2</xdr:row>
      <xdr:rowOff>279400</xdr:rowOff>
    </xdr:from>
    <xdr:to>
      <xdr:col>20</xdr:col>
      <xdr:colOff>804332</xdr:colOff>
      <xdr:row>17</xdr:row>
      <xdr:rowOff>338666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D84E84-DD6A-5C44-9650-71255E8C2C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C4B0E-B5F5-E144-82BF-57CF214A6443}">
  <dimension ref="A1:K175"/>
  <sheetViews>
    <sheetView tabSelected="1" zoomScale="57" workbookViewId="0">
      <pane ySplit="1" topLeftCell="A149" activePane="bottomLeft" state="frozen"/>
      <selection pane="bottomLeft" activeCell="D164" sqref="D164"/>
    </sheetView>
  </sheetViews>
  <sheetFormatPr baseColWidth="10" defaultRowHeight="34"/>
  <cols>
    <col min="1" max="1" width="16.83203125" style="5" customWidth="1"/>
    <col min="2" max="2" width="36.1640625" style="3" bestFit="1" customWidth="1"/>
    <col min="3" max="3" width="30" style="3" bestFit="1" customWidth="1"/>
    <col min="4" max="4" width="36.1640625" style="3" bestFit="1" customWidth="1"/>
    <col min="5" max="5" width="30.6640625" style="3" bestFit="1" customWidth="1"/>
    <col min="6" max="6" width="30.6640625" style="3" customWidth="1"/>
    <col min="7" max="10" width="30.6640625" style="2" customWidth="1"/>
    <col min="11" max="16384" width="10.83203125" style="1"/>
  </cols>
  <sheetData>
    <row r="1" spans="1:11" s="4" customFormat="1" ht="55" thickBot="1">
      <c r="A1" s="7" t="s">
        <v>0</v>
      </c>
      <c r="B1" s="8" t="s">
        <v>158</v>
      </c>
      <c r="C1" s="8" t="s">
        <v>160</v>
      </c>
      <c r="D1" s="8" t="s">
        <v>161</v>
      </c>
      <c r="E1" s="8" t="s">
        <v>159</v>
      </c>
      <c r="F1" s="8" t="s">
        <v>162</v>
      </c>
      <c r="G1" s="9" t="s">
        <v>179</v>
      </c>
      <c r="H1" s="9" t="s">
        <v>178</v>
      </c>
      <c r="I1" s="9" t="s">
        <v>180</v>
      </c>
      <c r="J1" s="9" t="s">
        <v>163</v>
      </c>
      <c r="K1" s="8" t="s">
        <v>170</v>
      </c>
    </row>
    <row r="2" spans="1:11">
      <c r="A2" s="10" t="s">
        <v>2</v>
      </c>
      <c r="B2" s="11">
        <v>5.89</v>
      </c>
      <c r="C2" s="11">
        <v>1.3120000000000001</v>
      </c>
      <c r="D2" s="11">
        <v>4.8810000000000002</v>
      </c>
      <c r="E2" s="11">
        <v>2.2490000000000001</v>
      </c>
      <c r="F2" s="11"/>
      <c r="G2" s="12">
        <f t="shared" ref="G2:G5" si="0">B2-E2</f>
        <v>3.6409999999999996</v>
      </c>
      <c r="H2" s="12">
        <f>D2-C2</f>
        <v>3.569</v>
      </c>
      <c r="I2" s="12" t="str">
        <f>IF(ABS(H2-G2)&gt;0.1, "FLAG", "")</f>
        <v/>
      </c>
      <c r="J2" s="13"/>
      <c r="K2" s="14"/>
    </row>
    <row r="3" spans="1:11">
      <c r="A3" s="15" t="s">
        <v>1</v>
      </c>
      <c r="B3" s="16">
        <v>4.9790000000000001</v>
      </c>
      <c r="C3" s="16">
        <v>1.236</v>
      </c>
      <c r="D3" s="16">
        <v>3.972</v>
      </c>
      <c r="E3" s="16">
        <v>2.2189999999999999</v>
      </c>
      <c r="F3" s="16"/>
      <c r="G3" s="17">
        <f t="shared" si="0"/>
        <v>2.7600000000000002</v>
      </c>
      <c r="H3" s="12">
        <f t="shared" ref="H3:H67" si="1">D3-C3</f>
        <v>2.7359999999999998</v>
      </c>
      <c r="I3" s="12" t="str">
        <f t="shared" ref="I3:I66" si="2">IF(ABS(H3-G3)&gt;0.1, "FLAG", "")</f>
        <v/>
      </c>
      <c r="J3" s="18"/>
      <c r="K3" s="14"/>
    </row>
    <row r="4" spans="1:11">
      <c r="A4" s="19" t="s">
        <v>3</v>
      </c>
      <c r="B4" s="16">
        <v>5.9080000000000004</v>
      </c>
      <c r="C4" s="16">
        <v>1.3260000000000001</v>
      </c>
      <c r="D4" s="16">
        <v>4.4800000000000004</v>
      </c>
      <c r="E4" s="16">
        <v>2.7240000000000002</v>
      </c>
      <c r="F4" s="16"/>
      <c r="G4" s="17">
        <f t="shared" si="0"/>
        <v>3.1840000000000002</v>
      </c>
      <c r="H4" s="12">
        <f t="shared" si="1"/>
        <v>3.1540000000000004</v>
      </c>
      <c r="I4" s="12" t="str">
        <f t="shared" si="2"/>
        <v/>
      </c>
      <c r="J4" s="18"/>
      <c r="K4" s="14"/>
    </row>
    <row r="5" spans="1:11">
      <c r="A5" s="15" t="s">
        <v>8</v>
      </c>
      <c r="B5" s="16">
        <v>6.3780000000000001</v>
      </c>
      <c r="C5" s="16">
        <v>1.2290000000000001</v>
      </c>
      <c r="D5" s="16">
        <v>5.1879999999999997</v>
      </c>
      <c r="E5" s="16">
        <v>2.4060000000000001</v>
      </c>
      <c r="F5" s="16"/>
      <c r="G5" s="17">
        <f t="shared" si="0"/>
        <v>3.972</v>
      </c>
      <c r="H5" s="12">
        <f t="shared" si="1"/>
        <v>3.9589999999999996</v>
      </c>
      <c r="I5" s="12" t="str">
        <f t="shared" si="2"/>
        <v/>
      </c>
      <c r="J5" s="18"/>
      <c r="K5" s="14"/>
    </row>
    <row r="6" spans="1:11">
      <c r="A6" s="15" t="s">
        <v>32</v>
      </c>
      <c r="B6" s="16">
        <v>6.1020000000000003</v>
      </c>
      <c r="C6" s="16">
        <v>1.1819999999999999</v>
      </c>
      <c r="D6" s="16">
        <v>4.8760000000000003</v>
      </c>
      <c r="E6" s="16">
        <v>2.387</v>
      </c>
      <c r="F6" s="16"/>
      <c r="G6" s="17">
        <f t="shared" ref="G6:G72" si="3">B6-E6</f>
        <v>3.7150000000000003</v>
      </c>
      <c r="H6" s="12">
        <f t="shared" si="1"/>
        <v>3.6940000000000004</v>
      </c>
      <c r="I6" s="12" t="str">
        <f t="shared" si="2"/>
        <v/>
      </c>
      <c r="J6" s="18"/>
      <c r="K6" s="14"/>
    </row>
    <row r="7" spans="1:11">
      <c r="A7" s="15" t="s">
        <v>29</v>
      </c>
      <c r="B7" s="16">
        <v>6.077</v>
      </c>
      <c r="C7" s="16">
        <v>1.3029999999999999</v>
      </c>
      <c r="D7" s="16">
        <v>4.9800000000000004</v>
      </c>
      <c r="E7" s="16">
        <v>2.387</v>
      </c>
      <c r="F7" s="16"/>
      <c r="G7" s="17">
        <f t="shared" si="3"/>
        <v>3.69</v>
      </c>
      <c r="H7" s="12">
        <f t="shared" si="1"/>
        <v>3.6770000000000005</v>
      </c>
      <c r="I7" s="12" t="str">
        <f t="shared" si="2"/>
        <v/>
      </c>
      <c r="J7" s="18"/>
      <c r="K7" s="14"/>
    </row>
    <row r="8" spans="1:11">
      <c r="A8" s="15" t="s">
        <v>9</v>
      </c>
      <c r="B8" s="16">
        <v>4.7690000000000001</v>
      </c>
      <c r="C8" s="16">
        <v>1.2569999999999999</v>
      </c>
      <c r="D8" s="16">
        <v>3.6429999999999998</v>
      </c>
      <c r="E8" s="16">
        <v>2.3730000000000002</v>
      </c>
      <c r="F8" s="16"/>
      <c r="G8" s="17">
        <f t="shared" si="3"/>
        <v>2.3959999999999999</v>
      </c>
      <c r="H8" s="12">
        <f t="shared" si="1"/>
        <v>2.3860000000000001</v>
      </c>
      <c r="I8" s="12" t="str">
        <f t="shared" si="2"/>
        <v/>
      </c>
      <c r="J8" s="18"/>
      <c r="K8" s="14"/>
    </row>
    <row r="9" spans="1:11">
      <c r="A9" s="15" t="s">
        <v>10</v>
      </c>
      <c r="B9" s="16">
        <v>5.3579999999999997</v>
      </c>
      <c r="C9" s="16">
        <v>1.26</v>
      </c>
      <c r="D9" s="16">
        <v>4.4400000000000004</v>
      </c>
      <c r="E9" s="16">
        <v>2.177</v>
      </c>
      <c r="F9" s="16"/>
      <c r="G9" s="17">
        <f t="shared" si="3"/>
        <v>3.1809999999999996</v>
      </c>
      <c r="H9" s="12">
        <f t="shared" si="1"/>
        <v>3.1800000000000006</v>
      </c>
      <c r="I9" s="12" t="str">
        <f t="shared" si="2"/>
        <v/>
      </c>
      <c r="J9" s="18"/>
      <c r="K9" s="14"/>
    </row>
    <row r="10" spans="1:11">
      <c r="A10" s="15" t="s">
        <v>17</v>
      </c>
      <c r="B10" s="16">
        <v>5.375</v>
      </c>
      <c r="C10" s="16">
        <v>1.26</v>
      </c>
      <c r="D10" s="16">
        <v>4.327</v>
      </c>
      <c r="E10" s="16">
        <v>2.2970000000000002</v>
      </c>
      <c r="F10" s="16"/>
      <c r="G10" s="17">
        <f t="shared" si="3"/>
        <v>3.0779999999999998</v>
      </c>
      <c r="H10" s="12">
        <f t="shared" si="1"/>
        <v>3.0670000000000002</v>
      </c>
      <c r="I10" s="12" t="str">
        <f t="shared" si="2"/>
        <v/>
      </c>
      <c r="J10" s="18"/>
      <c r="K10" s="14"/>
    </row>
    <row r="11" spans="1:11">
      <c r="A11" s="15" t="s">
        <v>91</v>
      </c>
      <c r="B11" s="16">
        <v>6.3470000000000004</v>
      </c>
      <c r="C11" s="16">
        <v>1.262</v>
      </c>
      <c r="D11" s="16">
        <v>5.1619999999999999</v>
      </c>
      <c r="E11" s="16">
        <v>2.3849999999999998</v>
      </c>
      <c r="F11" s="16"/>
      <c r="G11" s="17">
        <f t="shared" si="3"/>
        <v>3.9620000000000006</v>
      </c>
      <c r="H11" s="12">
        <f t="shared" si="1"/>
        <v>3.9</v>
      </c>
      <c r="I11" s="12" t="str">
        <f t="shared" si="2"/>
        <v/>
      </c>
      <c r="J11" s="18"/>
      <c r="K11" s="14"/>
    </row>
    <row r="12" spans="1:11">
      <c r="A12" s="15" t="s">
        <v>23</v>
      </c>
      <c r="B12" s="16">
        <v>6.0359999999999996</v>
      </c>
      <c r="C12" s="16">
        <v>1.359</v>
      </c>
      <c r="D12" s="16">
        <v>4.9580000000000002</v>
      </c>
      <c r="E12" s="16">
        <v>2.4159999999999999</v>
      </c>
      <c r="F12" s="16"/>
      <c r="G12" s="17">
        <f t="shared" si="3"/>
        <v>3.6199999999999997</v>
      </c>
      <c r="H12" s="12">
        <f t="shared" si="1"/>
        <v>3.5990000000000002</v>
      </c>
      <c r="I12" s="12" t="str">
        <f t="shared" si="2"/>
        <v/>
      </c>
      <c r="J12" s="18"/>
      <c r="K12" s="14"/>
    </row>
    <row r="13" spans="1:11">
      <c r="A13" s="15" t="s">
        <v>90</v>
      </c>
      <c r="B13" s="16">
        <v>6.65</v>
      </c>
      <c r="C13" s="16">
        <v>1.357</v>
      </c>
      <c r="D13" s="16">
        <v>5.4169999999999998</v>
      </c>
      <c r="E13" s="16">
        <v>2.5859999999999999</v>
      </c>
      <c r="F13" s="16"/>
      <c r="G13" s="17">
        <f t="shared" si="3"/>
        <v>4.0640000000000001</v>
      </c>
      <c r="H13" s="12">
        <f t="shared" si="1"/>
        <v>4.0599999999999996</v>
      </c>
      <c r="I13" s="12" t="str">
        <f t="shared" si="2"/>
        <v/>
      </c>
      <c r="J13" s="18"/>
      <c r="K13" s="14"/>
    </row>
    <row r="14" spans="1:11">
      <c r="A14" s="15" t="s">
        <v>27</v>
      </c>
      <c r="B14" s="16">
        <v>6.4530000000000003</v>
      </c>
      <c r="C14" s="16">
        <v>1.2509999999999999</v>
      </c>
      <c r="D14" s="16">
        <v>4.9219999999999997</v>
      </c>
      <c r="E14" s="16">
        <v>2.7879999999999998</v>
      </c>
      <c r="F14" s="16"/>
      <c r="G14" s="17">
        <f t="shared" si="3"/>
        <v>3.6650000000000005</v>
      </c>
      <c r="H14" s="12">
        <f t="shared" si="1"/>
        <v>3.6709999999999998</v>
      </c>
      <c r="I14" s="12" t="str">
        <f t="shared" si="2"/>
        <v/>
      </c>
      <c r="J14" s="18"/>
      <c r="K14" s="14"/>
    </row>
    <row r="15" spans="1:11">
      <c r="A15" s="15" t="s">
        <v>4</v>
      </c>
      <c r="B15" s="16">
        <v>5.65</v>
      </c>
      <c r="C15" s="16">
        <v>1.2255</v>
      </c>
      <c r="D15" s="16">
        <v>4.681</v>
      </c>
      <c r="E15" s="16">
        <v>2.2109999999999999</v>
      </c>
      <c r="F15" s="16"/>
      <c r="G15" s="17">
        <f t="shared" si="3"/>
        <v>3.4390000000000005</v>
      </c>
      <c r="H15" s="12">
        <f t="shared" si="1"/>
        <v>3.4554999999999998</v>
      </c>
      <c r="I15" s="12" t="str">
        <f t="shared" si="2"/>
        <v/>
      </c>
      <c r="J15" s="18"/>
      <c r="K15" s="14"/>
    </row>
    <row r="16" spans="1:11">
      <c r="A16" s="15" t="s">
        <v>7</v>
      </c>
      <c r="B16" s="16">
        <v>5.3135000000000003</v>
      </c>
      <c r="C16" s="16">
        <v>1.2045999999999999</v>
      </c>
      <c r="D16" s="16">
        <v>3.7065999999999999</v>
      </c>
      <c r="E16" s="16">
        <v>2.7774000000000001</v>
      </c>
      <c r="F16" s="16"/>
      <c r="G16" s="17">
        <f t="shared" si="3"/>
        <v>2.5361000000000002</v>
      </c>
      <c r="H16" s="12">
        <f t="shared" si="1"/>
        <v>2.5019999999999998</v>
      </c>
      <c r="I16" s="12" t="str">
        <f t="shared" si="2"/>
        <v/>
      </c>
      <c r="J16" s="18"/>
      <c r="K16" s="14"/>
    </row>
    <row r="17" spans="1:11">
      <c r="A17" s="15" t="s">
        <v>48</v>
      </c>
      <c r="B17" s="16">
        <v>6.8371000000000004</v>
      </c>
      <c r="C17" s="16">
        <v>1.2202999999999999</v>
      </c>
      <c r="D17" s="16">
        <v>5.4861000000000004</v>
      </c>
      <c r="E17" s="16">
        <v>2.5446</v>
      </c>
      <c r="F17" s="16"/>
      <c r="G17" s="17">
        <f t="shared" si="3"/>
        <v>4.2925000000000004</v>
      </c>
      <c r="H17" s="12">
        <f t="shared" si="1"/>
        <v>4.2658000000000005</v>
      </c>
      <c r="I17" s="12" t="str">
        <f t="shared" si="2"/>
        <v/>
      </c>
      <c r="J17" s="18"/>
      <c r="K17" s="14"/>
    </row>
    <row r="18" spans="1:11">
      <c r="A18" s="15" t="s">
        <v>49</v>
      </c>
      <c r="B18" s="16">
        <v>5.2975000000000003</v>
      </c>
      <c r="C18" s="16">
        <v>1.2219</v>
      </c>
      <c r="D18" s="16">
        <v>4.1574999999999998</v>
      </c>
      <c r="E18" s="16">
        <v>2.3500999999999999</v>
      </c>
      <c r="F18" s="16"/>
      <c r="G18" s="17">
        <f t="shared" si="3"/>
        <v>2.9474000000000005</v>
      </c>
      <c r="H18" s="12">
        <f t="shared" si="1"/>
        <v>2.9356</v>
      </c>
      <c r="I18" s="12" t="str">
        <f t="shared" si="2"/>
        <v/>
      </c>
      <c r="J18" s="18"/>
      <c r="K18" s="14"/>
    </row>
    <row r="19" spans="1:11">
      <c r="A19" s="15" t="s">
        <v>54</v>
      </c>
      <c r="B19" s="16">
        <v>6.0039999999999996</v>
      </c>
      <c r="C19" s="16">
        <v>1.1819999999999999</v>
      </c>
      <c r="D19" s="16">
        <v>4.6070000000000002</v>
      </c>
      <c r="E19" s="16">
        <v>2.5739999999999998</v>
      </c>
      <c r="F19" s="16"/>
      <c r="G19" s="17">
        <f t="shared" si="3"/>
        <v>3.4299999999999997</v>
      </c>
      <c r="H19" s="12">
        <f t="shared" si="1"/>
        <v>3.4250000000000003</v>
      </c>
      <c r="I19" s="12" t="str">
        <f t="shared" si="2"/>
        <v/>
      </c>
      <c r="J19" s="18"/>
      <c r="K19" s="14"/>
    </row>
    <row r="20" spans="1:11">
      <c r="A20" s="15" t="s">
        <v>55</v>
      </c>
      <c r="B20" s="16">
        <v>6.2933000000000003</v>
      </c>
      <c r="C20" s="16">
        <v>1.2353000000000001</v>
      </c>
      <c r="D20" s="16">
        <v>5.1604999999999999</v>
      </c>
      <c r="E20" s="16">
        <v>2.3593000000000002</v>
      </c>
      <c r="F20" s="16"/>
      <c r="G20" s="17">
        <f t="shared" si="3"/>
        <v>3.9340000000000002</v>
      </c>
      <c r="H20" s="12">
        <f t="shared" si="1"/>
        <v>3.9251999999999998</v>
      </c>
      <c r="I20" s="12" t="str">
        <f t="shared" si="2"/>
        <v/>
      </c>
      <c r="J20" s="18"/>
      <c r="K20" s="14"/>
    </row>
    <row r="21" spans="1:11">
      <c r="A21" s="15" t="s">
        <v>56</v>
      </c>
      <c r="B21" s="16">
        <v>5.8090000000000002</v>
      </c>
      <c r="C21" s="16">
        <v>1.2789999999999999</v>
      </c>
      <c r="D21" s="16">
        <v>4.6150000000000002</v>
      </c>
      <c r="E21" s="16">
        <v>2.4529999999999998</v>
      </c>
      <c r="F21" s="16"/>
      <c r="G21" s="17">
        <f t="shared" si="3"/>
        <v>3.3560000000000003</v>
      </c>
      <c r="H21" s="12">
        <f t="shared" si="1"/>
        <v>3.3360000000000003</v>
      </c>
      <c r="I21" s="12" t="str">
        <f t="shared" si="2"/>
        <v/>
      </c>
      <c r="J21" s="18"/>
      <c r="K21" s="14"/>
    </row>
    <row r="22" spans="1:11">
      <c r="A22" s="15" t="s">
        <v>57</v>
      </c>
      <c r="B22" s="16">
        <v>6.4752000000000001</v>
      </c>
      <c r="C22" s="16">
        <v>1.2470000000000001</v>
      </c>
      <c r="D22" s="16">
        <v>5.3662000000000001</v>
      </c>
      <c r="E22" s="16">
        <v>2.3369</v>
      </c>
      <c r="F22" s="16"/>
      <c r="G22" s="17">
        <f t="shared" si="3"/>
        <v>4.1383000000000001</v>
      </c>
      <c r="H22" s="12">
        <f t="shared" si="1"/>
        <v>4.1192000000000002</v>
      </c>
      <c r="I22" s="12" t="str">
        <f t="shared" si="2"/>
        <v/>
      </c>
      <c r="J22" s="18"/>
      <c r="K22" s="14"/>
    </row>
    <row r="23" spans="1:11">
      <c r="A23" s="15" t="s">
        <v>58</v>
      </c>
      <c r="B23" s="16">
        <v>7.1056999999999997</v>
      </c>
      <c r="C23" s="16">
        <v>1.1807000000000001</v>
      </c>
      <c r="D23" s="16">
        <v>5.7595000000000001</v>
      </c>
      <c r="E23" s="16">
        <v>2.5114000000000001</v>
      </c>
      <c r="F23" s="16"/>
      <c r="G23" s="17">
        <f t="shared" si="3"/>
        <v>4.5942999999999996</v>
      </c>
      <c r="H23" s="12">
        <f t="shared" si="1"/>
        <v>4.5788000000000002</v>
      </c>
      <c r="I23" s="12" t="str">
        <f t="shared" si="2"/>
        <v/>
      </c>
      <c r="J23" s="18"/>
      <c r="K23" s="14"/>
    </row>
    <row r="24" spans="1:11">
      <c r="A24" s="15" t="s">
        <v>50</v>
      </c>
      <c r="B24" s="16">
        <v>6.3719000000000001</v>
      </c>
      <c r="C24" s="16">
        <v>1.2232000000000001</v>
      </c>
      <c r="D24" s="16">
        <v>4.923</v>
      </c>
      <c r="E24" s="16">
        <v>2.6160000000000001</v>
      </c>
      <c r="F24" s="16"/>
      <c r="G24" s="17">
        <f t="shared" si="3"/>
        <v>3.7559</v>
      </c>
      <c r="H24" s="12">
        <f t="shared" si="1"/>
        <v>3.6997999999999998</v>
      </c>
      <c r="I24" s="12" t="str">
        <f t="shared" si="2"/>
        <v/>
      </c>
      <c r="J24" s="18"/>
      <c r="K24" s="14"/>
    </row>
    <row r="25" spans="1:11">
      <c r="A25" s="15" t="s">
        <v>117</v>
      </c>
      <c r="B25" s="16">
        <v>6.86</v>
      </c>
      <c r="C25" s="16">
        <f>1.231-0.028</f>
        <v>1.2030000000000001</v>
      </c>
      <c r="D25" s="16">
        <v>5.6669999999999998</v>
      </c>
      <c r="E25" s="16">
        <v>2.3420000000000001</v>
      </c>
      <c r="F25" s="16"/>
      <c r="G25" s="17">
        <f t="shared" si="3"/>
        <v>4.5180000000000007</v>
      </c>
      <c r="H25" s="12">
        <f t="shared" si="1"/>
        <v>4.4639999999999995</v>
      </c>
      <c r="I25" s="12" t="str">
        <f t="shared" si="2"/>
        <v/>
      </c>
      <c r="J25" s="18"/>
      <c r="K25" s="14"/>
    </row>
    <row r="26" spans="1:11">
      <c r="A26" s="15" t="s">
        <v>69</v>
      </c>
      <c r="B26" s="16">
        <v>7.4779999999999998</v>
      </c>
      <c r="C26" s="16">
        <v>1.214</v>
      </c>
      <c r="D26" s="16">
        <v>5.8259999999999996</v>
      </c>
      <c r="E26" s="16">
        <v>2.8460000000000001</v>
      </c>
      <c r="F26" s="16"/>
      <c r="G26" s="17">
        <f t="shared" si="3"/>
        <v>4.6319999999999997</v>
      </c>
      <c r="H26" s="12">
        <f t="shared" si="1"/>
        <v>4.6120000000000001</v>
      </c>
      <c r="I26" s="12" t="str">
        <f t="shared" si="2"/>
        <v/>
      </c>
      <c r="J26" s="18"/>
      <c r="K26" s="14"/>
    </row>
    <row r="27" spans="1:11">
      <c r="A27" s="15" t="s">
        <v>70</v>
      </c>
      <c r="B27" s="16">
        <v>7.3090000000000002</v>
      </c>
      <c r="C27" s="16">
        <v>1.2130000000000001</v>
      </c>
      <c r="D27" s="16">
        <v>6.0810810810810798</v>
      </c>
      <c r="E27" s="16">
        <v>2.415</v>
      </c>
      <c r="F27" s="16"/>
      <c r="G27" s="17">
        <f t="shared" si="3"/>
        <v>4.8940000000000001</v>
      </c>
      <c r="H27" s="12">
        <f t="shared" si="1"/>
        <v>4.8680810810810797</v>
      </c>
      <c r="I27" s="12" t="str">
        <f t="shared" si="2"/>
        <v/>
      </c>
      <c r="J27" s="18"/>
      <c r="K27" s="14"/>
    </row>
    <row r="28" spans="1:11">
      <c r="A28" s="15" t="s">
        <v>71</v>
      </c>
      <c r="B28" s="16">
        <v>6.6105999999999998</v>
      </c>
      <c r="C28" s="16">
        <v>1.1901999999999999</v>
      </c>
      <c r="D28" s="16">
        <v>5.1475999999999997</v>
      </c>
      <c r="E28" s="16">
        <v>2.6469999999999998</v>
      </c>
      <c r="F28" s="16"/>
      <c r="G28" s="17">
        <f t="shared" si="3"/>
        <v>3.9636</v>
      </c>
      <c r="H28" s="12">
        <f t="shared" si="1"/>
        <v>3.9573999999999998</v>
      </c>
      <c r="I28" s="12" t="str">
        <f t="shared" si="2"/>
        <v/>
      </c>
      <c r="J28" s="18"/>
      <c r="K28" s="14"/>
    </row>
    <row r="29" spans="1:11">
      <c r="A29" s="15" t="s">
        <v>72</v>
      </c>
      <c r="B29" s="16">
        <v>7.0303000000000004</v>
      </c>
      <c r="C29" s="16">
        <v>1.2998000000000001</v>
      </c>
      <c r="D29" s="16">
        <v>5.6879999999999997</v>
      </c>
      <c r="E29" s="16">
        <v>2.5910000000000002</v>
      </c>
      <c r="F29" s="16"/>
      <c r="G29" s="17">
        <f t="shared" si="3"/>
        <v>4.4393000000000002</v>
      </c>
      <c r="H29" s="12">
        <f t="shared" si="1"/>
        <v>4.3881999999999994</v>
      </c>
      <c r="I29" s="12" t="str">
        <f t="shared" si="2"/>
        <v/>
      </c>
      <c r="J29" s="18"/>
      <c r="K29" s="14"/>
    </row>
    <row r="30" spans="1:11">
      <c r="A30" s="15" t="s">
        <v>47</v>
      </c>
      <c r="B30" s="16">
        <v>7.6185999999999998</v>
      </c>
      <c r="C30" s="16">
        <v>1.2543</v>
      </c>
      <c r="D30" s="16">
        <v>5.7541000000000002</v>
      </c>
      <c r="E30" s="16">
        <v>3.1013999999999999</v>
      </c>
      <c r="F30" s="16"/>
      <c r="G30" s="17">
        <f t="shared" si="3"/>
        <v>4.5171999999999999</v>
      </c>
      <c r="H30" s="12">
        <f t="shared" si="1"/>
        <v>4.4998000000000005</v>
      </c>
      <c r="I30" s="12" t="str">
        <f t="shared" si="2"/>
        <v/>
      </c>
      <c r="J30" s="18"/>
      <c r="K30" s="14"/>
    </row>
    <row r="31" spans="1:11">
      <c r="A31" s="15" t="s">
        <v>134</v>
      </c>
      <c r="B31" s="16">
        <v>6.4074999999999998</v>
      </c>
      <c r="C31" s="16">
        <v>1.2270000000000001</v>
      </c>
      <c r="D31" s="16">
        <v>5.1212999999999997</v>
      </c>
      <c r="E31" s="16">
        <v>2.4977999999999998</v>
      </c>
      <c r="F31" s="16"/>
      <c r="G31" s="17">
        <f t="shared" si="3"/>
        <v>3.9097</v>
      </c>
      <c r="H31" s="12">
        <f t="shared" si="1"/>
        <v>3.8942999999999994</v>
      </c>
      <c r="I31" s="12" t="str">
        <f t="shared" si="2"/>
        <v/>
      </c>
      <c r="J31" s="18"/>
      <c r="K31" s="14"/>
    </row>
    <row r="32" spans="1:11">
      <c r="A32" s="15" t="s">
        <v>133</v>
      </c>
      <c r="B32" s="16">
        <v>6.194</v>
      </c>
      <c r="C32" s="16">
        <v>1.2090000000000001</v>
      </c>
      <c r="D32" s="16">
        <v>4.9379999999999997</v>
      </c>
      <c r="E32" s="16">
        <v>2.4500000000000002</v>
      </c>
      <c r="F32" s="16"/>
      <c r="G32" s="17">
        <f t="shared" si="3"/>
        <v>3.7439999999999998</v>
      </c>
      <c r="H32" s="12">
        <f t="shared" si="1"/>
        <v>3.7289999999999996</v>
      </c>
      <c r="I32" s="12" t="str">
        <f t="shared" si="2"/>
        <v/>
      </c>
      <c r="J32" s="18"/>
      <c r="K32" s="14"/>
    </row>
    <row r="33" spans="1:11">
      <c r="A33" s="15" t="s">
        <v>132</v>
      </c>
      <c r="B33" s="16">
        <v>5.3605</v>
      </c>
      <c r="C33" s="16">
        <v>1.2087000000000001</v>
      </c>
      <c r="D33" s="16">
        <v>4.3136999999999999</v>
      </c>
      <c r="E33" s="16">
        <v>2.2313999999999998</v>
      </c>
      <c r="F33" s="16"/>
      <c r="G33" s="17">
        <f t="shared" si="3"/>
        <v>3.1291000000000002</v>
      </c>
      <c r="H33" s="12">
        <f t="shared" si="1"/>
        <v>3.1049999999999995</v>
      </c>
      <c r="I33" s="12" t="str">
        <f t="shared" si="2"/>
        <v/>
      </c>
      <c r="J33" s="18"/>
      <c r="K33" s="14"/>
    </row>
    <row r="34" spans="1:11">
      <c r="A34" s="15" t="s">
        <v>141</v>
      </c>
      <c r="B34" s="16">
        <v>5.6058000000000003</v>
      </c>
      <c r="C34" s="16">
        <v>1.2173</v>
      </c>
      <c r="D34" s="16">
        <v>4.3602999999999996</v>
      </c>
      <c r="E34" s="16">
        <v>2.4464000000000001</v>
      </c>
      <c r="F34" s="16"/>
      <c r="G34" s="17">
        <f t="shared" si="3"/>
        <v>3.1594000000000002</v>
      </c>
      <c r="H34" s="12">
        <f t="shared" si="1"/>
        <v>3.1429999999999998</v>
      </c>
      <c r="I34" s="12" t="str">
        <f t="shared" si="2"/>
        <v/>
      </c>
      <c r="J34" s="18"/>
      <c r="K34" s="14"/>
    </row>
    <row r="35" spans="1:11">
      <c r="A35" s="15" t="s">
        <v>88</v>
      </c>
      <c r="B35" s="16"/>
      <c r="C35" s="16"/>
      <c r="D35" s="16"/>
      <c r="E35" s="16"/>
      <c r="F35" s="16"/>
      <c r="G35" s="17">
        <f t="shared" si="3"/>
        <v>0</v>
      </c>
      <c r="H35" s="12">
        <f t="shared" si="1"/>
        <v>0</v>
      </c>
      <c r="I35" s="12" t="str">
        <f t="shared" si="2"/>
        <v/>
      </c>
      <c r="J35" s="18"/>
      <c r="K35" s="14"/>
    </row>
    <row r="36" spans="1:11">
      <c r="A36" s="15" t="s">
        <v>19</v>
      </c>
      <c r="B36" s="16">
        <v>4.2919999999999998</v>
      </c>
      <c r="C36" s="16">
        <v>1.24</v>
      </c>
      <c r="D36" s="16">
        <v>3.3519999999999999</v>
      </c>
      <c r="E36" s="16">
        <v>2.17</v>
      </c>
      <c r="F36" s="16"/>
      <c r="G36" s="17">
        <f t="shared" si="3"/>
        <v>2.1219999999999999</v>
      </c>
      <c r="H36" s="12">
        <f t="shared" si="1"/>
        <v>2.1120000000000001</v>
      </c>
      <c r="I36" s="12" t="str">
        <f t="shared" si="2"/>
        <v/>
      </c>
      <c r="J36" s="18"/>
      <c r="K36" s="14"/>
    </row>
    <row r="37" spans="1:11">
      <c r="A37" s="15" t="s">
        <v>79</v>
      </c>
      <c r="B37" s="16">
        <v>4.9989999999999997</v>
      </c>
      <c r="C37" s="16">
        <v>1.32</v>
      </c>
      <c r="D37" s="16">
        <v>3.9940000000000002</v>
      </c>
      <c r="E37" s="16">
        <v>2.3210000000000002</v>
      </c>
      <c r="F37" s="16"/>
      <c r="G37" s="17">
        <f t="shared" si="3"/>
        <v>2.6779999999999995</v>
      </c>
      <c r="H37" s="12">
        <f t="shared" si="1"/>
        <v>2.6740000000000004</v>
      </c>
      <c r="I37" s="12" t="str">
        <f t="shared" si="2"/>
        <v/>
      </c>
      <c r="J37" s="18"/>
      <c r="K37" s="14"/>
    </row>
    <row r="38" spans="1:11">
      <c r="A38" s="15" t="s">
        <v>78</v>
      </c>
      <c r="B38" s="16">
        <v>7.702</v>
      </c>
      <c r="C38" s="16">
        <v>1.288</v>
      </c>
      <c r="D38" s="16">
        <v>6.3940000000000001</v>
      </c>
      <c r="E38" s="16">
        <v>2.5640000000000001</v>
      </c>
      <c r="F38" s="16"/>
      <c r="G38" s="17">
        <f t="shared" si="3"/>
        <v>5.1379999999999999</v>
      </c>
      <c r="H38" s="12">
        <f t="shared" si="1"/>
        <v>5.1059999999999999</v>
      </c>
      <c r="I38" s="12" t="str">
        <f t="shared" si="2"/>
        <v/>
      </c>
      <c r="J38" s="18"/>
      <c r="K38" s="14"/>
    </row>
    <row r="39" spans="1:11">
      <c r="A39" s="15" t="s">
        <v>11</v>
      </c>
      <c r="B39" s="16">
        <v>9.7609999999999992</v>
      </c>
      <c r="C39" s="16">
        <v>1.2</v>
      </c>
      <c r="D39" s="16">
        <v>8.5980000000000008</v>
      </c>
      <c r="E39" s="16">
        <v>2.3370000000000002</v>
      </c>
      <c r="F39" s="16"/>
      <c r="G39" s="17">
        <f t="shared" si="3"/>
        <v>7.4239999999999995</v>
      </c>
      <c r="H39" s="12">
        <f t="shared" si="1"/>
        <v>7.3980000000000006</v>
      </c>
      <c r="I39" s="12" t="str">
        <f t="shared" si="2"/>
        <v/>
      </c>
      <c r="J39" s="18"/>
      <c r="K39" s="14"/>
    </row>
    <row r="40" spans="1:11">
      <c r="A40" s="15" t="s">
        <v>66</v>
      </c>
      <c r="B40" s="16">
        <v>4.0019999999999998</v>
      </c>
      <c r="C40" s="16">
        <v>1.276</v>
      </c>
      <c r="D40" s="16">
        <v>2.8220000000000001</v>
      </c>
      <c r="E40" s="16">
        <v>2.4550000000000001</v>
      </c>
      <c r="F40" s="16"/>
      <c r="G40" s="17">
        <f t="shared" si="3"/>
        <v>1.5469999999999997</v>
      </c>
      <c r="H40" s="12">
        <f t="shared" si="1"/>
        <v>1.546</v>
      </c>
      <c r="I40" s="12" t="str">
        <f t="shared" si="2"/>
        <v/>
      </c>
      <c r="J40" s="18"/>
      <c r="K40" s="14"/>
    </row>
    <row r="41" spans="1:11">
      <c r="A41" s="15" t="s">
        <v>61</v>
      </c>
      <c r="B41" s="16">
        <v>5.0949999999999998</v>
      </c>
      <c r="C41" s="16">
        <v>1.3560000000000001</v>
      </c>
      <c r="D41" s="16">
        <v>3.8719999999999999</v>
      </c>
      <c r="E41" s="16">
        <v>2.56</v>
      </c>
      <c r="F41" s="16"/>
      <c r="G41" s="17">
        <f t="shared" si="3"/>
        <v>2.5349999999999997</v>
      </c>
      <c r="H41" s="12">
        <f t="shared" si="1"/>
        <v>2.516</v>
      </c>
      <c r="I41" s="12" t="str">
        <f t="shared" si="2"/>
        <v/>
      </c>
      <c r="J41" s="18"/>
      <c r="K41" s="14"/>
    </row>
    <row r="42" spans="1:11">
      <c r="A42" s="15" t="s">
        <v>65</v>
      </c>
      <c r="B42" s="16"/>
      <c r="C42" s="16"/>
      <c r="D42" s="16"/>
      <c r="E42" s="16"/>
      <c r="F42" s="16"/>
      <c r="G42" s="17">
        <f t="shared" si="3"/>
        <v>0</v>
      </c>
      <c r="H42" s="12">
        <f t="shared" si="1"/>
        <v>0</v>
      </c>
      <c r="I42" s="12" t="str">
        <f t="shared" si="2"/>
        <v/>
      </c>
      <c r="J42" s="18"/>
      <c r="K42" s="14"/>
    </row>
    <row r="43" spans="1:11">
      <c r="A43" s="15" t="s">
        <v>60</v>
      </c>
      <c r="B43" s="16">
        <v>5.9409999999999998</v>
      </c>
      <c r="C43" s="16">
        <v>1.3480000000000001</v>
      </c>
      <c r="D43" s="16">
        <v>4.79</v>
      </c>
      <c r="E43" s="16">
        <v>2.4590000000000001</v>
      </c>
      <c r="F43" s="16"/>
      <c r="G43" s="17">
        <f t="shared" si="3"/>
        <v>3.4819999999999998</v>
      </c>
      <c r="H43" s="12">
        <f t="shared" si="1"/>
        <v>3.4420000000000002</v>
      </c>
      <c r="I43" s="12" t="str">
        <f t="shared" si="2"/>
        <v/>
      </c>
      <c r="J43" s="18"/>
      <c r="K43" s="14"/>
    </row>
    <row r="44" spans="1:11">
      <c r="A44" s="15" t="s">
        <v>123</v>
      </c>
      <c r="B44" s="16">
        <v>7.4530000000000003</v>
      </c>
      <c r="C44" s="16">
        <v>1.252</v>
      </c>
      <c r="D44" s="16">
        <v>6.2460000000000004</v>
      </c>
      <c r="E44" s="16">
        <v>2.444</v>
      </c>
      <c r="F44" s="16"/>
      <c r="G44" s="17">
        <f t="shared" si="3"/>
        <v>5.0090000000000003</v>
      </c>
      <c r="H44" s="12">
        <f t="shared" si="1"/>
        <v>4.9940000000000007</v>
      </c>
      <c r="I44" s="12" t="str">
        <f t="shared" si="2"/>
        <v/>
      </c>
      <c r="J44" s="18"/>
      <c r="K44" s="14"/>
    </row>
    <row r="45" spans="1:11">
      <c r="A45" s="15" t="s">
        <v>127</v>
      </c>
      <c r="B45" s="16">
        <v>6.1029999999999998</v>
      </c>
      <c r="C45" s="16">
        <v>1.23</v>
      </c>
      <c r="D45" s="16">
        <v>4.88</v>
      </c>
      <c r="E45" s="16">
        <v>2.4260000000000002</v>
      </c>
      <c r="F45" s="16"/>
      <c r="G45" s="17">
        <f t="shared" si="3"/>
        <v>3.6769999999999996</v>
      </c>
      <c r="H45" s="12">
        <f t="shared" si="1"/>
        <v>3.65</v>
      </c>
      <c r="I45" s="12" t="str">
        <f t="shared" si="2"/>
        <v/>
      </c>
      <c r="J45" s="18"/>
      <c r="K45" s="14"/>
    </row>
    <row r="46" spans="1:11">
      <c r="A46" s="15" t="s">
        <v>46</v>
      </c>
      <c r="B46" s="16"/>
      <c r="C46" s="16"/>
      <c r="D46" s="16"/>
      <c r="E46" s="16"/>
      <c r="F46" s="16"/>
      <c r="G46" s="17">
        <f t="shared" si="3"/>
        <v>0</v>
      </c>
      <c r="H46" s="12">
        <f t="shared" si="1"/>
        <v>0</v>
      </c>
      <c r="I46" s="12" t="str">
        <f t="shared" si="2"/>
        <v/>
      </c>
      <c r="J46" s="18"/>
      <c r="K46" s="14"/>
    </row>
    <row r="47" spans="1:11">
      <c r="A47" s="15" t="s">
        <v>181</v>
      </c>
      <c r="B47" s="16">
        <v>6.4550000000000001</v>
      </c>
      <c r="C47" s="16">
        <v>1.3109999999999999</v>
      </c>
      <c r="D47" s="16">
        <v>5.2949999999999999</v>
      </c>
      <c r="E47" s="16">
        <v>2.4420000000000002</v>
      </c>
      <c r="F47" s="16"/>
      <c r="G47" s="17">
        <f t="shared" ref="G47" si="4">B47-E47</f>
        <v>4.0129999999999999</v>
      </c>
      <c r="H47" s="12">
        <f t="shared" ref="H47" si="5">D47-C47</f>
        <v>3.984</v>
      </c>
      <c r="I47" s="12" t="str">
        <f t="shared" si="2"/>
        <v/>
      </c>
      <c r="J47" s="18"/>
      <c r="K47" s="14"/>
    </row>
    <row r="48" spans="1:11">
      <c r="A48" s="15" t="s">
        <v>119</v>
      </c>
      <c r="B48" s="16">
        <v>6.19</v>
      </c>
      <c r="C48" s="16">
        <v>1.212</v>
      </c>
      <c r="D48" s="16">
        <v>4.7190000000000003</v>
      </c>
      <c r="E48" s="16">
        <v>2.6320000000000001</v>
      </c>
      <c r="F48" s="16"/>
      <c r="G48" s="17">
        <f t="shared" si="3"/>
        <v>3.5580000000000003</v>
      </c>
      <c r="H48" s="12">
        <f t="shared" si="1"/>
        <v>3.5070000000000006</v>
      </c>
      <c r="I48" s="12" t="str">
        <f t="shared" si="2"/>
        <v/>
      </c>
      <c r="J48" s="18"/>
      <c r="K48" s="14"/>
    </row>
    <row r="49" spans="1:11">
      <c r="A49" s="15" t="s">
        <v>118</v>
      </c>
      <c r="B49" s="16">
        <v>5.9260000000000002</v>
      </c>
      <c r="C49" s="16">
        <v>1.375</v>
      </c>
      <c r="D49" s="16">
        <v>4.8860000000000001</v>
      </c>
      <c r="E49" s="16">
        <v>2.3889999999999998</v>
      </c>
      <c r="F49" s="16"/>
      <c r="G49" s="17">
        <f t="shared" si="3"/>
        <v>3.5370000000000004</v>
      </c>
      <c r="H49" s="12">
        <f t="shared" si="1"/>
        <v>3.5110000000000001</v>
      </c>
      <c r="I49" s="12" t="str">
        <f t="shared" si="2"/>
        <v/>
      </c>
      <c r="J49" s="18"/>
      <c r="K49" s="14"/>
    </row>
    <row r="50" spans="1:11">
      <c r="A50" s="15" t="s">
        <v>96</v>
      </c>
      <c r="B50" s="16">
        <v>7.6390000000000002</v>
      </c>
      <c r="C50" s="16">
        <v>1.351</v>
      </c>
      <c r="D50" s="16">
        <v>6.5540000000000003</v>
      </c>
      <c r="E50" s="16">
        <v>2.4089999999999998</v>
      </c>
      <c r="F50" s="16"/>
      <c r="G50" s="17">
        <f t="shared" si="3"/>
        <v>5.23</v>
      </c>
      <c r="H50" s="12">
        <f t="shared" si="1"/>
        <v>5.2030000000000003</v>
      </c>
      <c r="I50" s="12" t="str">
        <f t="shared" si="2"/>
        <v/>
      </c>
      <c r="J50" s="18"/>
      <c r="K50" s="14"/>
    </row>
    <row r="51" spans="1:11">
      <c r="A51" s="15" t="s">
        <v>97</v>
      </c>
      <c r="B51" s="16">
        <v>8.0310000000000006</v>
      </c>
      <c r="C51" s="16">
        <v>1.323</v>
      </c>
      <c r="D51" s="16">
        <v>6.8330000000000002</v>
      </c>
      <c r="E51" s="16">
        <v>2.4969999999999999</v>
      </c>
      <c r="F51" s="16"/>
      <c r="G51" s="17">
        <f t="shared" si="3"/>
        <v>5.5340000000000007</v>
      </c>
      <c r="H51" s="12">
        <f t="shared" si="1"/>
        <v>5.51</v>
      </c>
      <c r="I51" s="12" t="str">
        <f t="shared" si="2"/>
        <v/>
      </c>
      <c r="J51" s="18"/>
      <c r="K51" s="14"/>
    </row>
    <row r="52" spans="1:11">
      <c r="A52" s="15" t="s">
        <v>15</v>
      </c>
      <c r="B52" s="16">
        <v>5.4660000000000002</v>
      </c>
      <c r="C52" s="16">
        <v>1.208</v>
      </c>
      <c r="D52" s="16">
        <v>4.3970000000000002</v>
      </c>
      <c r="E52" s="16">
        <v>2.27</v>
      </c>
      <c r="F52" s="16"/>
      <c r="G52" s="17">
        <f t="shared" si="3"/>
        <v>3.1960000000000002</v>
      </c>
      <c r="H52" s="12">
        <f t="shared" si="1"/>
        <v>3.1890000000000001</v>
      </c>
      <c r="I52" s="12" t="str">
        <f t="shared" si="2"/>
        <v/>
      </c>
      <c r="J52" s="18"/>
      <c r="K52" s="14"/>
    </row>
    <row r="53" spans="1:11">
      <c r="A53" s="15" t="s">
        <v>129</v>
      </c>
      <c r="B53" s="16">
        <v>5.35</v>
      </c>
      <c r="C53" s="16">
        <v>1.2230000000000001</v>
      </c>
      <c r="D53" s="16">
        <v>4.242</v>
      </c>
      <c r="E53" s="16">
        <v>2.298</v>
      </c>
      <c r="F53" s="16"/>
      <c r="G53" s="17">
        <f t="shared" si="3"/>
        <v>3.0519999999999996</v>
      </c>
      <c r="H53" s="12">
        <f t="shared" si="1"/>
        <v>3.0190000000000001</v>
      </c>
      <c r="I53" s="12" t="str">
        <f t="shared" si="2"/>
        <v/>
      </c>
      <c r="J53" s="18"/>
      <c r="K53" s="14"/>
    </row>
    <row r="54" spans="1:11">
      <c r="A54" s="15" t="s">
        <v>128</v>
      </c>
      <c r="B54" s="16">
        <v>6.431</v>
      </c>
      <c r="C54" s="16">
        <v>1.3049999999999999</v>
      </c>
      <c r="D54" s="16">
        <v>5.2519999999999998</v>
      </c>
      <c r="E54" s="16">
        <v>2.44</v>
      </c>
      <c r="F54" s="16"/>
      <c r="G54" s="17">
        <f t="shared" si="3"/>
        <v>3.9910000000000001</v>
      </c>
      <c r="H54" s="12">
        <f t="shared" si="1"/>
        <v>3.9470000000000001</v>
      </c>
      <c r="I54" s="12" t="str">
        <f t="shared" si="2"/>
        <v/>
      </c>
      <c r="J54" s="18"/>
      <c r="K54" s="14"/>
    </row>
    <row r="55" spans="1:11">
      <c r="A55" s="15" t="s">
        <v>131</v>
      </c>
      <c r="B55" s="16">
        <v>5.8209999999999997</v>
      </c>
      <c r="C55" s="16">
        <v>1.3080000000000001</v>
      </c>
      <c r="D55" s="16">
        <v>4.9340000000000002</v>
      </c>
      <c r="E55" s="16">
        <v>2.1880000000000002</v>
      </c>
      <c r="F55" s="16"/>
      <c r="G55" s="17">
        <f t="shared" si="3"/>
        <v>3.6329999999999996</v>
      </c>
      <c r="H55" s="12">
        <f t="shared" si="1"/>
        <v>3.6260000000000003</v>
      </c>
      <c r="I55" s="12" t="str">
        <f t="shared" si="2"/>
        <v/>
      </c>
      <c r="J55" s="18"/>
      <c r="K55" s="14"/>
    </row>
    <row r="56" spans="1:11">
      <c r="A56" s="15" t="s">
        <v>130</v>
      </c>
      <c r="B56" s="16">
        <v>4.7910000000000004</v>
      </c>
      <c r="C56" s="16">
        <v>1.292</v>
      </c>
      <c r="D56" s="16">
        <v>3.871</v>
      </c>
      <c r="E56" s="16">
        <v>2.2040000000000002</v>
      </c>
      <c r="F56" s="16"/>
      <c r="G56" s="17">
        <f t="shared" si="3"/>
        <v>2.5870000000000002</v>
      </c>
      <c r="H56" s="12">
        <f t="shared" si="1"/>
        <v>2.5789999999999997</v>
      </c>
      <c r="I56" s="12" t="str">
        <f t="shared" si="2"/>
        <v/>
      </c>
      <c r="J56" s="18"/>
      <c r="K56" s="14"/>
    </row>
    <row r="57" spans="1:11">
      <c r="A57" s="15" t="s">
        <v>87</v>
      </c>
      <c r="B57" s="16">
        <v>8.26</v>
      </c>
      <c r="C57" s="16">
        <v>1.413</v>
      </c>
      <c r="D57" s="16">
        <v>7.242</v>
      </c>
      <c r="E57" s="16">
        <v>2.387</v>
      </c>
      <c r="F57" s="16"/>
      <c r="G57" s="17">
        <f t="shared" si="3"/>
        <v>5.8729999999999993</v>
      </c>
      <c r="H57" s="12">
        <f t="shared" si="1"/>
        <v>5.8289999999999997</v>
      </c>
      <c r="I57" s="12" t="str">
        <f t="shared" si="2"/>
        <v/>
      </c>
      <c r="J57" s="18"/>
      <c r="K57" s="14"/>
    </row>
    <row r="58" spans="1:11">
      <c r="A58" s="15" t="s">
        <v>110</v>
      </c>
      <c r="B58" s="16"/>
      <c r="C58" s="16"/>
      <c r="D58" s="16"/>
      <c r="E58" s="16"/>
      <c r="F58" s="16"/>
      <c r="G58" s="17">
        <f t="shared" si="3"/>
        <v>0</v>
      </c>
      <c r="H58" s="12">
        <f t="shared" si="1"/>
        <v>0</v>
      </c>
      <c r="I58" s="12" t="str">
        <f t="shared" si="2"/>
        <v/>
      </c>
      <c r="J58" s="18"/>
      <c r="K58" s="14"/>
    </row>
    <row r="59" spans="1:11">
      <c r="A59" s="15" t="s">
        <v>111</v>
      </c>
      <c r="B59" s="16">
        <v>3.0670000000000002</v>
      </c>
      <c r="C59" s="16">
        <v>0.628</v>
      </c>
      <c r="D59" s="16">
        <v>1.454</v>
      </c>
      <c r="E59" s="16">
        <v>2.2320000000000002</v>
      </c>
      <c r="F59" s="16"/>
      <c r="G59" s="17">
        <f t="shared" si="3"/>
        <v>0.83499999999999996</v>
      </c>
      <c r="H59" s="12">
        <f t="shared" si="1"/>
        <v>0.82599999999999996</v>
      </c>
      <c r="I59" s="12" t="str">
        <f t="shared" si="2"/>
        <v/>
      </c>
      <c r="J59" s="18"/>
      <c r="K59" s="14"/>
    </row>
    <row r="60" spans="1:11">
      <c r="A60" s="15" t="s">
        <v>112</v>
      </c>
      <c r="B60" s="16"/>
      <c r="C60" s="16"/>
      <c r="D60" s="16"/>
      <c r="E60" s="16"/>
      <c r="F60" s="16"/>
      <c r="G60" s="17">
        <f t="shared" si="3"/>
        <v>0</v>
      </c>
      <c r="H60" s="12">
        <f t="shared" si="1"/>
        <v>0</v>
      </c>
      <c r="I60" s="12" t="str">
        <f t="shared" si="2"/>
        <v/>
      </c>
      <c r="J60" s="18"/>
      <c r="K60" s="14"/>
    </row>
    <row r="61" spans="1:11">
      <c r="A61" s="15" t="s">
        <v>157</v>
      </c>
      <c r="B61" s="16"/>
      <c r="C61" s="16"/>
      <c r="D61" s="16"/>
      <c r="E61" s="16"/>
      <c r="F61" s="16"/>
      <c r="G61" s="17">
        <f t="shared" si="3"/>
        <v>0</v>
      </c>
      <c r="H61" s="12">
        <f t="shared" si="1"/>
        <v>0</v>
      </c>
      <c r="I61" s="12" t="str">
        <f t="shared" si="2"/>
        <v/>
      </c>
      <c r="J61" s="18"/>
      <c r="K61" s="14"/>
    </row>
    <row r="62" spans="1:11">
      <c r="A62" s="15" t="s">
        <v>43</v>
      </c>
      <c r="B62" s="16">
        <v>3.2290000000000001</v>
      </c>
      <c r="C62" s="16">
        <v>0.67800000000000005</v>
      </c>
      <c r="D62" s="16">
        <v>1.5760000000000001</v>
      </c>
      <c r="E62" s="16">
        <v>2.3260000000000001</v>
      </c>
      <c r="F62" s="16"/>
      <c r="G62" s="17">
        <f t="shared" si="3"/>
        <v>0.90300000000000002</v>
      </c>
      <c r="H62" s="12">
        <f t="shared" si="1"/>
        <v>0.89800000000000002</v>
      </c>
      <c r="I62" s="12" t="str">
        <f t="shared" si="2"/>
        <v/>
      </c>
      <c r="J62" s="18"/>
      <c r="K62" s="14"/>
    </row>
    <row r="63" spans="1:11">
      <c r="A63" s="15" t="s">
        <v>26</v>
      </c>
      <c r="B63" s="16"/>
      <c r="C63" s="16"/>
      <c r="D63" s="16"/>
      <c r="E63" s="16"/>
      <c r="F63" s="16"/>
      <c r="G63" s="17">
        <f t="shared" si="3"/>
        <v>0</v>
      </c>
      <c r="H63" s="12">
        <f t="shared" si="1"/>
        <v>0</v>
      </c>
      <c r="I63" s="12" t="str">
        <f t="shared" si="2"/>
        <v/>
      </c>
      <c r="J63" s="18"/>
      <c r="K63" s="14"/>
    </row>
    <row r="64" spans="1:11">
      <c r="A64" s="15" t="s">
        <v>106</v>
      </c>
      <c r="B64" s="16">
        <v>7.45</v>
      </c>
      <c r="C64" s="16">
        <v>1.2330000000000001</v>
      </c>
      <c r="D64" s="16">
        <v>6.2629999999999999</v>
      </c>
      <c r="E64" s="16">
        <v>2.4540000000000002</v>
      </c>
      <c r="F64" s="16"/>
      <c r="G64" s="17">
        <f t="shared" si="3"/>
        <v>4.9960000000000004</v>
      </c>
      <c r="H64" s="12">
        <f t="shared" si="1"/>
        <v>5.0299999999999994</v>
      </c>
      <c r="I64" s="12" t="str">
        <f t="shared" si="2"/>
        <v/>
      </c>
      <c r="J64" s="18"/>
      <c r="K64" s="14"/>
    </row>
    <row r="65" spans="1:11">
      <c r="A65" s="15" t="s">
        <v>107</v>
      </c>
      <c r="B65" s="16">
        <v>4.181</v>
      </c>
      <c r="C65" s="16">
        <v>1.224</v>
      </c>
      <c r="D65" s="16">
        <v>3.0710000000000002</v>
      </c>
      <c r="E65" s="16">
        <v>2.3260000000000001</v>
      </c>
      <c r="F65" s="16"/>
      <c r="G65" s="17">
        <f t="shared" si="3"/>
        <v>1.855</v>
      </c>
      <c r="H65" s="12">
        <f t="shared" si="1"/>
        <v>1.8470000000000002</v>
      </c>
      <c r="I65" s="12" t="str">
        <f t="shared" si="2"/>
        <v/>
      </c>
      <c r="J65" s="18"/>
      <c r="K65" s="14"/>
    </row>
    <row r="66" spans="1:11">
      <c r="A66" s="15" t="s">
        <v>104</v>
      </c>
      <c r="B66" s="16">
        <v>7.0810000000000004</v>
      </c>
      <c r="C66" s="16">
        <v>1.27</v>
      </c>
      <c r="D66" s="16">
        <v>5.8780000000000001</v>
      </c>
      <c r="E66" s="16">
        <v>2.4220000000000002</v>
      </c>
      <c r="F66" s="16"/>
      <c r="G66" s="17">
        <f t="shared" si="3"/>
        <v>4.6590000000000007</v>
      </c>
      <c r="H66" s="12">
        <f t="shared" si="1"/>
        <v>4.6080000000000005</v>
      </c>
      <c r="I66" s="12" t="str">
        <f t="shared" si="2"/>
        <v/>
      </c>
      <c r="J66" s="18"/>
      <c r="K66" s="14"/>
    </row>
    <row r="67" spans="1:11">
      <c r="A67" s="15" t="s">
        <v>92</v>
      </c>
      <c r="B67" s="16"/>
      <c r="C67" s="16"/>
      <c r="D67" s="16"/>
      <c r="E67" s="16"/>
      <c r="F67" s="16"/>
      <c r="G67" s="17">
        <f t="shared" si="3"/>
        <v>0</v>
      </c>
      <c r="H67" s="12">
        <f t="shared" si="1"/>
        <v>0</v>
      </c>
      <c r="I67" s="12" t="str">
        <f t="shared" ref="I67:I130" si="6">IF(ABS(H67-G67)&gt;0.1, "FLAG", "")</f>
        <v/>
      </c>
      <c r="J67" s="18"/>
      <c r="K67" s="14"/>
    </row>
    <row r="68" spans="1:11">
      <c r="A68" s="15" t="s">
        <v>93</v>
      </c>
      <c r="B68" s="16">
        <v>4.8460000000000001</v>
      </c>
      <c r="C68" s="16">
        <v>1.262</v>
      </c>
      <c r="D68" s="16">
        <v>3.548</v>
      </c>
      <c r="E68" s="16">
        <v>2.5369999999999999</v>
      </c>
      <c r="F68" s="16"/>
      <c r="G68" s="17">
        <f t="shared" si="3"/>
        <v>2.3090000000000002</v>
      </c>
      <c r="H68" s="12">
        <f t="shared" ref="H68:H131" si="7">D68-C68</f>
        <v>2.286</v>
      </c>
      <c r="I68" s="12" t="str">
        <f t="shared" si="6"/>
        <v/>
      </c>
      <c r="J68" s="18"/>
      <c r="K68" s="14"/>
    </row>
    <row r="69" spans="1:11">
      <c r="A69" s="15" t="s">
        <v>176</v>
      </c>
      <c r="B69" s="16">
        <v>6.4669999999999996</v>
      </c>
      <c r="C69" s="16">
        <v>1.2330000000000001</v>
      </c>
      <c r="D69" s="16">
        <v>5.165</v>
      </c>
      <c r="E69" s="16">
        <v>2.4700000000000002</v>
      </c>
      <c r="F69" s="16"/>
      <c r="G69" s="17">
        <f t="shared" si="3"/>
        <v>3.9969999999999994</v>
      </c>
      <c r="H69" s="12">
        <f t="shared" si="7"/>
        <v>3.9319999999999999</v>
      </c>
      <c r="I69" s="12" t="str">
        <f t="shared" si="6"/>
        <v/>
      </c>
      <c r="J69" s="18"/>
      <c r="K69" s="14"/>
    </row>
    <row r="70" spans="1:11">
      <c r="A70" s="15" t="s">
        <v>175</v>
      </c>
      <c r="B70" s="16">
        <v>8.6199999999999992</v>
      </c>
      <c r="C70" s="16">
        <v>1.2509999999999999</v>
      </c>
      <c r="D70" s="16">
        <v>7.4089999999999998</v>
      </c>
      <c r="E70" s="16">
        <v>2.4140000000000001</v>
      </c>
      <c r="F70" s="16"/>
      <c r="G70" s="17">
        <f t="shared" si="3"/>
        <v>6.2059999999999995</v>
      </c>
      <c r="H70" s="12">
        <f t="shared" si="7"/>
        <v>6.1579999999999995</v>
      </c>
      <c r="I70" s="12" t="str">
        <f t="shared" si="6"/>
        <v/>
      </c>
      <c r="J70" s="18"/>
      <c r="K70" s="14"/>
    </row>
    <row r="71" spans="1:11">
      <c r="A71" s="15" t="s">
        <v>108</v>
      </c>
      <c r="B71" s="16"/>
      <c r="C71" s="16"/>
      <c r="D71" s="16"/>
      <c r="E71" s="16"/>
      <c r="F71" s="16"/>
      <c r="G71" s="17">
        <f t="shared" si="3"/>
        <v>0</v>
      </c>
      <c r="H71" s="12">
        <f t="shared" si="7"/>
        <v>0</v>
      </c>
      <c r="I71" s="12" t="str">
        <f t="shared" si="6"/>
        <v/>
      </c>
      <c r="J71" s="18"/>
      <c r="K71" s="14"/>
    </row>
    <row r="72" spans="1:11">
      <c r="A72" s="15" t="s">
        <v>33</v>
      </c>
      <c r="B72" s="16">
        <v>6.492</v>
      </c>
      <c r="C72" s="16">
        <v>1.341</v>
      </c>
      <c r="D72" s="16">
        <v>5.2439999999999998</v>
      </c>
      <c r="E72" s="16">
        <v>2.5529999999999999</v>
      </c>
      <c r="F72" s="16"/>
      <c r="G72" s="17">
        <f t="shared" si="3"/>
        <v>3.9390000000000001</v>
      </c>
      <c r="H72" s="12">
        <f t="shared" si="7"/>
        <v>3.9029999999999996</v>
      </c>
      <c r="I72" s="12" t="str">
        <f t="shared" si="6"/>
        <v/>
      </c>
      <c r="J72" s="18"/>
      <c r="K72" s="14"/>
    </row>
    <row r="73" spans="1:11">
      <c r="A73" s="15" t="s">
        <v>16</v>
      </c>
      <c r="B73" s="16">
        <v>5.15</v>
      </c>
      <c r="C73" s="16">
        <v>1.286</v>
      </c>
      <c r="D73" s="16">
        <v>4.1109999999999998</v>
      </c>
      <c r="E73" s="16">
        <v>2.3109999999999999</v>
      </c>
      <c r="F73" s="16"/>
      <c r="G73" s="17">
        <f t="shared" ref="G73:G106" si="8">B73-E73</f>
        <v>2.8390000000000004</v>
      </c>
      <c r="H73" s="12">
        <f t="shared" si="7"/>
        <v>2.8249999999999997</v>
      </c>
      <c r="I73" s="12" t="str">
        <f t="shared" si="6"/>
        <v/>
      </c>
      <c r="J73" s="18"/>
      <c r="K73" s="14"/>
    </row>
    <row r="74" spans="1:11">
      <c r="A74" s="15" t="s">
        <v>59</v>
      </c>
      <c r="B74" s="16"/>
      <c r="C74" s="16"/>
      <c r="D74" s="16"/>
      <c r="E74" s="16"/>
      <c r="F74" s="16"/>
      <c r="G74" s="17">
        <f t="shared" si="8"/>
        <v>0</v>
      </c>
      <c r="H74" s="12">
        <f t="shared" si="7"/>
        <v>0</v>
      </c>
      <c r="I74" s="12" t="str">
        <f t="shared" si="6"/>
        <v/>
      </c>
      <c r="J74" s="18"/>
      <c r="K74" s="14"/>
    </row>
    <row r="75" spans="1:11">
      <c r="A75" s="15" t="s">
        <v>105</v>
      </c>
      <c r="B75" s="16">
        <v>6.2210000000000001</v>
      </c>
      <c r="C75" s="16">
        <v>1.2609999999999999</v>
      </c>
      <c r="D75" s="16">
        <v>5.0999999999999996</v>
      </c>
      <c r="E75" s="16">
        <v>2.3660000000000001</v>
      </c>
      <c r="F75" s="16"/>
      <c r="G75" s="17">
        <f t="shared" si="8"/>
        <v>3.855</v>
      </c>
      <c r="H75" s="12">
        <f t="shared" si="7"/>
        <v>3.8389999999999995</v>
      </c>
      <c r="I75" s="12" t="str">
        <f t="shared" si="6"/>
        <v/>
      </c>
      <c r="J75" s="18"/>
      <c r="K75" s="14"/>
    </row>
    <row r="76" spans="1:11">
      <c r="A76" s="15" t="s">
        <v>34</v>
      </c>
      <c r="B76" s="16">
        <v>6.0430000000000001</v>
      </c>
      <c r="C76" s="16">
        <v>1.284</v>
      </c>
      <c r="D76" s="16">
        <v>5.0890000000000004</v>
      </c>
      <c r="E76" s="16">
        <v>2.2240000000000002</v>
      </c>
      <c r="F76" s="16"/>
      <c r="G76" s="17">
        <f t="shared" si="8"/>
        <v>3.819</v>
      </c>
      <c r="H76" s="12">
        <f t="shared" si="7"/>
        <v>3.8050000000000006</v>
      </c>
      <c r="I76" s="12" t="str">
        <f t="shared" si="6"/>
        <v/>
      </c>
      <c r="J76" s="18"/>
      <c r="K76" s="14"/>
    </row>
    <row r="77" spans="1:11">
      <c r="A77" s="15" t="s">
        <v>122</v>
      </c>
      <c r="B77" s="16">
        <v>5.1150000000000002</v>
      </c>
      <c r="C77" s="16">
        <v>1.286</v>
      </c>
      <c r="D77" s="16">
        <v>3.4169999999999998</v>
      </c>
      <c r="E77" s="16">
        <v>2.931</v>
      </c>
      <c r="F77" s="16"/>
      <c r="G77" s="17">
        <f t="shared" si="8"/>
        <v>2.1840000000000002</v>
      </c>
      <c r="H77" s="12">
        <f t="shared" si="7"/>
        <v>2.1309999999999998</v>
      </c>
      <c r="I77" s="12" t="str">
        <f t="shared" si="6"/>
        <v/>
      </c>
      <c r="J77" s="18"/>
      <c r="K77" s="14"/>
    </row>
    <row r="78" spans="1:11">
      <c r="A78" s="15" t="s">
        <v>41</v>
      </c>
      <c r="B78" s="16">
        <v>5.3369999999999997</v>
      </c>
      <c r="C78" s="16">
        <v>1.2609999999999999</v>
      </c>
      <c r="D78" s="16">
        <v>4.3559999999999999</v>
      </c>
      <c r="E78" s="16">
        <v>2.222</v>
      </c>
      <c r="F78" s="16"/>
      <c r="G78" s="17">
        <f t="shared" si="8"/>
        <v>3.1149999999999998</v>
      </c>
      <c r="H78" s="12">
        <f t="shared" si="7"/>
        <v>3.0949999999999998</v>
      </c>
      <c r="I78" s="12" t="str">
        <f t="shared" si="6"/>
        <v/>
      </c>
      <c r="J78" s="18"/>
      <c r="K78" s="14"/>
    </row>
    <row r="79" spans="1:11">
      <c r="A79" s="15" t="s">
        <v>42</v>
      </c>
      <c r="B79" s="16">
        <v>4.173</v>
      </c>
      <c r="C79" s="16">
        <v>1.341</v>
      </c>
      <c r="D79" s="16">
        <v>3.2050000000000001</v>
      </c>
      <c r="E79" s="16">
        <v>2.29</v>
      </c>
      <c r="F79" s="16"/>
      <c r="G79" s="17">
        <f t="shared" si="8"/>
        <v>1.883</v>
      </c>
      <c r="H79" s="12">
        <f t="shared" si="7"/>
        <v>1.8640000000000001</v>
      </c>
      <c r="I79" s="12" t="str">
        <f t="shared" si="6"/>
        <v/>
      </c>
      <c r="J79" s="18"/>
      <c r="K79" s="14"/>
    </row>
    <row r="80" spans="1:11">
      <c r="A80" s="15" t="s">
        <v>44</v>
      </c>
      <c r="B80" s="16">
        <v>5.9470000000000001</v>
      </c>
      <c r="C80" s="16">
        <v>1.272</v>
      </c>
      <c r="D80" s="16">
        <v>4.8929999999999998</v>
      </c>
      <c r="E80" s="16">
        <v>2.31</v>
      </c>
      <c r="F80" s="16"/>
      <c r="G80" s="17">
        <f t="shared" si="8"/>
        <v>3.637</v>
      </c>
      <c r="H80" s="12">
        <f t="shared" si="7"/>
        <v>3.6209999999999996</v>
      </c>
      <c r="I80" s="12" t="str">
        <f t="shared" si="6"/>
        <v/>
      </c>
      <c r="J80" s="18"/>
      <c r="K80" s="14"/>
    </row>
    <row r="81" spans="1:11">
      <c r="A81" s="15" t="s">
        <v>45</v>
      </c>
      <c r="B81" s="16">
        <v>6.0270000000000001</v>
      </c>
      <c r="C81" s="16">
        <v>1.2949999999999999</v>
      </c>
      <c r="D81" s="16">
        <v>5.0650000000000004</v>
      </c>
      <c r="E81" s="16">
        <v>2.222</v>
      </c>
      <c r="F81" s="16"/>
      <c r="G81" s="17">
        <f t="shared" si="8"/>
        <v>3.8050000000000002</v>
      </c>
      <c r="H81" s="12">
        <f t="shared" si="7"/>
        <v>3.7700000000000005</v>
      </c>
      <c r="I81" s="12" t="str">
        <f t="shared" si="6"/>
        <v/>
      </c>
      <c r="J81" s="18"/>
      <c r="K81" s="14"/>
    </row>
    <row r="82" spans="1:11">
      <c r="A82" s="15" t="s">
        <v>20</v>
      </c>
      <c r="B82" s="16">
        <v>3.9830000000000001</v>
      </c>
      <c r="C82" s="16">
        <v>1.2809999999999999</v>
      </c>
      <c r="D82" s="16">
        <v>2.8929999999999998</v>
      </c>
      <c r="E82" s="16">
        <v>2.355</v>
      </c>
      <c r="F82" s="16"/>
      <c r="G82" s="17">
        <f t="shared" si="8"/>
        <v>1.6280000000000001</v>
      </c>
      <c r="H82" s="12">
        <f t="shared" si="7"/>
        <v>1.6119999999999999</v>
      </c>
      <c r="I82" s="12" t="str">
        <f t="shared" si="6"/>
        <v/>
      </c>
      <c r="J82" s="18"/>
      <c r="K82" s="14"/>
    </row>
    <row r="83" spans="1:11">
      <c r="A83" s="15" t="s">
        <v>21</v>
      </c>
      <c r="B83" s="16">
        <v>4.8</v>
      </c>
      <c r="C83" s="16">
        <v>1.306</v>
      </c>
      <c r="D83" s="16">
        <v>3.2240000000000002</v>
      </c>
      <c r="E83" s="16">
        <v>2.8769999999999998</v>
      </c>
      <c r="F83" s="16"/>
      <c r="G83" s="17">
        <f t="shared" si="8"/>
        <v>1.923</v>
      </c>
      <c r="H83" s="12">
        <f t="shared" si="7"/>
        <v>1.9180000000000001</v>
      </c>
      <c r="I83" s="12" t="str">
        <f t="shared" si="6"/>
        <v/>
      </c>
      <c r="J83" s="18"/>
      <c r="K83" s="14"/>
    </row>
    <row r="84" spans="1:11">
      <c r="A84" s="15" t="s">
        <v>22</v>
      </c>
      <c r="B84" s="16">
        <v>3.3050000000000002</v>
      </c>
      <c r="C84" s="16">
        <v>1.2609999999999999</v>
      </c>
      <c r="D84" s="16">
        <v>2.1930000000000001</v>
      </c>
      <c r="E84" s="16">
        <v>2.3650000000000002</v>
      </c>
      <c r="F84" s="16"/>
      <c r="G84" s="17">
        <f t="shared" si="8"/>
        <v>0.94</v>
      </c>
      <c r="H84" s="12">
        <f t="shared" si="7"/>
        <v>0.93200000000000016</v>
      </c>
      <c r="I84" s="12" t="str">
        <f t="shared" si="6"/>
        <v/>
      </c>
      <c r="J84" s="18"/>
      <c r="K84" s="14"/>
    </row>
    <row r="85" spans="1:11">
      <c r="A85" s="15" t="s">
        <v>24</v>
      </c>
      <c r="B85" s="16">
        <v>4.9370000000000003</v>
      </c>
      <c r="C85" s="16">
        <v>1.3620000000000001</v>
      </c>
      <c r="D85" s="16">
        <v>3.3660000000000001</v>
      </c>
      <c r="E85" s="16">
        <v>2.9020000000000001</v>
      </c>
      <c r="F85" s="16"/>
      <c r="G85" s="17">
        <f t="shared" si="8"/>
        <v>2.0350000000000001</v>
      </c>
      <c r="H85" s="12">
        <f t="shared" si="7"/>
        <v>2.004</v>
      </c>
      <c r="I85" s="12" t="str">
        <f t="shared" si="6"/>
        <v/>
      </c>
      <c r="J85" s="18"/>
      <c r="K85" s="14"/>
    </row>
    <row r="86" spans="1:11">
      <c r="A86" s="15" t="s">
        <v>25</v>
      </c>
      <c r="B86" s="16">
        <v>5.5069999999999997</v>
      </c>
      <c r="C86" s="16">
        <v>1.2569999999999999</v>
      </c>
      <c r="D86" s="16">
        <v>4.3630000000000004</v>
      </c>
      <c r="E86" s="16">
        <v>2.3410000000000002</v>
      </c>
      <c r="F86" s="16"/>
      <c r="G86" s="17">
        <f t="shared" si="8"/>
        <v>3.1659999999999995</v>
      </c>
      <c r="H86" s="12">
        <f t="shared" si="7"/>
        <v>3.1060000000000008</v>
      </c>
      <c r="I86" s="12" t="str">
        <f t="shared" si="6"/>
        <v/>
      </c>
      <c r="J86" s="18"/>
      <c r="K86" s="14"/>
    </row>
    <row r="87" spans="1:11">
      <c r="A87" s="15" t="s">
        <v>80</v>
      </c>
      <c r="B87" s="16">
        <v>5.2480000000000002</v>
      </c>
      <c r="C87" s="16">
        <v>1.254</v>
      </c>
      <c r="D87" s="16">
        <v>3.9279999999999999</v>
      </c>
      <c r="E87" s="16">
        <v>2.5640000000000001</v>
      </c>
      <c r="F87" s="16"/>
      <c r="G87" s="17">
        <f t="shared" si="8"/>
        <v>2.6840000000000002</v>
      </c>
      <c r="H87" s="12">
        <f t="shared" si="7"/>
        <v>2.6739999999999999</v>
      </c>
      <c r="I87" s="12" t="str">
        <f t="shared" si="6"/>
        <v/>
      </c>
      <c r="J87" s="18"/>
      <c r="K87" s="14"/>
    </row>
    <row r="88" spans="1:11">
      <c r="A88" s="15" t="s">
        <v>121</v>
      </c>
      <c r="B88" s="16">
        <v>7.3780000000000001</v>
      </c>
      <c r="C88" s="16">
        <v>1.2010000000000001</v>
      </c>
      <c r="D88" s="16">
        <v>6.1630000000000003</v>
      </c>
      <c r="E88" s="16">
        <v>2.4020000000000001</v>
      </c>
      <c r="F88" s="16"/>
      <c r="G88" s="17">
        <f t="shared" si="8"/>
        <v>4.976</v>
      </c>
      <c r="H88" s="12">
        <f t="shared" si="7"/>
        <v>4.9619999999999997</v>
      </c>
      <c r="I88" s="12" t="str">
        <f t="shared" si="6"/>
        <v/>
      </c>
      <c r="J88" s="18"/>
      <c r="K88" s="14"/>
    </row>
    <row r="89" spans="1:11">
      <c r="A89" s="15" t="s">
        <v>116</v>
      </c>
      <c r="B89" s="16"/>
      <c r="C89" s="16"/>
      <c r="D89" s="16"/>
      <c r="E89" s="16"/>
      <c r="F89" s="16"/>
      <c r="G89" s="17">
        <f t="shared" si="8"/>
        <v>0</v>
      </c>
      <c r="H89" s="12">
        <f t="shared" si="7"/>
        <v>0</v>
      </c>
      <c r="I89" s="12" t="str">
        <f t="shared" si="6"/>
        <v/>
      </c>
      <c r="J89" s="18"/>
      <c r="K89" s="14"/>
    </row>
    <row r="90" spans="1:11">
      <c r="A90" s="15" t="s">
        <v>114</v>
      </c>
      <c r="B90" s="16">
        <v>8.2810000000000006</v>
      </c>
      <c r="C90" s="16">
        <v>1.1859999999999999</v>
      </c>
      <c r="D90" s="16">
        <v>7.048</v>
      </c>
      <c r="E90" s="16">
        <v>2.4079999999999999</v>
      </c>
      <c r="F90" s="16"/>
      <c r="G90" s="17">
        <f t="shared" si="8"/>
        <v>5.8730000000000011</v>
      </c>
      <c r="H90" s="12">
        <f t="shared" si="7"/>
        <v>5.8620000000000001</v>
      </c>
      <c r="I90" s="12" t="str">
        <f t="shared" si="6"/>
        <v/>
      </c>
      <c r="J90" s="18"/>
      <c r="K90" s="14"/>
    </row>
    <row r="91" spans="1:11">
      <c r="A91" s="15" t="s">
        <v>64</v>
      </c>
      <c r="B91" s="16">
        <v>8.7940000000000005</v>
      </c>
      <c r="C91" s="16">
        <v>1.1919999999999999</v>
      </c>
      <c r="D91" s="16">
        <v>7.3739999999999997</v>
      </c>
      <c r="E91" s="16">
        <v>2.5990000000000002</v>
      </c>
      <c r="F91" s="16"/>
      <c r="G91" s="17">
        <f t="shared" si="8"/>
        <v>6.1950000000000003</v>
      </c>
      <c r="H91" s="12">
        <f t="shared" si="7"/>
        <v>6.1819999999999995</v>
      </c>
      <c r="I91" s="12" t="str">
        <f t="shared" si="6"/>
        <v/>
      </c>
      <c r="J91" s="18"/>
      <c r="K91" s="14"/>
    </row>
    <row r="92" spans="1:11">
      <c r="A92" s="15" t="s">
        <v>67</v>
      </c>
      <c r="B92" s="16">
        <v>8.5589999999999993</v>
      </c>
      <c r="C92" s="16">
        <v>1.2230000000000001</v>
      </c>
      <c r="D92" s="16">
        <v>6.6719999999999997</v>
      </c>
      <c r="E92" s="16">
        <v>3.0569999999999999</v>
      </c>
      <c r="F92" s="16"/>
      <c r="G92" s="17">
        <f>B92-E92</f>
        <v>5.5019999999999989</v>
      </c>
      <c r="H92" s="12">
        <f t="shared" si="7"/>
        <v>5.4489999999999998</v>
      </c>
      <c r="I92" s="12" t="str">
        <f t="shared" si="6"/>
        <v/>
      </c>
      <c r="J92" s="18"/>
      <c r="K92" s="14"/>
    </row>
    <row r="93" spans="1:11">
      <c r="A93" s="15" t="s">
        <v>63</v>
      </c>
      <c r="B93" s="16">
        <v>5.9210000000000003</v>
      </c>
      <c r="C93" s="16">
        <v>1.1779999999999999</v>
      </c>
      <c r="D93" s="16">
        <v>4.6980000000000004</v>
      </c>
      <c r="E93" s="16">
        <v>2.3929999999999998</v>
      </c>
      <c r="F93" s="16"/>
      <c r="G93" s="17">
        <f t="shared" si="8"/>
        <v>3.5280000000000005</v>
      </c>
      <c r="H93" s="12">
        <f t="shared" si="7"/>
        <v>3.5200000000000005</v>
      </c>
      <c r="I93" s="12" t="str">
        <f t="shared" si="6"/>
        <v/>
      </c>
      <c r="J93" s="18"/>
      <c r="K93" s="14"/>
    </row>
    <row r="94" spans="1:11">
      <c r="A94" s="15" t="s">
        <v>62</v>
      </c>
      <c r="B94" s="16">
        <v>7.3689999999999998</v>
      </c>
      <c r="C94" s="16">
        <v>1.1930000000000001</v>
      </c>
      <c r="D94" s="16">
        <v>6.1180000000000003</v>
      </c>
      <c r="E94" s="16">
        <v>2.4300000000000002</v>
      </c>
      <c r="F94" s="16"/>
      <c r="G94" s="17">
        <f t="shared" si="8"/>
        <v>4.9390000000000001</v>
      </c>
      <c r="H94" s="12">
        <f t="shared" si="7"/>
        <v>4.9250000000000007</v>
      </c>
      <c r="I94" s="12" t="str">
        <f t="shared" si="6"/>
        <v/>
      </c>
      <c r="J94" s="18"/>
      <c r="K94" s="14"/>
    </row>
    <row r="95" spans="1:11">
      <c r="A95" s="15" t="s">
        <v>165</v>
      </c>
      <c r="B95" s="16">
        <v>8.6280000000000001</v>
      </c>
      <c r="C95" s="16">
        <v>1.2150000000000001</v>
      </c>
      <c r="D95" s="16">
        <v>6.8259999999999996</v>
      </c>
      <c r="E95" s="16">
        <v>3.0030000000000001</v>
      </c>
      <c r="F95" s="16"/>
      <c r="G95" s="17">
        <f t="shared" si="8"/>
        <v>5.625</v>
      </c>
      <c r="H95" s="12">
        <f t="shared" si="7"/>
        <v>5.6109999999999998</v>
      </c>
      <c r="I95" s="12" t="str">
        <f t="shared" si="6"/>
        <v/>
      </c>
      <c r="J95" s="18"/>
      <c r="K95" s="14"/>
    </row>
    <row r="96" spans="1:11">
      <c r="A96" s="15" t="s">
        <v>115</v>
      </c>
      <c r="B96" s="16">
        <v>9.0210000000000008</v>
      </c>
      <c r="C96" s="16">
        <v>1.2</v>
      </c>
      <c r="D96" s="16">
        <v>7.7670000000000003</v>
      </c>
      <c r="E96" s="16">
        <v>2.4319999999999999</v>
      </c>
      <c r="F96" s="16"/>
      <c r="G96" s="17">
        <f t="shared" si="8"/>
        <v>6.5890000000000004</v>
      </c>
      <c r="H96" s="12">
        <f t="shared" si="7"/>
        <v>6.5670000000000002</v>
      </c>
      <c r="I96" s="12" t="str">
        <f t="shared" si="6"/>
        <v/>
      </c>
      <c r="J96" s="18"/>
      <c r="K96" s="14"/>
    </row>
    <row r="97" spans="1:11">
      <c r="A97" s="15" t="s">
        <v>114</v>
      </c>
      <c r="B97" s="16"/>
      <c r="C97" s="16"/>
      <c r="D97" s="16"/>
      <c r="E97" s="16"/>
      <c r="F97" s="16"/>
      <c r="G97" s="17">
        <f t="shared" si="8"/>
        <v>0</v>
      </c>
      <c r="H97" s="12">
        <f t="shared" si="7"/>
        <v>0</v>
      </c>
      <c r="I97" s="12" t="str">
        <f t="shared" si="6"/>
        <v/>
      </c>
      <c r="J97" s="18"/>
      <c r="K97" s="14"/>
    </row>
    <row r="98" spans="1:11">
      <c r="A98" s="15" t="s">
        <v>74</v>
      </c>
      <c r="B98" s="16">
        <v>8.202</v>
      </c>
      <c r="C98" s="16">
        <v>1.266</v>
      </c>
      <c r="D98" s="16">
        <v>6.9</v>
      </c>
      <c r="E98" s="16">
        <v>2.5110000000000001</v>
      </c>
      <c r="F98" s="16"/>
      <c r="G98" s="17">
        <f>B98-E98</f>
        <v>5.6909999999999998</v>
      </c>
      <c r="H98" s="12">
        <f t="shared" si="7"/>
        <v>5.6340000000000003</v>
      </c>
      <c r="I98" s="12" t="str">
        <f t="shared" si="6"/>
        <v/>
      </c>
      <c r="J98" s="18"/>
      <c r="K98" s="14"/>
    </row>
    <row r="99" spans="1:11">
      <c r="A99" s="15" t="s">
        <v>73</v>
      </c>
      <c r="B99" s="16">
        <v>5.024</v>
      </c>
      <c r="C99" s="16">
        <v>1.252</v>
      </c>
      <c r="D99" s="16">
        <v>3.4390000000000001</v>
      </c>
      <c r="E99" s="16">
        <v>2.7759999999999998</v>
      </c>
      <c r="F99" s="16"/>
      <c r="G99" s="17">
        <f t="shared" si="8"/>
        <v>2.2480000000000002</v>
      </c>
      <c r="H99" s="12">
        <f t="shared" si="7"/>
        <v>2.1870000000000003</v>
      </c>
      <c r="I99" s="12" t="str">
        <f t="shared" si="6"/>
        <v/>
      </c>
      <c r="J99" s="18"/>
      <c r="K99" s="14"/>
    </row>
    <row r="100" spans="1:11">
      <c r="A100" s="15" t="s">
        <v>99</v>
      </c>
      <c r="B100" s="16">
        <v>6.8150000000000004</v>
      </c>
      <c r="C100" s="16">
        <v>1.177</v>
      </c>
      <c r="D100" s="16">
        <v>5.7759999999999998</v>
      </c>
      <c r="E100" s="16">
        <v>2.194</v>
      </c>
      <c r="F100" s="16"/>
      <c r="G100" s="17">
        <f t="shared" si="8"/>
        <v>4.6210000000000004</v>
      </c>
      <c r="H100" s="12">
        <f t="shared" si="7"/>
        <v>4.5990000000000002</v>
      </c>
      <c r="I100" s="12" t="str">
        <f t="shared" si="6"/>
        <v/>
      </c>
      <c r="J100" s="18"/>
      <c r="K100" s="14"/>
    </row>
    <row r="101" spans="1:11">
      <c r="A101" s="15" t="s">
        <v>98</v>
      </c>
      <c r="B101" s="16"/>
      <c r="C101" s="16"/>
      <c r="D101" s="16"/>
      <c r="E101" s="16"/>
      <c r="F101" s="16"/>
      <c r="G101" s="17">
        <f t="shared" si="8"/>
        <v>0</v>
      </c>
      <c r="H101" s="12">
        <f t="shared" si="7"/>
        <v>0</v>
      </c>
      <c r="I101" s="12" t="str">
        <f t="shared" si="6"/>
        <v/>
      </c>
      <c r="J101" s="18"/>
      <c r="K101" s="14"/>
    </row>
    <row r="102" spans="1:11">
      <c r="A102" s="15" t="s">
        <v>108</v>
      </c>
      <c r="B102" s="16">
        <v>10.728999999999999</v>
      </c>
      <c r="C102" s="16">
        <v>1.248</v>
      </c>
      <c r="D102" s="16">
        <v>9.0679999999999996</v>
      </c>
      <c r="E102" s="16">
        <v>2.8879999999999999</v>
      </c>
      <c r="F102" s="16"/>
      <c r="G102" s="17">
        <f t="shared" si="8"/>
        <v>7.8409999999999993</v>
      </c>
      <c r="H102" s="12">
        <f t="shared" si="7"/>
        <v>7.8199999999999994</v>
      </c>
      <c r="I102" s="12" t="str">
        <f t="shared" si="6"/>
        <v/>
      </c>
      <c r="J102" s="18"/>
      <c r="K102" s="14"/>
    </row>
    <row r="103" spans="1:11">
      <c r="A103" s="15" t="s">
        <v>116</v>
      </c>
      <c r="B103" s="16">
        <v>8.5690000000000008</v>
      </c>
      <c r="C103" s="16">
        <v>1.1879999999999999</v>
      </c>
      <c r="D103" s="16">
        <v>7.3650000000000002</v>
      </c>
      <c r="E103" s="16">
        <v>2.3730000000000002</v>
      </c>
      <c r="F103" s="16"/>
      <c r="G103" s="17">
        <f t="shared" si="8"/>
        <v>6.1960000000000006</v>
      </c>
      <c r="H103" s="12">
        <f t="shared" si="7"/>
        <v>6.1770000000000005</v>
      </c>
      <c r="I103" s="12" t="str">
        <f t="shared" si="6"/>
        <v/>
      </c>
      <c r="J103" s="18"/>
      <c r="K103" s="14"/>
    </row>
    <row r="104" spans="1:11">
      <c r="A104" s="15" t="s">
        <v>164</v>
      </c>
      <c r="B104" s="16">
        <v>7.0439999999999996</v>
      </c>
      <c r="C104" s="16">
        <v>1.1760000000000002</v>
      </c>
      <c r="D104" s="16">
        <v>5.7080000000000002</v>
      </c>
      <c r="E104" s="16">
        <v>2.512</v>
      </c>
      <c r="F104" s="16"/>
      <c r="G104" s="17">
        <f t="shared" si="8"/>
        <v>4.532</v>
      </c>
      <c r="H104" s="12">
        <f t="shared" si="7"/>
        <v>4.532</v>
      </c>
      <c r="I104" s="12" t="str">
        <f t="shared" si="6"/>
        <v/>
      </c>
      <c r="J104" s="18"/>
      <c r="K104" s="14"/>
    </row>
    <row r="105" spans="1:11">
      <c r="A105" s="15" t="s">
        <v>75</v>
      </c>
      <c r="B105" s="16"/>
      <c r="C105" s="16"/>
      <c r="D105" s="16"/>
      <c r="E105" s="16"/>
      <c r="F105" s="16"/>
      <c r="G105" s="17">
        <f t="shared" si="8"/>
        <v>0</v>
      </c>
      <c r="H105" s="12">
        <f t="shared" si="7"/>
        <v>0</v>
      </c>
      <c r="I105" s="12" t="str">
        <f t="shared" si="6"/>
        <v/>
      </c>
      <c r="J105" s="18"/>
      <c r="K105" s="14"/>
    </row>
    <row r="106" spans="1:11">
      <c r="A106" s="15" t="s">
        <v>89</v>
      </c>
      <c r="B106" s="16">
        <v>7.7359999999999998</v>
      </c>
      <c r="C106" s="16">
        <v>1.294</v>
      </c>
      <c r="D106" s="16">
        <v>6.6029999999999998</v>
      </c>
      <c r="E106" s="16">
        <v>2.4140000000000001</v>
      </c>
      <c r="F106" s="16"/>
      <c r="G106" s="17">
        <f t="shared" si="8"/>
        <v>5.3219999999999992</v>
      </c>
      <c r="H106" s="12">
        <f t="shared" si="7"/>
        <v>5.3089999999999993</v>
      </c>
      <c r="I106" s="12" t="str">
        <f t="shared" si="6"/>
        <v/>
      </c>
      <c r="J106" s="18"/>
      <c r="K106" s="14"/>
    </row>
    <row r="107" spans="1:11">
      <c r="A107" s="15" t="s">
        <v>142</v>
      </c>
      <c r="B107" s="16">
        <v>7.3502000000000001</v>
      </c>
      <c r="C107" s="16">
        <f>D107-G107</f>
        <v>1.1674999999999995</v>
      </c>
      <c r="D107" s="16">
        <v>6.1879999999999997</v>
      </c>
      <c r="E107" s="16">
        <v>2.3296999999999999</v>
      </c>
      <c r="F107" s="16"/>
      <c r="G107" s="17">
        <f>B107-E107</f>
        <v>5.0205000000000002</v>
      </c>
      <c r="H107" s="12">
        <f t="shared" si="7"/>
        <v>5.0205000000000002</v>
      </c>
      <c r="I107" s="12" t="str">
        <f t="shared" si="6"/>
        <v/>
      </c>
      <c r="J107" s="18"/>
      <c r="K107" s="14"/>
    </row>
    <row r="108" spans="1:11">
      <c r="A108" s="15" t="s">
        <v>151</v>
      </c>
      <c r="B108" s="16">
        <v>5.9530000000000003</v>
      </c>
      <c r="C108" s="16">
        <v>1.1779999999999999</v>
      </c>
      <c r="D108" s="16">
        <v>4.5289999999999999</v>
      </c>
      <c r="E108" s="16">
        <v>2.5409999999999999</v>
      </c>
      <c r="F108" s="16"/>
      <c r="G108" s="17">
        <f t="shared" ref="G108:G170" si="9">B108-E108</f>
        <v>3.4120000000000004</v>
      </c>
      <c r="H108" s="12">
        <f t="shared" si="7"/>
        <v>3.351</v>
      </c>
      <c r="I108" s="12" t="str">
        <f t="shared" si="6"/>
        <v/>
      </c>
      <c r="J108" s="18"/>
      <c r="K108" s="14"/>
    </row>
    <row r="109" spans="1:11">
      <c r="A109" s="15" t="s">
        <v>137</v>
      </c>
      <c r="B109" s="16">
        <v>7.0419999999999998</v>
      </c>
      <c r="C109" s="16">
        <v>1.1759999999999999</v>
      </c>
      <c r="D109" s="16">
        <v>5.8505000000000003</v>
      </c>
      <c r="E109" s="16">
        <v>2.4615999999999998</v>
      </c>
      <c r="F109" s="16"/>
      <c r="G109" s="17">
        <f t="shared" si="9"/>
        <v>4.5804</v>
      </c>
      <c r="H109" s="12">
        <f t="shared" si="7"/>
        <v>4.6745000000000001</v>
      </c>
      <c r="I109" s="12" t="str">
        <f t="shared" si="6"/>
        <v/>
      </c>
      <c r="J109" s="18"/>
      <c r="K109" s="14"/>
    </row>
    <row r="110" spans="1:11">
      <c r="A110" s="15" t="s">
        <v>138</v>
      </c>
      <c r="B110" s="16">
        <v>7.0810000000000004</v>
      </c>
      <c r="C110" s="16">
        <v>1.224</v>
      </c>
      <c r="D110" s="16">
        <v>5.9260000000000002</v>
      </c>
      <c r="E110" s="16">
        <v>2.36</v>
      </c>
      <c r="F110" s="16"/>
      <c r="G110" s="17">
        <f t="shared" si="9"/>
        <v>4.7210000000000001</v>
      </c>
      <c r="H110" s="12">
        <f t="shared" si="7"/>
        <v>4.702</v>
      </c>
      <c r="I110" s="12" t="str">
        <f t="shared" si="6"/>
        <v/>
      </c>
      <c r="J110" s="18"/>
      <c r="K110" s="14"/>
    </row>
    <row r="111" spans="1:11">
      <c r="A111" s="15" t="s">
        <v>139</v>
      </c>
      <c r="B111" s="16">
        <v>6.2789999999999999</v>
      </c>
      <c r="C111" s="16">
        <v>1.1639999999999999</v>
      </c>
      <c r="D111" s="16">
        <v>4.101</v>
      </c>
      <c r="E111" s="16">
        <v>3.3149999999999999</v>
      </c>
      <c r="F111" s="16"/>
      <c r="G111" s="17">
        <f t="shared" si="9"/>
        <v>2.964</v>
      </c>
      <c r="H111" s="12">
        <f t="shared" si="7"/>
        <v>2.9370000000000003</v>
      </c>
      <c r="I111" s="12" t="str">
        <f t="shared" si="6"/>
        <v/>
      </c>
      <c r="J111" s="18"/>
      <c r="K111" s="14"/>
    </row>
    <row r="112" spans="1:11">
      <c r="A112" s="15" t="s">
        <v>140</v>
      </c>
      <c r="B112" s="16">
        <v>6.2125000000000004</v>
      </c>
      <c r="C112" s="16">
        <v>1.1943999999999999</v>
      </c>
      <c r="D112" s="16">
        <v>4.9987000000000004</v>
      </c>
      <c r="E112" s="16">
        <v>2.4049999999999998</v>
      </c>
      <c r="F112" s="16"/>
      <c r="G112" s="17">
        <f t="shared" si="9"/>
        <v>3.8075000000000006</v>
      </c>
      <c r="H112" s="12">
        <f t="shared" si="7"/>
        <v>3.8043000000000005</v>
      </c>
      <c r="I112" s="12" t="str">
        <f t="shared" si="6"/>
        <v/>
      </c>
      <c r="J112" s="18"/>
      <c r="K112" s="14"/>
    </row>
    <row r="113" spans="1:11">
      <c r="A113" s="15" t="s">
        <v>68</v>
      </c>
      <c r="B113" s="16">
        <v>6.6616999999999997</v>
      </c>
      <c r="C113" s="16">
        <v>1.2443</v>
      </c>
      <c r="D113" s="16">
        <v>5.5435999999999996</v>
      </c>
      <c r="E113" s="16">
        <v>2.3233000000000001</v>
      </c>
      <c r="F113" s="16"/>
      <c r="G113" s="17">
        <f t="shared" si="9"/>
        <v>4.3384</v>
      </c>
      <c r="H113" s="12">
        <f t="shared" si="7"/>
        <v>4.2992999999999997</v>
      </c>
      <c r="I113" s="12" t="str">
        <f t="shared" si="6"/>
        <v/>
      </c>
      <c r="J113" s="18"/>
      <c r="K113" s="14"/>
    </row>
    <row r="114" spans="1:11">
      <c r="A114" s="15" t="s">
        <v>143</v>
      </c>
      <c r="B114" s="16">
        <v>5.6003999999999996</v>
      </c>
      <c r="C114" s="16">
        <v>1.2435</v>
      </c>
      <c r="D114" s="16">
        <v>4.4231999999999996</v>
      </c>
      <c r="E114" s="16">
        <v>2.3868999999999998</v>
      </c>
      <c r="F114" s="16"/>
      <c r="G114" s="17">
        <f t="shared" si="9"/>
        <v>3.2134999999999998</v>
      </c>
      <c r="H114" s="12">
        <f t="shared" si="7"/>
        <v>3.1796999999999995</v>
      </c>
      <c r="I114" s="12" t="str">
        <f t="shared" si="6"/>
        <v/>
      </c>
      <c r="J114" s="18"/>
      <c r="K114" s="14"/>
    </row>
    <row r="115" spans="1:11">
      <c r="A115" s="15" t="s">
        <v>144</v>
      </c>
      <c r="B115" s="16">
        <v>4.1970000000000001</v>
      </c>
      <c r="C115" s="16">
        <v>1.2150000000000001</v>
      </c>
      <c r="D115" s="16">
        <v>3.2229999999999999</v>
      </c>
      <c r="E115" s="16">
        <v>2.1819999999999999</v>
      </c>
      <c r="F115" s="16"/>
      <c r="G115" s="17">
        <f t="shared" si="9"/>
        <v>2.0150000000000001</v>
      </c>
      <c r="H115" s="12">
        <f t="shared" si="7"/>
        <v>2.008</v>
      </c>
      <c r="I115" s="12" t="str">
        <f t="shared" si="6"/>
        <v/>
      </c>
      <c r="J115" s="18"/>
      <c r="K115" s="14"/>
    </row>
    <row r="116" spans="1:11">
      <c r="A116" s="15" t="s">
        <v>145</v>
      </c>
      <c r="B116" s="16">
        <v>6.9733999999999998</v>
      </c>
      <c r="C116" s="16">
        <v>1.2810999999999999</v>
      </c>
      <c r="D116" s="16">
        <v>5.85</v>
      </c>
      <c r="E116" s="16">
        <v>2.3820000000000001</v>
      </c>
      <c r="F116" s="16"/>
      <c r="G116" s="17">
        <f t="shared" si="9"/>
        <v>4.5914000000000001</v>
      </c>
      <c r="H116" s="12">
        <f t="shared" si="7"/>
        <v>4.5688999999999993</v>
      </c>
      <c r="I116" s="12" t="str">
        <f t="shared" si="6"/>
        <v/>
      </c>
      <c r="J116" s="18"/>
      <c r="K116" s="14"/>
    </row>
    <row r="117" spans="1:11">
      <c r="A117" s="15" t="s">
        <v>146</v>
      </c>
      <c r="B117" s="16">
        <v>7.1966000000000001</v>
      </c>
      <c r="C117" s="16">
        <v>1.2425999999999999</v>
      </c>
      <c r="D117" s="16">
        <v>5.2656000000000001</v>
      </c>
      <c r="E117" s="16">
        <v>3.0461</v>
      </c>
      <c r="F117" s="16"/>
      <c r="G117" s="17">
        <f t="shared" si="9"/>
        <v>4.1505000000000001</v>
      </c>
      <c r="H117" s="12">
        <f t="shared" si="7"/>
        <v>4.0229999999999997</v>
      </c>
      <c r="I117" s="12" t="str">
        <f t="shared" si="6"/>
        <v>FLAG</v>
      </c>
      <c r="J117" s="18"/>
      <c r="K117" s="14"/>
    </row>
    <row r="118" spans="1:11">
      <c r="A118" s="15" t="s">
        <v>147</v>
      </c>
      <c r="B118" s="16">
        <v>6.5734000000000004</v>
      </c>
      <c r="C118" s="16">
        <v>1.1902999999999999</v>
      </c>
      <c r="D118" s="16">
        <v>5.2103000000000002</v>
      </c>
      <c r="E118" s="16">
        <v>2.5350000000000001</v>
      </c>
      <c r="F118" s="16"/>
      <c r="G118" s="17">
        <f t="shared" si="9"/>
        <v>4.0384000000000002</v>
      </c>
      <c r="H118" s="12">
        <f t="shared" si="7"/>
        <v>4.0200000000000005</v>
      </c>
      <c r="I118" s="12" t="str">
        <f t="shared" si="6"/>
        <v/>
      </c>
      <c r="J118" s="18"/>
      <c r="K118" s="14"/>
    </row>
    <row r="119" spans="1:11">
      <c r="A119" s="15" t="s">
        <v>148</v>
      </c>
      <c r="B119" s="16">
        <v>6.5739999999999998</v>
      </c>
      <c r="C119" s="16">
        <v>1.204</v>
      </c>
      <c r="D119" s="16">
        <v>5.4</v>
      </c>
      <c r="E119" s="16">
        <v>2.3660000000000001</v>
      </c>
      <c r="F119" s="16"/>
      <c r="G119" s="17">
        <f t="shared" si="9"/>
        <v>4.2080000000000002</v>
      </c>
      <c r="H119" s="12">
        <f t="shared" si="7"/>
        <v>4.1960000000000006</v>
      </c>
      <c r="I119" s="12" t="str">
        <f t="shared" si="6"/>
        <v/>
      </c>
      <c r="J119" s="18"/>
      <c r="K119" s="14"/>
    </row>
    <row r="120" spans="1:11">
      <c r="A120" s="15" t="s">
        <v>149</v>
      </c>
      <c r="B120" s="16">
        <v>6.7039999999999997</v>
      </c>
      <c r="C120" s="16">
        <v>1.147</v>
      </c>
      <c r="D120" s="16">
        <v>5.4</v>
      </c>
      <c r="E120" s="16">
        <v>2.4260000000000002</v>
      </c>
      <c r="F120" s="16"/>
      <c r="G120" s="17">
        <f t="shared" si="9"/>
        <v>4.2779999999999996</v>
      </c>
      <c r="H120" s="12">
        <f t="shared" si="7"/>
        <v>4.2530000000000001</v>
      </c>
      <c r="I120" s="12" t="str">
        <f t="shared" si="6"/>
        <v/>
      </c>
      <c r="J120" s="18"/>
      <c r="K120" s="14"/>
    </row>
    <row r="121" spans="1:11">
      <c r="A121" s="15" t="s">
        <v>150</v>
      </c>
      <c r="B121" s="16">
        <v>6.8620000000000001</v>
      </c>
      <c r="C121" s="16">
        <v>1.196</v>
      </c>
      <c r="D121" s="16">
        <v>5.67</v>
      </c>
      <c r="E121" s="16">
        <v>2.3490000000000002</v>
      </c>
      <c r="F121" s="16"/>
      <c r="G121" s="17">
        <f t="shared" si="9"/>
        <v>4.5129999999999999</v>
      </c>
      <c r="H121" s="12">
        <f t="shared" si="7"/>
        <v>4.4740000000000002</v>
      </c>
      <c r="I121" s="12" t="str">
        <f t="shared" si="6"/>
        <v/>
      </c>
      <c r="J121" s="18"/>
      <c r="K121" s="14"/>
    </row>
    <row r="122" spans="1:11">
      <c r="A122" s="15" t="s">
        <v>102</v>
      </c>
      <c r="B122" s="16">
        <v>7.2409999999999997</v>
      </c>
      <c r="C122" s="16">
        <v>1.2689999999999999</v>
      </c>
      <c r="D122" s="16">
        <v>5.9630000000000001</v>
      </c>
      <c r="E122" s="16">
        <v>2.536</v>
      </c>
      <c r="F122" s="16"/>
      <c r="G122" s="17">
        <f t="shared" si="9"/>
        <v>4.7050000000000001</v>
      </c>
      <c r="H122" s="12">
        <f t="shared" si="7"/>
        <v>4.694</v>
      </c>
      <c r="I122" s="12" t="str">
        <f t="shared" si="6"/>
        <v/>
      </c>
      <c r="J122" s="18"/>
      <c r="K122" s="14"/>
    </row>
    <row r="123" spans="1:11">
      <c r="A123" s="15" t="s">
        <v>86</v>
      </c>
      <c r="B123" s="16">
        <v>6.6369999999999996</v>
      </c>
      <c r="C123" s="16">
        <v>1.28</v>
      </c>
      <c r="D123" s="16">
        <v>5.452</v>
      </c>
      <c r="E123" s="16">
        <v>2.3940000000000001</v>
      </c>
      <c r="F123" s="16"/>
      <c r="G123" s="17">
        <f t="shared" si="9"/>
        <v>4.2429999999999994</v>
      </c>
      <c r="H123" s="12">
        <f t="shared" si="7"/>
        <v>4.1719999999999997</v>
      </c>
      <c r="I123" s="12" t="str">
        <f t="shared" si="6"/>
        <v/>
      </c>
      <c r="J123" s="18"/>
      <c r="K123" s="14"/>
    </row>
    <row r="124" spans="1:11">
      <c r="A124" s="15" t="s">
        <v>152</v>
      </c>
      <c r="B124" s="16">
        <v>6.6669999999999998</v>
      </c>
      <c r="C124" s="16">
        <v>1.2010000000000001</v>
      </c>
      <c r="D124" s="16">
        <v>2.423</v>
      </c>
      <c r="E124" s="16">
        <f>B124-H124</f>
        <v>5.4450000000000003</v>
      </c>
      <c r="F124" s="16"/>
      <c r="G124" s="17">
        <f t="shared" si="9"/>
        <v>1.2219999999999995</v>
      </c>
      <c r="H124" s="12">
        <f t="shared" si="7"/>
        <v>1.222</v>
      </c>
      <c r="I124" s="12" t="str">
        <f t="shared" si="6"/>
        <v/>
      </c>
      <c r="J124" s="18"/>
      <c r="K124" s="14"/>
    </row>
    <row r="125" spans="1:11">
      <c r="A125" s="15" t="s">
        <v>153</v>
      </c>
      <c r="B125" s="16">
        <v>6.8890000000000002</v>
      </c>
      <c r="C125" s="16">
        <v>1.2030000000000001</v>
      </c>
      <c r="D125" s="16">
        <v>5.5709999999999997</v>
      </c>
      <c r="E125" s="16">
        <v>2.504</v>
      </c>
      <c r="F125" s="16"/>
      <c r="G125" s="17">
        <f t="shared" si="9"/>
        <v>4.3849999999999998</v>
      </c>
      <c r="H125" s="12">
        <f t="shared" si="7"/>
        <v>4.3679999999999994</v>
      </c>
      <c r="I125" s="12" t="str">
        <f t="shared" si="6"/>
        <v/>
      </c>
      <c r="J125" s="18"/>
      <c r="K125" s="14"/>
    </row>
    <row r="126" spans="1:11">
      <c r="A126" s="15" t="s">
        <v>154</v>
      </c>
      <c r="B126" s="16">
        <v>7.8049999999999997</v>
      </c>
      <c r="C126" s="16">
        <v>1.2509999999999999</v>
      </c>
      <c r="D126" s="16">
        <v>5.97</v>
      </c>
      <c r="E126" s="16">
        <v>3.0750000000000002</v>
      </c>
      <c r="F126" s="16"/>
      <c r="G126" s="17">
        <f t="shared" si="9"/>
        <v>4.7299999999999995</v>
      </c>
      <c r="H126" s="12">
        <f t="shared" si="7"/>
        <v>4.7189999999999994</v>
      </c>
      <c r="I126" s="12" t="str">
        <f t="shared" si="6"/>
        <v/>
      </c>
      <c r="J126" s="18"/>
      <c r="K126" s="14"/>
    </row>
    <row r="127" spans="1:11">
      <c r="A127" s="15" t="s">
        <v>154</v>
      </c>
      <c r="B127" s="16">
        <v>7.9059999999999997</v>
      </c>
      <c r="C127" s="16">
        <v>1.264</v>
      </c>
      <c r="D127" s="16">
        <v>6.58</v>
      </c>
      <c r="E127" s="16">
        <v>2.5419999999999998</v>
      </c>
      <c r="F127" s="16"/>
      <c r="G127" s="17">
        <f t="shared" si="9"/>
        <v>5.3639999999999999</v>
      </c>
      <c r="H127" s="12">
        <f t="shared" si="7"/>
        <v>5.3159999999999998</v>
      </c>
      <c r="I127" s="12" t="str">
        <f t="shared" si="6"/>
        <v/>
      </c>
      <c r="J127" s="18"/>
      <c r="K127" s="14"/>
    </row>
    <row r="128" spans="1:11">
      <c r="A128" s="15" t="s">
        <v>155</v>
      </c>
      <c r="B128" s="16">
        <v>3.4079999999999999</v>
      </c>
      <c r="C128" s="16">
        <v>1.254</v>
      </c>
      <c r="D128" s="16">
        <v>2.3149999999999999</v>
      </c>
      <c r="E128" s="16">
        <v>2.3380000000000001</v>
      </c>
      <c r="F128" s="16"/>
      <c r="G128" s="17">
        <f t="shared" si="9"/>
        <v>1.0699999999999998</v>
      </c>
      <c r="H128" s="12">
        <f t="shared" si="7"/>
        <v>1.0609999999999999</v>
      </c>
      <c r="I128" s="12" t="str">
        <f t="shared" si="6"/>
        <v/>
      </c>
      <c r="J128" s="18"/>
      <c r="K128" s="14"/>
    </row>
    <row r="129" spans="1:11">
      <c r="A129" s="15" t="s">
        <v>156</v>
      </c>
      <c r="B129" s="16"/>
      <c r="C129" s="16"/>
      <c r="D129" s="16"/>
      <c r="E129" s="16"/>
      <c r="F129" s="16"/>
      <c r="G129" s="17">
        <f t="shared" si="9"/>
        <v>0</v>
      </c>
      <c r="H129" s="12">
        <f t="shared" si="7"/>
        <v>0</v>
      </c>
      <c r="I129" s="12" t="str">
        <f t="shared" si="6"/>
        <v/>
      </c>
      <c r="J129" s="18"/>
      <c r="K129" s="14"/>
    </row>
    <row r="130" spans="1:11">
      <c r="A130" s="15" t="s">
        <v>100</v>
      </c>
      <c r="B130" s="16">
        <v>9.4860000000000007</v>
      </c>
      <c r="C130" s="16">
        <v>1.246</v>
      </c>
      <c r="D130" s="16">
        <v>8.0660000000000007</v>
      </c>
      <c r="E130" s="16">
        <v>2.6379999999999999</v>
      </c>
      <c r="F130" s="16"/>
      <c r="G130" s="17">
        <f t="shared" si="9"/>
        <v>6.8480000000000008</v>
      </c>
      <c r="H130" s="12">
        <f t="shared" si="7"/>
        <v>6.82</v>
      </c>
      <c r="I130" s="12" t="str">
        <f t="shared" si="6"/>
        <v/>
      </c>
      <c r="J130" s="18"/>
      <c r="K130" s="14"/>
    </row>
    <row r="131" spans="1:11">
      <c r="A131" s="15" t="s">
        <v>101</v>
      </c>
      <c r="B131" s="16">
        <v>8.35</v>
      </c>
      <c r="C131" s="16">
        <v>1.232</v>
      </c>
      <c r="D131" s="16">
        <v>7.1710000000000003</v>
      </c>
      <c r="E131" s="16">
        <v>2.3980000000000001</v>
      </c>
      <c r="F131" s="16"/>
      <c r="G131" s="17">
        <f t="shared" si="9"/>
        <v>5.952</v>
      </c>
      <c r="H131" s="12">
        <f t="shared" si="7"/>
        <v>5.9390000000000001</v>
      </c>
      <c r="I131" s="12" t="str">
        <f t="shared" ref="I131:I171" si="10">IF(ABS(H131-G131)&gt;0.1, "FLAG", "")</f>
        <v/>
      </c>
      <c r="J131" s="18"/>
      <c r="K131" s="14"/>
    </row>
    <row r="132" spans="1:11">
      <c r="A132" s="15" t="s">
        <v>84</v>
      </c>
      <c r="B132" s="16">
        <v>4.1849999999999996</v>
      </c>
      <c r="C132" s="16">
        <v>1.1990000000000001</v>
      </c>
      <c r="D132" s="16">
        <v>3.0089999999999999</v>
      </c>
      <c r="E132" s="16">
        <v>2.3530000000000002</v>
      </c>
      <c r="F132" s="16"/>
      <c r="G132" s="17">
        <f t="shared" si="9"/>
        <v>1.8319999999999994</v>
      </c>
      <c r="H132" s="12">
        <f t="shared" ref="H132:H171" si="11">D132-C132</f>
        <v>1.8099999999999998</v>
      </c>
      <c r="I132" s="12" t="str">
        <f t="shared" si="10"/>
        <v/>
      </c>
      <c r="J132" s="18"/>
      <c r="K132" s="14" t="s">
        <v>169</v>
      </c>
    </row>
    <row r="133" spans="1:11">
      <c r="A133" s="15" t="s">
        <v>85</v>
      </c>
      <c r="B133" s="16">
        <v>8.65</v>
      </c>
      <c r="C133" s="16">
        <v>1.2729999999999999</v>
      </c>
      <c r="D133" s="16">
        <v>7.48</v>
      </c>
      <c r="E133" s="16">
        <v>2.4159999999999999</v>
      </c>
      <c r="F133" s="16"/>
      <c r="G133" s="17">
        <f t="shared" si="9"/>
        <v>6.234</v>
      </c>
      <c r="H133" s="12">
        <f t="shared" si="11"/>
        <v>6.2070000000000007</v>
      </c>
      <c r="I133" s="12" t="str">
        <f t="shared" si="10"/>
        <v/>
      </c>
      <c r="J133" s="18"/>
      <c r="K133" s="14"/>
    </row>
    <row r="134" spans="1:11">
      <c r="A134" s="15" t="s">
        <v>103</v>
      </c>
      <c r="B134" s="16">
        <v>7.3579999999999997</v>
      </c>
      <c r="C134" s="16">
        <v>1.194</v>
      </c>
      <c r="D134" s="16">
        <v>5.8810000000000002</v>
      </c>
      <c r="E134" s="16">
        <v>2.6459999999999999</v>
      </c>
      <c r="F134" s="16"/>
      <c r="G134" s="17">
        <f t="shared" si="9"/>
        <v>4.7119999999999997</v>
      </c>
      <c r="H134" s="12">
        <f t="shared" si="11"/>
        <v>4.6870000000000003</v>
      </c>
      <c r="I134" s="12" t="str">
        <f t="shared" si="10"/>
        <v/>
      </c>
      <c r="J134" s="18"/>
      <c r="K134" s="14"/>
    </row>
    <row r="135" spans="1:11">
      <c r="A135" s="15" t="s">
        <v>31</v>
      </c>
      <c r="B135" s="16"/>
      <c r="C135" s="16"/>
      <c r="D135" s="16"/>
      <c r="E135" s="16"/>
      <c r="F135" s="16"/>
      <c r="G135" s="17">
        <f t="shared" si="9"/>
        <v>0</v>
      </c>
      <c r="H135" s="12">
        <f t="shared" si="11"/>
        <v>0</v>
      </c>
      <c r="I135" s="12" t="str">
        <f t="shared" si="10"/>
        <v/>
      </c>
      <c r="J135" s="18"/>
      <c r="K135" s="14"/>
    </row>
    <row r="136" spans="1:11">
      <c r="A136" s="15" t="s">
        <v>18</v>
      </c>
      <c r="B136" s="16">
        <v>6.8739999999999997</v>
      </c>
      <c r="C136" s="16">
        <v>1.1830000000000001</v>
      </c>
      <c r="D136" s="16">
        <v>5.6319999999999997</v>
      </c>
      <c r="E136" s="16">
        <v>2.319</v>
      </c>
      <c r="F136" s="16"/>
      <c r="G136" s="17">
        <f t="shared" si="9"/>
        <v>4.5549999999999997</v>
      </c>
      <c r="H136" s="12">
        <f t="shared" si="11"/>
        <v>4.4489999999999998</v>
      </c>
      <c r="I136" s="12" t="str">
        <f t="shared" si="10"/>
        <v>FLAG</v>
      </c>
      <c r="J136" s="18"/>
      <c r="K136" s="14"/>
    </row>
    <row r="137" spans="1:11">
      <c r="A137" s="20" t="s">
        <v>172</v>
      </c>
      <c r="B137" s="16">
        <v>7.1539999999999999</v>
      </c>
      <c r="C137" s="16">
        <v>1.3149999999999999</v>
      </c>
      <c r="D137" s="16">
        <v>5.9359999999999999</v>
      </c>
      <c r="E137" s="16">
        <v>2.5009999999999999</v>
      </c>
      <c r="F137" s="16"/>
      <c r="G137" s="17">
        <f t="shared" si="9"/>
        <v>4.6530000000000005</v>
      </c>
      <c r="H137" s="12">
        <f t="shared" si="11"/>
        <v>4.6210000000000004</v>
      </c>
      <c r="I137" s="12" t="str">
        <f t="shared" si="10"/>
        <v/>
      </c>
      <c r="J137" s="18"/>
      <c r="K137" s="14"/>
    </row>
    <row r="138" spans="1:11">
      <c r="A138" s="15" t="s">
        <v>51</v>
      </c>
      <c r="B138" s="16">
        <v>7.5171000000000001</v>
      </c>
      <c r="C138" s="16">
        <v>1.998</v>
      </c>
      <c r="D138" s="16">
        <v>6.218</v>
      </c>
      <c r="E138" s="16">
        <v>2.4931999999999999</v>
      </c>
      <c r="F138" s="16"/>
      <c r="G138" s="17">
        <f t="shared" si="9"/>
        <v>5.0239000000000003</v>
      </c>
      <c r="H138" s="12">
        <f t="shared" si="11"/>
        <v>4.22</v>
      </c>
      <c r="I138" s="12" t="str">
        <f t="shared" si="10"/>
        <v>FLAG</v>
      </c>
      <c r="J138" s="18"/>
      <c r="K138" s="14"/>
    </row>
    <row r="139" spans="1:11">
      <c r="A139" s="15" t="s">
        <v>52</v>
      </c>
      <c r="B139" s="16">
        <v>5.28</v>
      </c>
      <c r="C139" s="16">
        <v>1.1859999999999999</v>
      </c>
      <c r="D139" s="16">
        <v>3.9502999999999999</v>
      </c>
      <c r="E139" s="16">
        <v>2.5049999999999999</v>
      </c>
      <c r="F139" s="16"/>
      <c r="G139" s="17">
        <f t="shared" si="9"/>
        <v>2.7750000000000004</v>
      </c>
      <c r="H139" s="12">
        <f t="shared" si="11"/>
        <v>2.7643</v>
      </c>
      <c r="I139" s="12" t="str">
        <f t="shared" si="10"/>
        <v/>
      </c>
      <c r="J139" s="18"/>
      <c r="K139" s="14"/>
    </row>
    <row r="140" spans="1:11">
      <c r="A140" s="15" t="s">
        <v>53</v>
      </c>
      <c r="B140" s="16">
        <v>7.2473999999999998</v>
      </c>
      <c r="C140" s="16">
        <v>1.1971000000000001</v>
      </c>
      <c r="D140" s="16">
        <v>6.0682</v>
      </c>
      <c r="E140" s="16">
        <v>2.3696999999999999</v>
      </c>
      <c r="F140" s="16"/>
      <c r="G140" s="17">
        <f t="shared" si="9"/>
        <v>4.8776999999999999</v>
      </c>
      <c r="H140" s="12">
        <f t="shared" si="11"/>
        <v>4.8711000000000002</v>
      </c>
      <c r="I140" s="12" t="str">
        <f t="shared" si="10"/>
        <v/>
      </c>
      <c r="J140" s="18"/>
      <c r="K140" s="14"/>
    </row>
    <row r="141" spans="1:11">
      <c r="A141" s="15" t="s">
        <v>124</v>
      </c>
      <c r="B141" s="16">
        <v>4.5865999999999998</v>
      </c>
      <c r="C141" s="16">
        <v>1.1719999999999999</v>
      </c>
      <c r="D141" s="16">
        <v>3.4624999999999999</v>
      </c>
      <c r="E141" s="16">
        <v>2.2768000000000002</v>
      </c>
      <c r="F141" s="16"/>
      <c r="G141" s="17">
        <f t="shared" si="9"/>
        <v>2.3097999999999996</v>
      </c>
      <c r="H141" s="12">
        <f t="shared" si="11"/>
        <v>2.2904999999999998</v>
      </c>
      <c r="I141" s="12" t="str">
        <f t="shared" si="10"/>
        <v/>
      </c>
      <c r="J141" s="18"/>
      <c r="K141" s="14"/>
    </row>
    <row r="142" spans="1:11">
      <c r="A142" s="15" t="s">
        <v>126</v>
      </c>
      <c r="B142" s="16">
        <v>8.5489999999999995</v>
      </c>
      <c r="C142" s="16">
        <v>1.2709999999999999</v>
      </c>
      <c r="D142" s="16">
        <v>7.3920000000000003</v>
      </c>
      <c r="E142" s="16">
        <v>2.4329999999999998</v>
      </c>
      <c r="F142" s="16"/>
      <c r="G142" s="17">
        <f t="shared" si="9"/>
        <v>6.1159999999999997</v>
      </c>
      <c r="H142" s="12">
        <f t="shared" si="11"/>
        <v>6.1210000000000004</v>
      </c>
      <c r="I142" s="12" t="str">
        <f t="shared" si="10"/>
        <v/>
      </c>
      <c r="J142" s="18"/>
      <c r="K142" s="14"/>
    </row>
    <row r="143" spans="1:11">
      <c r="A143" s="15" t="s">
        <v>125</v>
      </c>
      <c r="B143" s="16">
        <v>10.2447</v>
      </c>
      <c r="C143" s="16">
        <v>1.1892</v>
      </c>
      <c r="D143" s="16">
        <v>8.9512</v>
      </c>
      <c r="E143" s="16">
        <v>2.4485999999999999</v>
      </c>
      <c r="F143" s="16"/>
      <c r="G143" s="17">
        <f t="shared" si="9"/>
        <v>7.7961</v>
      </c>
      <c r="H143" s="12">
        <f t="shared" si="11"/>
        <v>7.7620000000000005</v>
      </c>
      <c r="I143" s="12" t="str">
        <f t="shared" si="10"/>
        <v/>
      </c>
      <c r="J143" s="18"/>
      <c r="K143" s="14"/>
    </row>
    <row r="144" spans="1:11">
      <c r="A144" s="15" t="s">
        <v>28</v>
      </c>
      <c r="B144" s="16">
        <v>6.4882</v>
      </c>
      <c r="C144" s="16">
        <v>1.1933</v>
      </c>
      <c r="D144" s="16">
        <v>5.3958000000000004</v>
      </c>
      <c r="E144" s="16">
        <v>2.2797000000000001</v>
      </c>
      <c r="F144" s="16"/>
      <c r="G144" s="17">
        <f t="shared" si="9"/>
        <v>4.2084999999999999</v>
      </c>
      <c r="H144" s="12">
        <f t="shared" si="11"/>
        <v>4.2025000000000006</v>
      </c>
      <c r="I144" s="12" t="str">
        <f t="shared" si="10"/>
        <v/>
      </c>
      <c r="J144" s="18"/>
      <c r="K144" s="14"/>
    </row>
    <row r="145" spans="1:11">
      <c r="A145" s="15" t="s">
        <v>30</v>
      </c>
      <c r="B145" s="16">
        <v>6.4817999999999998</v>
      </c>
      <c r="C145" s="16">
        <v>1.1955</v>
      </c>
      <c r="D145" s="16">
        <v>5.2545000000000002</v>
      </c>
      <c r="E145" s="16">
        <v>2.4066999999999998</v>
      </c>
      <c r="F145" s="16"/>
      <c r="G145" s="17">
        <f t="shared" si="9"/>
        <v>4.0750999999999999</v>
      </c>
      <c r="H145" s="12">
        <f t="shared" si="11"/>
        <v>4.0590000000000002</v>
      </c>
      <c r="I145" s="12" t="str">
        <f t="shared" si="10"/>
        <v/>
      </c>
      <c r="J145" s="18"/>
      <c r="K145" s="14"/>
    </row>
    <row r="146" spans="1:11">
      <c r="A146" s="15" t="s">
        <v>171</v>
      </c>
      <c r="B146" s="16">
        <v>4.4284999999999997</v>
      </c>
      <c r="C146" s="16">
        <v>1.2044999999999999</v>
      </c>
      <c r="D146" s="16">
        <v>3.4687999999999999</v>
      </c>
      <c r="E146" s="16">
        <v>2.1516000000000002</v>
      </c>
      <c r="F146" s="16"/>
      <c r="G146" s="17">
        <f t="shared" si="9"/>
        <v>2.2768999999999995</v>
      </c>
      <c r="H146" s="12">
        <f t="shared" si="11"/>
        <v>2.2643</v>
      </c>
      <c r="I146" s="12" t="str">
        <f t="shared" si="10"/>
        <v/>
      </c>
      <c r="J146" s="18"/>
      <c r="K146" s="14"/>
    </row>
    <row r="147" spans="1:11">
      <c r="A147" s="15" t="s">
        <v>120</v>
      </c>
      <c r="B147" s="16">
        <v>8.7870000000000008</v>
      </c>
      <c r="C147" s="16">
        <v>1.2061999999999999</v>
      </c>
      <c r="D147" s="16">
        <v>7.5273000000000003</v>
      </c>
      <c r="E147" s="16">
        <v>2.4373</v>
      </c>
      <c r="F147" s="16"/>
      <c r="G147" s="17">
        <f t="shared" si="9"/>
        <v>6.3497000000000003</v>
      </c>
      <c r="H147" s="12">
        <f t="shared" si="11"/>
        <v>6.3211000000000004</v>
      </c>
      <c r="I147" s="12" t="str">
        <f t="shared" si="10"/>
        <v/>
      </c>
      <c r="J147" s="18"/>
      <c r="K147" s="14"/>
    </row>
    <row r="148" spans="1:11">
      <c r="A148" s="15" t="s">
        <v>109</v>
      </c>
      <c r="B148" s="16">
        <v>9.2370000000000001</v>
      </c>
      <c r="C148" s="16">
        <v>1.2130000000000001</v>
      </c>
      <c r="D148" s="16">
        <v>7.97</v>
      </c>
      <c r="E148" s="16">
        <v>2.383</v>
      </c>
      <c r="F148" s="16"/>
      <c r="G148" s="17">
        <f t="shared" si="9"/>
        <v>6.8540000000000001</v>
      </c>
      <c r="H148" s="12">
        <f t="shared" si="11"/>
        <v>6.7569999999999997</v>
      </c>
      <c r="I148" s="12" t="str">
        <f t="shared" si="10"/>
        <v/>
      </c>
      <c r="J148" s="18"/>
      <c r="K148" s="14"/>
    </row>
    <row r="149" spans="1:11">
      <c r="A149" s="15" t="s">
        <v>76</v>
      </c>
      <c r="B149" s="16">
        <v>8.8729999999999993</v>
      </c>
      <c r="C149" s="16">
        <v>1.1893</v>
      </c>
      <c r="D149" s="16">
        <v>7.6825999999999999</v>
      </c>
      <c r="E149" s="16">
        <v>2.3622999999999998</v>
      </c>
      <c r="F149" s="16"/>
      <c r="G149" s="17">
        <f t="shared" si="9"/>
        <v>6.5106999999999999</v>
      </c>
      <c r="H149" s="12">
        <f t="shared" si="11"/>
        <v>6.4932999999999996</v>
      </c>
      <c r="I149" s="12" t="str">
        <f t="shared" si="10"/>
        <v/>
      </c>
      <c r="J149" s="18"/>
      <c r="K149" s="14"/>
    </row>
    <row r="150" spans="1:11">
      <c r="A150" s="15" t="s">
        <v>95</v>
      </c>
      <c r="B150" s="16">
        <v>8.16</v>
      </c>
      <c r="C150" s="16">
        <v>1.3089999999999999</v>
      </c>
      <c r="D150" s="16">
        <v>6.9279999999999999</v>
      </c>
      <c r="E150" s="16">
        <v>2.4870000000000001</v>
      </c>
      <c r="F150" s="16"/>
      <c r="G150" s="17">
        <f t="shared" si="9"/>
        <v>5.673</v>
      </c>
      <c r="H150" s="12">
        <f t="shared" si="11"/>
        <v>5.6189999999999998</v>
      </c>
      <c r="I150" s="12" t="str">
        <f t="shared" si="10"/>
        <v/>
      </c>
      <c r="J150" s="18"/>
      <c r="K150" s="14"/>
    </row>
    <row r="151" spans="1:11">
      <c r="A151" s="15" t="s">
        <v>113</v>
      </c>
      <c r="B151" s="16">
        <v>6.3449999999999998</v>
      </c>
      <c r="C151" s="16">
        <v>1.3140000000000001</v>
      </c>
      <c r="D151" s="16">
        <v>5.2439999999999998</v>
      </c>
      <c r="E151" s="16">
        <v>2.3679999999999999</v>
      </c>
      <c r="F151" s="16"/>
      <c r="G151" s="17">
        <f t="shared" si="9"/>
        <v>3.9769999999999999</v>
      </c>
      <c r="H151" s="12">
        <f t="shared" si="11"/>
        <v>3.9299999999999997</v>
      </c>
      <c r="I151" s="12" t="str">
        <f t="shared" si="10"/>
        <v/>
      </c>
      <c r="J151" s="18"/>
      <c r="K151" s="14"/>
    </row>
    <row r="152" spans="1:11">
      <c r="A152" s="15" t="s">
        <v>82</v>
      </c>
      <c r="B152" s="16">
        <v>4.6326000000000001</v>
      </c>
      <c r="C152" s="16">
        <v>1.2729999999999999</v>
      </c>
      <c r="D152" s="16">
        <v>3.4925000000000002</v>
      </c>
      <c r="E152" s="16">
        <v>2.4062999999999999</v>
      </c>
      <c r="F152" s="16"/>
      <c r="G152" s="17">
        <f t="shared" si="9"/>
        <v>2.2263000000000002</v>
      </c>
      <c r="H152" s="12">
        <f t="shared" si="11"/>
        <v>2.2195</v>
      </c>
      <c r="I152" s="12" t="str">
        <f t="shared" si="10"/>
        <v/>
      </c>
      <c r="J152" s="18"/>
      <c r="K152" s="14" t="s">
        <v>173</v>
      </c>
    </row>
    <row r="153" spans="1:11">
      <c r="A153" s="15" t="s">
        <v>83</v>
      </c>
      <c r="B153" s="16">
        <v>5.7389999999999999</v>
      </c>
      <c r="C153" s="16">
        <v>1.26</v>
      </c>
      <c r="D153" s="16">
        <v>4.6870000000000003</v>
      </c>
      <c r="E153" s="16">
        <v>2.2879999999999998</v>
      </c>
      <c r="F153" s="16"/>
      <c r="G153" s="17">
        <f t="shared" si="9"/>
        <v>3.4510000000000001</v>
      </c>
      <c r="H153" s="12">
        <f t="shared" si="11"/>
        <v>3.4270000000000005</v>
      </c>
      <c r="I153" s="12" t="str">
        <f t="shared" si="10"/>
        <v/>
      </c>
      <c r="J153" s="18"/>
      <c r="K153" s="14"/>
    </row>
    <row r="154" spans="1:11">
      <c r="A154" s="15" t="s">
        <v>136</v>
      </c>
      <c r="B154" s="16">
        <v>5.8646000000000003</v>
      </c>
      <c r="C154" s="16">
        <v>1.2592000000000001</v>
      </c>
      <c r="D154" s="16">
        <v>4.6906999999999996</v>
      </c>
      <c r="E154" s="16">
        <v>2.4569999999999999</v>
      </c>
      <c r="F154" s="16"/>
      <c r="G154" s="17">
        <f t="shared" si="9"/>
        <v>3.4076000000000004</v>
      </c>
      <c r="H154" s="12">
        <f t="shared" si="11"/>
        <v>3.4314999999999998</v>
      </c>
      <c r="I154" s="12" t="str">
        <f t="shared" si="10"/>
        <v/>
      </c>
      <c r="J154" s="18"/>
      <c r="K154" s="14"/>
    </row>
    <row r="155" spans="1:11">
      <c r="A155" s="15" t="s">
        <v>135</v>
      </c>
      <c r="B155" s="16">
        <v>6.2333600000000002</v>
      </c>
      <c r="C155" s="16">
        <v>1.1952</v>
      </c>
      <c r="D155" s="16">
        <v>4.9828000000000001</v>
      </c>
      <c r="E155" s="16">
        <v>2.4232999999999998</v>
      </c>
      <c r="F155" s="16"/>
      <c r="G155" s="17">
        <f t="shared" si="9"/>
        <v>3.8100600000000004</v>
      </c>
      <c r="H155" s="12">
        <f t="shared" si="11"/>
        <v>3.7876000000000003</v>
      </c>
      <c r="I155" s="12" t="str">
        <f t="shared" si="10"/>
        <v/>
      </c>
      <c r="J155" s="18"/>
      <c r="K155" s="14"/>
    </row>
    <row r="156" spans="1:11">
      <c r="A156" s="15" t="s">
        <v>174</v>
      </c>
      <c r="B156" s="16">
        <v>5.2</v>
      </c>
      <c r="C156" s="16">
        <v>1.3089999999999999</v>
      </c>
      <c r="D156" s="16">
        <v>3.8010000000000002</v>
      </c>
      <c r="E156" s="16">
        <v>2.6840000000000002</v>
      </c>
      <c r="F156" s="16"/>
      <c r="G156" s="17">
        <f t="shared" si="9"/>
        <v>2.516</v>
      </c>
      <c r="H156" s="12">
        <f t="shared" si="11"/>
        <v>2.492</v>
      </c>
      <c r="I156" s="12" t="str">
        <f t="shared" si="10"/>
        <v/>
      </c>
      <c r="J156" s="18"/>
      <c r="K156" s="14"/>
    </row>
    <row r="157" spans="1:11">
      <c r="A157" s="19" t="s">
        <v>6</v>
      </c>
      <c r="B157" s="16">
        <v>5.6189999999999998</v>
      </c>
      <c r="C157" s="16">
        <v>1.282</v>
      </c>
      <c r="D157" s="16">
        <v>4.5250000000000004</v>
      </c>
      <c r="E157" s="16">
        <v>2.3620000000000001</v>
      </c>
      <c r="F157" s="16"/>
      <c r="G157" s="17">
        <f t="shared" si="9"/>
        <v>3.2569999999999997</v>
      </c>
      <c r="H157" s="12">
        <f t="shared" si="11"/>
        <v>3.2430000000000003</v>
      </c>
      <c r="I157" s="12" t="str">
        <f t="shared" si="10"/>
        <v/>
      </c>
      <c r="J157" s="18"/>
      <c r="K157" s="14"/>
    </row>
    <row r="158" spans="1:11">
      <c r="A158" s="15" t="s">
        <v>12</v>
      </c>
      <c r="B158" s="16">
        <v>6.024</v>
      </c>
      <c r="C158" s="16">
        <v>1.1859999999999999</v>
      </c>
      <c r="D158" s="16">
        <v>4.9859999999999998</v>
      </c>
      <c r="E158" s="16">
        <v>2.2040000000000002</v>
      </c>
      <c r="F158" s="16"/>
      <c r="G158" s="17">
        <f t="shared" si="9"/>
        <v>3.82</v>
      </c>
      <c r="H158" s="12">
        <f t="shared" si="11"/>
        <v>3.8</v>
      </c>
      <c r="I158" s="12" t="str">
        <f t="shared" si="10"/>
        <v/>
      </c>
      <c r="J158" s="18"/>
      <c r="K158" s="14"/>
    </row>
    <row r="159" spans="1:11">
      <c r="A159" s="15" t="s">
        <v>37</v>
      </c>
      <c r="B159" s="16">
        <v>5.5990000000000002</v>
      </c>
      <c r="C159" s="16">
        <v>1.2470000000000001</v>
      </c>
      <c r="D159" s="16">
        <v>4.569</v>
      </c>
      <c r="E159" s="16">
        <v>2.2589999999999999</v>
      </c>
      <c r="F159" s="16"/>
      <c r="G159" s="17">
        <f t="shared" si="9"/>
        <v>3.3400000000000003</v>
      </c>
      <c r="H159" s="12">
        <f t="shared" si="11"/>
        <v>3.3220000000000001</v>
      </c>
      <c r="I159" s="12" t="str">
        <f t="shared" si="10"/>
        <v/>
      </c>
      <c r="J159" s="18"/>
      <c r="K159" s="14"/>
    </row>
    <row r="160" spans="1:11">
      <c r="A160" s="15" t="s">
        <v>38</v>
      </c>
      <c r="B160" s="16">
        <v>4.3659999999999997</v>
      </c>
      <c r="C160" s="16">
        <v>1.2330000000000001</v>
      </c>
      <c r="D160" s="16">
        <v>3.3340000000000001</v>
      </c>
      <c r="E160" s="16">
        <v>2.254</v>
      </c>
      <c r="F160" s="16"/>
      <c r="G160" s="17">
        <f t="shared" si="9"/>
        <v>2.1119999999999997</v>
      </c>
      <c r="H160" s="12">
        <f t="shared" si="11"/>
        <v>2.101</v>
      </c>
      <c r="I160" s="12" t="str">
        <f t="shared" si="10"/>
        <v/>
      </c>
      <c r="J160" s="18"/>
      <c r="K160" s="14"/>
    </row>
    <row r="161" spans="1:11">
      <c r="A161" s="15" t="s">
        <v>39</v>
      </c>
      <c r="B161" s="16">
        <v>5.5259999999999998</v>
      </c>
      <c r="C161" s="16">
        <v>1.268</v>
      </c>
      <c r="D161" s="16">
        <v>4.4720000000000004</v>
      </c>
      <c r="E161" s="16">
        <v>2.3119999999999998</v>
      </c>
      <c r="F161" s="16"/>
      <c r="G161" s="17">
        <f t="shared" si="9"/>
        <v>3.214</v>
      </c>
      <c r="H161" s="12">
        <f t="shared" si="11"/>
        <v>3.2040000000000006</v>
      </c>
      <c r="I161" s="12" t="str">
        <f t="shared" si="10"/>
        <v/>
      </c>
      <c r="J161" s="18"/>
      <c r="K161" s="14"/>
    </row>
    <row r="162" spans="1:11">
      <c r="A162" s="15" t="s">
        <v>40</v>
      </c>
      <c r="B162" s="16">
        <v>4.8650000000000002</v>
      </c>
      <c r="C162" s="16">
        <v>1.3440000000000001</v>
      </c>
      <c r="D162" s="16">
        <v>3.609</v>
      </c>
      <c r="E162" s="16">
        <v>2.5640000000000001</v>
      </c>
      <c r="F162" s="16"/>
      <c r="G162" s="17">
        <f t="shared" si="9"/>
        <v>2.3010000000000002</v>
      </c>
      <c r="H162" s="12">
        <f t="shared" si="11"/>
        <v>2.2649999999999997</v>
      </c>
      <c r="I162" s="12" t="str">
        <f t="shared" si="10"/>
        <v/>
      </c>
      <c r="J162" s="18"/>
      <c r="K162" s="14"/>
    </row>
    <row r="163" spans="1:11">
      <c r="A163" s="15" t="s">
        <v>36</v>
      </c>
      <c r="B163" s="16">
        <v>3.2050000000000001</v>
      </c>
      <c r="C163" s="16">
        <v>1.278</v>
      </c>
      <c r="D163" s="16">
        <v>2.0760000000000001</v>
      </c>
      <c r="E163" s="16">
        <v>2.403</v>
      </c>
      <c r="F163" s="16"/>
      <c r="G163" s="17">
        <f t="shared" si="9"/>
        <v>0.80200000000000005</v>
      </c>
      <c r="H163" s="12">
        <f t="shared" si="11"/>
        <v>0.79800000000000004</v>
      </c>
      <c r="I163" s="12" t="str">
        <f t="shared" si="10"/>
        <v/>
      </c>
      <c r="J163" s="18"/>
      <c r="K163" s="14"/>
    </row>
    <row r="164" spans="1:11">
      <c r="A164" s="15" t="s">
        <v>35</v>
      </c>
      <c r="B164" s="16">
        <v>6.891</v>
      </c>
      <c r="C164" s="16">
        <v>1.24</v>
      </c>
      <c r="D164" s="16">
        <v>5.9</v>
      </c>
      <c r="E164" s="16">
        <v>2.2029999999999998</v>
      </c>
      <c r="F164" s="16"/>
      <c r="G164" s="17">
        <f t="shared" si="9"/>
        <v>4.6880000000000006</v>
      </c>
      <c r="H164" s="12">
        <f t="shared" si="11"/>
        <v>4.66</v>
      </c>
      <c r="I164" s="12" t="str">
        <f t="shared" si="10"/>
        <v/>
      </c>
      <c r="J164" s="18"/>
      <c r="K164" s="14"/>
    </row>
    <row r="165" spans="1:11">
      <c r="A165" s="15" t="s">
        <v>14</v>
      </c>
      <c r="B165" s="16">
        <v>3.6</v>
      </c>
      <c r="C165" s="16">
        <v>1.319</v>
      </c>
      <c r="D165" s="16">
        <v>2.7389999999999999</v>
      </c>
      <c r="E165" s="16">
        <v>2.17</v>
      </c>
      <c r="F165" s="16"/>
      <c r="G165" s="17">
        <f t="shared" si="9"/>
        <v>1.4300000000000002</v>
      </c>
      <c r="H165" s="12">
        <f t="shared" si="11"/>
        <v>1.42</v>
      </c>
      <c r="I165" s="12" t="str">
        <f t="shared" si="10"/>
        <v/>
      </c>
      <c r="J165" s="18"/>
      <c r="K165" s="14"/>
    </row>
    <row r="166" spans="1:11">
      <c r="A166" s="15" t="s">
        <v>94</v>
      </c>
      <c r="B166" s="16">
        <v>5.28</v>
      </c>
      <c r="C166" s="16">
        <v>1.254</v>
      </c>
      <c r="D166" s="16">
        <v>3.9039999999999999</v>
      </c>
      <c r="E166" s="16">
        <v>2.6179999999999999</v>
      </c>
      <c r="F166" s="16"/>
      <c r="G166" s="17">
        <f t="shared" si="9"/>
        <v>2.6620000000000004</v>
      </c>
      <c r="H166" s="12">
        <f t="shared" si="11"/>
        <v>2.65</v>
      </c>
      <c r="I166" s="12" t="str">
        <f t="shared" si="10"/>
        <v/>
      </c>
      <c r="J166" s="18"/>
      <c r="K166" s="14"/>
    </row>
    <row r="167" spans="1:11">
      <c r="A167" s="15" t="s">
        <v>77</v>
      </c>
      <c r="B167" s="16">
        <v>6.702</v>
      </c>
      <c r="C167" s="16">
        <v>1.264</v>
      </c>
      <c r="D167" s="16">
        <v>5.3479999999999999</v>
      </c>
      <c r="E167" s="16">
        <v>2.5379999999999998</v>
      </c>
      <c r="F167" s="16"/>
      <c r="G167" s="17">
        <f t="shared" si="9"/>
        <v>4.1639999999999997</v>
      </c>
      <c r="H167" s="12">
        <f t="shared" si="11"/>
        <v>4.0839999999999996</v>
      </c>
      <c r="I167" s="12" t="str">
        <f t="shared" si="10"/>
        <v/>
      </c>
      <c r="J167" s="18"/>
      <c r="K167" s="14"/>
    </row>
    <row r="168" spans="1:11">
      <c r="A168" s="15" t="s">
        <v>81</v>
      </c>
      <c r="B168" s="16">
        <v>5.556</v>
      </c>
      <c r="C168" s="16">
        <v>1.3169999999999999</v>
      </c>
      <c r="D168" s="16">
        <v>4.4329999999999998</v>
      </c>
      <c r="E168" s="16">
        <v>2.4180000000000001</v>
      </c>
      <c r="F168" s="16"/>
      <c r="G168" s="17">
        <f t="shared" si="9"/>
        <v>3.1379999999999999</v>
      </c>
      <c r="H168" s="12">
        <f t="shared" si="11"/>
        <v>3.1159999999999997</v>
      </c>
      <c r="I168" s="12" t="str">
        <f t="shared" si="10"/>
        <v/>
      </c>
      <c r="J168" s="18"/>
      <c r="K168" s="14"/>
    </row>
    <row r="169" spans="1:11">
      <c r="A169" s="15" t="s">
        <v>13</v>
      </c>
      <c r="B169" s="16">
        <v>4.6740000000000004</v>
      </c>
      <c r="C169" s="16">
        <v>1.2549999999999999</v>
      </c>
      <c r="D169" s="16">
        <v>3.673</v>
      </c>
      <c r="E169" s="16">
        <v>2.2400000000000002</v>
      </c>
      <c r="F169" s="16"/>
      <c r="G169" s="17">
        <f t="shared" si="9"/>
        <v>2.4340000000000002</v>
      </c>
      <c r="H169" s="12">
        <f t="shared" si="11"/>
        <v>2.4180000000000001</v>
      </c>
      <c r="I169" s="12" t="str">
        <f t="shared" si="10"/>
        <v/>
      </c>
      <c r="J169" s="18"/>
      <c r="K169" s="14"/>
    </row>
    <row r="170" spans="1:11">
      <c r="A170" s="19" t="s">
        <v>5</v>
      </c>
      <c r="B170" s="16">
        <v>5.8760000000000003</v>
      </c>
      <c r="C170" s="16">
        <v>1.347</v>
      </c>
      <c r="D170" s="16">
        <v>4.9119999999999999</v>
      </c>
      <c r="E170" s="16">
        <v>2.2890000000000001</v>
      </c>
      <c r="F170" s="16"/>
      <c r="G170" s="17">
        <f t="shared" si="9"/>
        <v>3.5870000000000002</v>
      </c>
      <c r="H170" s="12">
        <f t="shared" si="11"/>
        <v>3.5649999999999999</v>
      </c>
      <c r="I170" s="12" t="str">
        <f t="shared" si="10"/>
        <v/>
      </c>
      <c r="J170" s="18"/>
      <c r="K170" s="14"/>
    </row>
    <row r="171" spans="1:11">
      <c r="A171" s="19" t="s">
        <v>177</v>
      </c>
      <c r="B171" s="16">
        <v>5.8150000000000004</v>
      </c>
      <c r="C171" s="16">
        <v>1.325</v>
      </c>
      <c r="D171" s="16">
        <v>4.6399999999999997</v>
      </c>
      <c r="E171" s="16">
        <v>2.4780000000000002</v>
      </c>
      <c r="F171" s="16"/>
      <c r="G171" s="17"/>
      <c r="H171" s="12">
        <f t="shared" si="11"/>
        <v>3.3149999999999995</v>
      </c>
      <c r="I171" s="12" t="str">
        <f t="shared" si="10"/>
        <v>FLAG</v>
      </c>
      <c r="J171" s="18"/>
      <c r="K171" s="14"/>
    </row>
    <row r="173" spans="1:11">
      <c r="A173" s="6" t="s">
        <v>166</v>
      </c>
      <c r="C173" s="3">
        <v>1.1850000000000001</v>
      </c>
    </row>
    <row r="174" spans="1:11">
      <c r="A174" s="6" t="s">
        <v>167</v>
      </c>
      <c r="C174" s="3">
        <v>1.196</v>
      </c>
    </row>
    <row r="175" spans="1:11">
      <c r="A175" s="6" t="s">
        <v>168</v>
      </c>
      <c r="C175" s="3">
        <v>1.1819999999999999</v>
      </c>
    </row>
  </sheetData>
  <sortState ref="A2:A374">
    <sortCondition ref="A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2021-10-30T19:23:30Z</dcterms:created>
  <dcterms:modified xsi:type="dcterms:W3CDTF">2022-05-21T00:19:16Z</dcterms:modified>
</cp:coreProperties>
</file>