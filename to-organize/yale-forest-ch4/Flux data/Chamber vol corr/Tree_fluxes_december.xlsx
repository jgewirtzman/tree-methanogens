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Chamber vol corr\"/>
    </mc:Choice>
  </mc:AlternateContent>
  <xr:revisionPtr revIDLastSave="0" documentId="13_ncr:1_{1064C661-ACA7-4DEF-A5F8-B49BD92B90D3}" xr6:coauthVersionLast="45" xr6:coauthVersionMax="45" xr10:uidLastSave="{00000000-0000-0000-0000-000000000000}"/>
  <bookViews>
    <workbookView activeTab="0" windowHeight="15330" windowWidth="24990" xWindow="29520" xr2:uid="{00000000-000D-0000-FFFF-FFFF00000000}" yWindow="4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<sst xmlns="http://schemas.openxmlformats.org/spreadsheetml/2006/main" count="26" uniqueCount="26">
  <si>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Sample</t>
  </si>
  <si>
    <t>Chamber used</t>
  </si>
  <si>
    <t>T (sleeve thickness, cm)</t>
  </si>
  <si>
    <t>D exterior (cm)</t>
  </si>
  <si>
    <t>Chamber length (cm)</t>
  </si>
  <si>
    <t>D stem (cm)</t>
  </si>
  <si>
    <t>Circumference tree (cm)</t>
  </si>
  <si>
    <t>Stem periphery</t>
  </si>
  <si>
    <t>K</t>
  </si>
  <si>
    <t>R stem (cm)</t>
  </si>
  <si>
    <t>R ext (cm)</t>
  </si>
  <si>
    <t>V stem (cm3)</t>
  </si>
  <si>
    <t>V ext (cm3)</t>
  </si>
  <si>
    <t>Two V wedges (cm3)</t>
  </si>
  <si>
    <t>Vc</t>
  </si>
  <si>
    <t>Swedges (cm2)</t>
  </si>
  <si>
    <t>Sstem (cm2)</t>
  </si>
  <si>
    <t>Sc (m2)</t>
  </si>
  <si>
    <t>Sc (cm2)</t>
  </si>
  <si>
    <t>Upland dead ACRU</t>
  </si>
  <si>
    <t>Intermediate dead BELE</t>
  </si>
  <si>
    <t>Wetland dead BEAL</t>
  </si>
  <si>
    <t>Wetland dead FRAM</t>
  </si>
  <si>
    <t>Wetland dead ACRU</t>
  </si>
  <si>
    <t>Chamber height (cm)</t>
  </si>
  <si>
    <t>No tag BELE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</si>
</sst>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4"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2"/>
      <scheme val="minor"/>
    </font>
  </fonts>
  <fills count="2">
    <fill>
      <patternFill patternType="none"/>
    </fill>
    <fill>
      <patternFill patternType="gray125"/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/>
      <right style="none">
        <color rgb="FF000000"/>
      </right>
      <top style="medium"/>
      <bottom style="medium"/>
      <diagonal style="none">
        <color rgb="FF000000"/>
      </diagonal>
    </border>
    <border>
      <left style="none">
        <color rgb="FF000000"/>
      </left>
      <right style="none">
        <color rgb="FF000000"/>
      </right>
      <top style="medium"/>
      <bottom style="medium"/>
      <diagonal style="none">
        <color rgb="FF000000"/>
      </diagonal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1" fillId="0" borderId="2" xfId="0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 tabSelected="1">
      <pane xSplit="2880" ySplit="1170" topLeftCell="A13" activePane="bottomRight" state="split"/>
      <selection pane="topLeft" sqref="A1:A1048576"/>
      <selection pane="topRight" activeCell="O1" sqref="O1"/>
      <selection pane="bottomLeft" activeCell="A45" sqref="A45:A47"/>
      <selection pane="bottomRight" activeCell="V10" sqref="V10"/>
    </sheetView>
  </sheetViews>
  <sheetFormatPr baseColWidth="8" defaultRowHeight="14"/>
  <cols>
    <col min="1" max="1" width="22.26953125" style="3" customWidth="1"/>
    <col min="2" max="2" width="9.1796875" customWidth="1"/>
    <col min="3" max="3" width="6.6328125" customWidth="1"/>
    <col min="4" max="4" width="8.7265625" style="5" customWidth="1"/>
    <col min="5" max="5" width="7.26953125" customWidth="1"/>
    <col min="7" max="8" width="8.7265625" style="4" customWidth="1"/>
    <col min="10" max="10" width="4" customWidth="1"/>
    <col min="11" max="11" width="6.7265625" customWidth="1"/>
    <col min="12" max="12" width="5.7265625" customWidth="1"/>
    <col min="13" max="13" width="6.90625" customWidth="1"/>
    <col min="14" max="14" width="6.54296875" customWidth="1"/>
    <col min="15" max="15" width="7.26953125" style="4" customWidth="1"/>
    <col min="16" max="16" width="7.54296875" customWidth="1"/>
    <col min="17" max="17" width="7.7265625" style="4" customWidth="1"/>
    <col min="18" max="18" width="3.453125" customWidth="1"/>
    <col min="19" max="19" width="6.54296875" customWidth="1"/>
    <col min="20" max="20" width="19.34" customWidth="1"/>
  </cols>
  <sheetData>
    <row ht="44" r="1" spans="1:20" s="1" customFormat="1" thickBot="1" x14ac:dyDescent="0.4">
      <c r="A1" s="2" t="s">
        <v>0</v>
      </c>
      <c r="B1" s="1" t="s">
        <v>1</v>
      </c>
      <c r="C1" s="1" t="s">
        <v>5</v>
      </c>
      <c r="D1" s="6" t="s">
        <v>2</v>
      </c>
      <c r="E1" s="1" t="s">
        <v>3</v>
      </c>
      <c r="F1" s="1" t="s">
        <v>6</v>
      </c>
      <c r="G1" s="10" t="s">
        <v>4</v>
      </c>
      <c r="H1" s="10" t="s">
        <v>24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0" t="s">
        <v>13</v>
      </c>
      <c r="P1" s="1" t="s">
        <v>16</v>
      </c>
      <c r="Q1" s="10" t="s">
        <v>15</v>
      </c>
      <c r="R1" s="1" t="s">
        <v>14</v>
      </c>
      <c r="S1" s="1" t="s">
        <v>18</v>
      </c>
      <c r="T1" s="1" t="s">
        <v>17</v>
      </c>
    </row>
    <row r="2" spans="1:20" s="5" customFormat="1" x14ac:dyDescent="0.35">
      <c r="A2" s="7">
        <v>853</v>
      </c>
      <c r="B2" s="5">
        <v>5</v>
      </c>
      <c r="C2" s="5">
        <v>50.1</v>
      </c>
      <c r="D2" s="5">
        <v>1.8</v>
      </c>
      <c r="E2" s="5">
        <f>C2+(2*D2)</f>
        <v>53.7</v>
      </c>
      <c r="F2" s="5">
        <f>3.14159*C2</f>
        <v>157.393659</v>
      </c>
      <c r="G2" s="4">
        <v>114</v>
      </c>
      <c r="H2" s="4">
        <v>38</v>
      </c>
      <c r="I2" s="5">
        <f>3.14159*(C2+(2*D2))</f>
        <v>168.703383</v>
      </c>
      <c r="J2" s="5">
        <f>G2/I2</f>
        <v>0.67574222859538</v>
      </c>
      <c r="K2" s="5">
        <f>C2*0.5</f>
        <v>25.05</v>
      </c>
      <c r="L2" s="5">
        <f>E2*0.5</f>
        <v>26.85</v>
      </c>
      <c r="O2" s="4">
        <v>332.64</v>
      </c>
      <c r="P2" s="5">
        <f>2*3.14159*K2*H2+(2*3.14159*(K2^2))</f>
        <v>9923.67019995</v>
      </c>
      <c r="Q2" s="4">
        <v>184.8</v>
      </c>
      <c r="S2" s="5">
        <f>(J2*P2)-Q2</f>
        <v>6521.04301675978</v>
      </c>
      <c r="T2" s="5">
        <f>S2/10000</f>
        <v>0.652104301675978</v>
      </c>
    </row>
    <row r="3" spans="1:20" s="5" customFormat="1" x14ac:dyDescent="0.35">
      <c r="A3" s="7">
        <v>970</v>
      </c>
      <c r="B3" s="5">
        <v>6</v>
      </c>
      <c r="C3" s="5">
        <v>27.6</v>
      </c>
      <c r="D3" s="5">
        <v>1.8</v>
      </c>
      <c r="E3" s="5">
        <f>C3+(2*D3)</f>
        <v>31.2</v>
      </c>
      <c r="F3" s="5">
        <f>3.14159*C3</f>
        <v>86.707884</v>
      </c>
      <c r="G3" s="4">
        <v>115</v>
      </c>
      <c r="H3" s="4">
        <v>37.5</v>
      </c>
      <c r="I3" s="5">
        <f>3.14159*(C3+(2*D3))</f>
        <v>98.017608</v>
      </c>
      <c r="J3" s="5">
        <f>G3/I3</f>
        <v>1.17325858431477</v>
      </c>
      <c r="K3" s="5">
        <f>C3*0.5</f>
        <v>13.8</v>
      </c>
      <c r="L3" s="5">
        <f>E3*0.5</f>
        <v>15.6</v>
      </c>
      <c r="O3" s="4">
        <v>289.8</v>
      </c>
      <c r="P3" s="5">
        <f>2*3.14159*K3*H3+(2*3.14159*(K3^2))</f>
        <v>4448.1144492</v>
      </c>
      <c r="Q3" s="4">
        <v>161</v>
      </c>
      <c r="S3" s="5">
        <f>(J3*P3)-Q3</f>
        <v>5057.78846153846</v>
      </c>
      <c r="T3" s="5">
        <f>S3/10000</f>
        <v>0.505778846153846</v>
      </c>
    </row>
    <row r="4" spans="1:20" s="5" customFormat="1" x14ac:dyDescent="0.35">
      <c r="A4" s="7">
        <v>1133</v>
      </c>
      <c r="B4" s="5">
        <v>6</v>
      </c>
      <c r="C4" s="5">
        <v>31</v>
      </c>
      <c r="D4" s="5">
        <v>1.8</v>
      </c>
      <c r="E4" s="5">
        <f>C4+(2*D4)</f>
        <v>34.6</v>
      </c>
      <c r="F4" s="5">
        <f>3.14159*C4</f>
        <v>97.38929</v>
      </c>
      <c r="G4" s="4">
        <v>115</v>
      </c>
      <c r="H4" s="4">
        <v>37.5</v>
      </c>
      <c r="I4" s="5">
        <f>3.14159*(C4+(2*D4))</f>
        <v>108.699014</v>
      </c>
      <c r="J4" s="5">
        <f>G4/I4</f>
        <v>1.05796727834164</v>
      </c>
      <c r="K4" s="5">
        <f>C4*0.5</f>
        <v>15.5</v>
      </c>
      <c r="L4" s="5">
        <f>E4*0.5</f>
        <v>17.3</v>
      </c>
      <c r="O4" s="4">
        <v>289.8</v>
      </c>
      <c r="P4" s="5">
        <f>2*3.14159*K4*H4+(2*3.14159*(K4^2))</f>
        <v>5161.63237</v>
      </c>
      <c r="Q4" s="4">
        <v>161</v>
      </c>
      <c r="S4" s="5">
        <f>(J4*P4)-Q4</f>
        <v>5299.83815028902</v>
      </c>
      <c r="T4" s="5">
        <f>S4/10000</f>
        <v>0.529983815028902</v>
      </c>
    </row>
    <row r="5" spans="1:20" s="5" customFormat="1" x14ac:dyDescent="0.35">
      <c r="A5" s="7">
        <v>1134</v>
      </c>
      <c r="B5" s="5">
        <v>5</v>
      </c>
      <c r="C5" s="5">
        <v>44.7</v>
      </c>
      <c r="D5" s="5">
        <v>1.8</v>
      </c>
      <c r="E5" s="5">
        <f>C5+(2*D5)</f>
        <v>48.3</v>
      </c>
      <c r="F5" s="5">
        <f>3.14159*C5</f>
        <v>140.429073</v>
      </c>
      <c r="G5" s="4">
        <v>114</v>
      </c>
      <c r="H5" s="4">
        <v>38</v>
      </c>
      <c r="I5" s="5">
        <f>3.14159*(C5+(2*D5))</f>
        <v>151.738797</v>
      </c>
      <c r="J5" s="5">
        <f>G5/I5</f>
        <v>0.751291049183684</v>
      </c>
      <c r="K5" s="5">
        <f>C5*0.5</f>
        <v>22.35</v>
      </c>
      <c r="L5" s="5">
        <f>E5*0.5</f>
        <v>24.15</v>
      </c>
      <c r="O5" s="4">
        <v>332.64</v>
      </c>
      <c r="P5" s="5">
        <f>2*3.14159*K5*H5+(2*3.14159*(K5^2))</f>
        <v>8474.89455555</v>
      </c>
      <c r="Q5" s="4">
        <v>184.8</v>
      </c>
      <c r="S5" s="5">
        <f>(J5*P5)-Q5</f>
        <v>6182.31242236025</v>
      </c>
      <c r="T5" s="5">
        <f>S5/10000</f>
        <v>0.618231242236025</v>
      </c>
    </row>
    <row r="6" spans="1:20" s="4" customFormat="1" x14ac:dyDescent="0.35">
      <c r="A6" s="7">
        <v>1550</v>
      </c>
      <c r="B6" s="5">
        <v>6</v>
      </c>
      <c r="C6" s="5">
        <v>32.2</v>
      </c>
      <c r="D6" s="5">
        <v>1.8</v>
      </c>
      <c r="E6" s="5">
        <f>C6+(2*D6)</f>
        <v>35.8</v>
      </c>
      <c r="F6" s="5">
        <f>3.14159*C6</f>
        <v>101.159198</v>
      </c>
      <c r="G6" s="4">
        <v>115</v>
      </c>
      <c r="H6" s="4">
        <v>37.5</v>
      </c>
      <c r="I6" s="5">
        <f>3.14159*(C6+(2*D6))</f>
        <v>112.468922</v>
      </c>
      <c r="J6" s="5">
        <f>G6/I6</f>
        <v>1.02250468800617</v>
      </c>
      <c r="K6" s="5">
        <f>C6*0.5</f>
        <v>16.1</v>
      </c>
      <c r="L6" s="5">
        <f>E6*0.5</f>
        <v>17.9</v>
      </c>
      <c r="M6" s="5"/>
      <c r="N6" s="5"/>
      <c r="O6" s="4">
        <v>289.8</v>
      </c>
      <c r="P6" s="5">
        <f>2*3.14159*K6*H6+(2*3.14159*(K6^2))</f>
        <v>5422.1330128</v>
      </c>
      <c r="Q6" s="4">
        <v>161</v>
      </c>
      <c r="R6" s="5"/>
      <c r="S6" s="5">
        <f>(J6*P6)-Q6</f>
        <v>5383.15642458101</v>
      </c>
      <c r="T6" s="5">
        <f>S6/10000</f>
        <v>0.538315642458101</v>
      </c>
    </row>
    <row r="7" spans="1:20" s="5" customFormat="1" x14ac:dyDescent="0.35">
      <c r="A7" s="8">
        <v>1637</v>
      </c>
      <c r="B7" s="5">
        <v>5</v>
      </c>
      <c r="C7" s="5">
        <v>35.8</v>
      </c>
      <c r="D7" s="5">
        <v>1.8</v>
      </c>
      <c r="E7" s="5">
        <f>C7+(2*D7)</f>
        <v>39.4</v>
      </c>
      <c r="F7" s="5">
        <f>3.14159*C7</f>
        <v>112.468922</v>
      </c>
      <c r="G7" s="4">
        <v>114</v>
      </c>
      <c r="H7" s="4">
        <v>38</v>
      </c>
      <c r="I7" s="5">
        <f>3.14159*(C7+(2*D7))</f>
        <v>123.778646</v>
      </c>
      <c r="J7" s="5">
        <f>G7/I7</f>
        <v>0.920998925775937</v>
      </c>
      <c r="K7" s="5">
        <f>C7*0.5</f>
        <v>17.9</v>
      </c>
      <c r="L7" s="5">
        <f>E7*0.5</f>
        <v>19.7</v>
      </c>
      <c r="O7" s="4">
        <v>332.64</v>
      </c>
      <c r="P7" s="5">
        <f>2*3.14159*K7*H7+(2*3.14159*(K7^2))</f>
        <v>6287.0127398</v>
      </c>
      <c r="Q7" s="4">
        <v>184.8</v>
      </c>
      <c r="S7" s="5">
        <f>(J7*P7)-Q7</f>
        <v>5605.53197969543</v>
      </c>
      <c r="T7" s="5">
        <f>S7/10000</f>
        <v>0.560553197969543</v>
      </c>
    </row>
    <row r="8" spans="1:20" s="5" customFormat="1" x14ac:dyDescent="0.35">
      <c r="A8" s="8">
        <v>1640</v>
      </c>
      <c r="B8" s="5">
        <v>6</v>
      </c>
      <c r="C8" s="5">
        <v>39</v>
      </c>
      <c r="D8" s="5">
        <v>1.8</v>
      </c>
      <c r="E8" s="5">
        <f>C8+(2*D8)</f>
        <v>42.6</v>
      </c>
      <c r="F8" s="5">
        <f>3.14159*C8</f>
        <v>122.52201</v>
      </c>
      <c r="G8" s="4">
        <v>115</v>
      </c>
      <c r="H8" s="4">
        <v>37.5</v>
      </c>
      <c r="I8" s="5">
        <f>3.14159*(C8+(2*D8))</f>
        <v>133.831734</v>
      </c>
      <c r="J8" s="5">
        <f>G8/I8</f>
        <v>0.85928797724462</v>
      </c>
      <c r="K8" s="5">
        <f>C8*0.5</f>
        <v>19.5</v>
      </c>
      <c r="L8" s="5">
        <f>E8*0.5</f>
        <v>21.3</v>
      </c>
      <c r="O8" s="4">
        <v>289.8</v>
      </c>
      <c r="P8" s="5">
        <f>2*3.14159*K8*H8+(2*3.14159*(K8^2))</f>
        <v>6983.75457</v>
      </c>
      <c r="Q8" s="4">
        <v>161</v>
      </c>
      <c r="S8" s="5">
        <f>(J8*P8)-Q8</f>
        <v>5840.05633802817</v>
      </c>
      <c r="T8" s="5">
        <f>S8/10000</f>
        <v>0.584005633802817</v>
      </c>
    </row>
    <row r="9" spans="1:20" s="5" customFormat="1" x14ac:dyDescent="0.35">
      <c r="A9" s="8">
        <v>1641</v>
      </c>
      <c r="B9" s="5">
        <v>6</v>
      </c>
      <c r="C9" s="5">
        <v>41.3</v>
      </c>
      <c r="D9" s="5">
        <v>1.8</v>
      </c>
      <c r="E9" s="5">
        <f>C9+(2*D9)</f>
        <v>44.9</v>
      </c>
      <c r="F9" s="5">
        <f>3.14159*C9</f>
        <v>129.747667</v>
      </c>
      <c r="G9" s="4">
        <v>115</v>
      </c>
      <c r="H9" s="4">
        <v>37.5</v>
      </c>
      <c r="I9" s="5">
        <f>3.14159*(C9+(2*D9))</f>
        <v>141.057391</v>
      </c>
      <c r="J9" s="5">
        <f>G9/I9</f>
        <v>0.815270998454806</v>
      </c>
      <c r="K9" s="5">
        <f>C9*0.5</f>
        <v>20.65</v>
      </c>
      <c r="L9" s="5">
        <f>E9*0.5</f>
        <v>22.45</v>
      </c>
      <c r="O9" s="4">
        <v>289.8</v>
      </c>
      <c r="P9" s="5">
        <f>2*3.14159*K9*H9+(2*3.14159*(K9^2))</f>
        <v>7544.82683605</v>
      </c>
      <c r="Q9" s="4">
        <v>161</v>
      </c>
      <c r="S9" s="5">
        <f>(J9*P9)-Q9</f>
        <v>5990.0785077951</v>
      </c>
      <c r="T9" s="5">
        <f>S9/10000</f>
        <v>0.59900785077951</v>
      </c>
    </row>
    <row r="10" spans="1:20" s="5" customFormat="1" x14ac:dyDescent="0.35">
      <c r="A10" s="8">
        <v>1830</v>
      </c>
      <c r="B10" s="5">
        <v>5</v>
      </c>
      <c r="C10" s="5">
        <v>35</v>
      </c>
      <c r="D10" s="5">
        <v>1.8</v>
      </c>
      <c r="E10" s="5">
        <f>C10+(2*D10)</f>
        <v>38.6</v>
      </c>
      <c r="F10" s="5">
        <f>3.14159*C10</f>
        <v>109.95565</v>
      </c>
      <c r="G10" s="4">
        <v>114</v>
      </c>
      <c r="H10" s="4">
        <v>38</v>
      </c>
      <c r="I10" s="5">
        <f>3.14159*(C10+(2*D10))</f>
        <v>121.265374</v>
      </c>
      <c r="J10" s="5">
        <f>G10/I10</f>
        <v>0.94008698641378</v>
      </c>
      <c r="K10" s="5">
        <f>C10*0.5</f>
        <v>17.5</v>
      </c>
      <c r="L10" s="5">
        <f>E10*0.5</f>
        <v>19.3</v>
      </c>
      <c r="O10" s="4">
        <v>332.64</v>
      </c>
      <c r="P10" s="5">
        <f>2*3.14159*K10*H10+(2*3.14159*(K10^2))</f>
        <v>6102.538575</v>
      </c>
      <c r="Q10" s="4">
        <v>184.8</v>
      </c>
      <c r="S10" s="5">
        <f>(J10*P10)-Q10</f>
        <v>5552.11709844559</v>
      </c>
      <c r="T10" s="5">
        <f>S10/10000</f>
        <v>0.555211709844559</v>
      </c>
    </row>
    <row ht="13.5" customHeight="1" r="11" spans="1:20" s="5" customFormat="1" x14ac:dyDescent="0.35">
      <c r="A11" s="8">
        <v>1885</v>
      </c>
      <c r="B11" s="5">
        <v>5</v>
      </c>
      <c r="C11" s="5">
        <v>35</v>
      </c>
      <c r="D11" s="5">
        <v>1.8</v>
      </c>
      <c r="E11" s="5">
        <f>C11+(2*D11)</f>
        <v>38.6</v>
      </c>
      <c r="F11" s="5">
        <f>3.14159*C11</f>
        <v>109.95565</v>
      </c>
      <c r="G11" s="4">
        <v>114</v>
      </c>
      <c r="H11" s="4">
        <v>37.5</v>
      </c>
      <c r="I11" s="5">
        <f>3.14159*(C11+(2*D11))</f>
        <v>121.265374</v>
      </c>
      <c r="J11" s="5">
        <f>G11/I11</f>
        <v>0.94008698641378</v>
      </c>
      <c r="K11" s="5">
        <f>C11*0.5</f>
        <v>17.5</v>
      </c>
      <c r="L11" s="5">
        <f>E11*0.5</f>
        <v>19.3</v>
      </c>
      <c r="O11" s="4">
        <v>332.64</v>
      </c>
      <c r="P11" s="5">
        <f>2*3.14159*K11*H11+(2*3.14159*(K11^2))</f>
        <v>6047.56075</v>
      </c>
      <c r="Q11" s="4">
        <v>184.8</v>
      </c>
      <c r="S11" s="5">
        <f>(J11*P11)-Q11</f>
        <v>5500.43316062176</v>
      </c>
      <c r="T11" s="5">
        <f>S11/10000</f>
        <v>0.550043316062176</v>
      </c>
    </row>
    <row r="12" spans="1:20" s="5" customFormat="1" x14ac:dyDescent="0.35">
      <c r="A12" s="8">
        <v>1926</v>
      </c>
      <c r="B12" s="5">
        <v>6</v>
      </c>
      <c r="C12" s="5">
        <v>43.3</v>
      </c>
      <c r="D12" s="5">
        <v>1.8</v>
      </c>
      <c r="E12" s="5">
        <f>C12+(2*D12)</f>
        <v>46.9</v>
      </c>
      <c r="F12" s="5">
        <f>3.14159*C12</f>
        <v>136.030847</v>
      </c>
      <c r="G12" s="4">
        <v>115</v>
      </c>
      <c r="H12" s="4">
        <v>37.5</v>
      </c>
      <c r="I12" s="5">
        <f>3.14159*(C12+(2*D12))</f>
        <v>147.340571</v>
      </c>
      <c r="J12" s="5">
        <f>G12/I12</f>
        <v>0.780504644576136</v>
      </c>
      <c r="K12" s="5">
        <f>C12*0.5</f>
        <v>21.65</v>
      </c>
      <c r="L12" s="5">
        <f>E12*0.5</f>
        <v>23.45</v>
      </c>
      <c r="O12" s="4">
        <v>289.8</v>
      </c>
      <c r="P12" s="5">
        <f>2*3.14159*K12*H12+(2*3.14159*(K12^2))</f>
        <v>8046.22460005</v>
      </c>
      <c r="Q12" s="4">
        <v>161</v>
      </c>
      <c r="S12" s="5">
        <f>(J12*P12)-Q12</f>
        <v>6119.11567164179</v>
      </c>
      <c r="T12" s="5">
        <f>S12/10000</f>
        <v>0.611911567164179</v>
      </c>
    </row>
    <row r="13" spans="1:20" s="5" customFormat="1" x14ac:dyDescent="0.35">
      <c r="A13" s="7">
        <v>3325</v>
      </c>
      <c r="B13" s="5">
        <v>6</v>
      </c>
      <c r="C13" s="5">
        <v>46.5</v>
      </c>
      <c r="D13" s="5">
        <v>1.8</v>
      </c>
      <c r="E13" s="5">
        <f>C13+(2*D13)</f>
        <v>50.1</v>
      </c>
      <c r="F13" s="5">
        <f>3.14159*C13</f>
        <v>146.083935</v>
      </c>
      <c r="G13" s="4">
        <v>115</v>
      </c>
      <c r="H13" s="4">
        <v>37.5</v>
      </c>
      <c r="I13" s="5">
        <f>3.14159*(C13+(2*D13))</f>
        <v>157.393659</v>
      </c>
      <c r="J13" s="5">
        <f>G13/I13</f>
        <v>0.730652052507401</v>
      </c>
      <c r="K13" s="5">
        <f>C13*0.5</f>
        <v>23.25</v>
      </c>
      <c r="L13" s="5">
        <f>E13*0.5</f>
        <v>25.05</v>
      </c>
      <c r="O13" s="4">
        <v>289.8</v>
      </c>
      <c r="P13" s="5">
        <f>2*3.14159*K13*H13+(2*3.14159*(K13^2))</f>
        <v>8874.59905125</v>
      </c>
      <c r="Q13" s="4">
        <v>161</v>
      </c>
      <c r="S13" s="5">
        <f>(J13*P13)-Q13</f>
        <v>6323.24401197605</v>
      </c>
      <c r="T13" s="5">
        <f>S13/10000</f>
        <v>0.632324401197605</v>
      </c>
    </row>
    <row r="14" spans="1:20" s="5" customFormat="1" x14ac:dyDescent="0.35">
      <c r="A14" s="7">
        <v>3354</v>
      </c>
      <c r="B14" s="5">
        <v>5</v>
      </c>
      <c r="C14" s="5">
        <v>59.5</v>
      </c>
      <c r="D14" s="5">
        <v>1.8</v>
      </c>
      <c r="E14" s="5">
        <f>C14+(2*D14)</f>
        <v>63.1</v>
      </c>
      <c r="F14" s="5">
        <f>3.14159*C14</f>
        <v>186.924605</v>
      </c>
      <c r="G14" s="4">
        <v>114</v>
      </c>
      <c r="H14" s="4">
        <v>38</v>
      </c>
      <c r="I14" s="5">
        <f>3.14159*(C14+(2*D14))</f>
        <v>198.234329</v>
      </c>
      <c r="J14" s="5">
        <f>G14/I14</f>
        <v>0.575076983765007</v>
      </c>
      <c r="K14" s="5">
        <f>C14*0.5</f>
        <v>29.75</v>
      </c>
      <c r="L14" s="5">
        <f>E14*0.5</f>
        <v>31.55</v>
      </c>
      <c r="O14" s="4">
        <v>332.64</v>
      </c>
      <c r="P14" s="5">
        <f>2*3.14159*K14*H14+(2*3.14159*(K14^2))</f>
        <v>12664.14198875</v>
      </c>
      <c r="Q14" s="4">
        <v>184.8</v>
      </c>
      <c r="S14" s="5">
        <f>(J14*P14)-Q14</f>
        <v>7098.05657686212</v>
      </c>
      <c r="T14" s="5">
        <f>S14/10000</f>
        <v>0.709805657686212</v>
      </c>
    </row>
    <row r="15" spans="1:20" s="5" customFormat="1" x14ac:dyDescent="0.35">
      <c r="A15" s="7">
        <v>3355</v>
      </c>
      <c r="B15" s="5">
        <v>5</v>
      </c>
      <c r="C15" s="5">
        <v>29.8</v>
      </c>
      <c r="D15" s="5">
        <v>1.8</v>
      </c>
      <c r="E15" s="5">
        <f>C15+(2*D15)</f>
        <v>33.4</v>
      </c>
      <c r="F15" s="5">
        <f>3.14159*C15</f>
        <v>93.619382</v>
      </c>
      <c r="G15" s="4">
        <v>114</v>
      </c>
      <c r="H15" s="4">
        <v>38</v>
      </c>
      <c r="I15" s="5">
        <f>3.14159*(C15+(2*D15))</f>
        <v>104.929106</v>
      </c>
      <c r="J15" s="5">
        <f>G15/I15</f>
        <v>1.08644783459796</v>
      </c>
      <c r="K15" s="5">
        <f>C15*0.5</f>
        <v>14.9</v>
      </c>
      <c r="L15" s="5">
        <f>E15*0.5</f>
        <v>16.7</v>
      </c>
      <c r="O15" s="4">
        <v>332.64</v>
      </c>
      <c r="P15" s="5">
        <f>2*3.14159*K15*H15+(2*3.14159*(K15^2))</f>
        <v>4952.4653078</v>
      </c>
      <c r="Q15" s="4">
        <v>184.8</v>
      </c>
      <c r="S15" s="5">
        <f>(J15*P15)-Q15</f>
        <v>5195.79520958084</v>
      </c>
      <c r="T15" s="5">
        <f>S15/10000</f>
        <v>0.519579520958084</v>
      </c>
    </row>
    <row r="16" spans="1:20" s="5" customFormat="1" x14ac:dyDescent="0.35">
      <c r="A16" s="7">
        <v>3359</v>
      </c>
      <c r="B16" s="5">
        <v>5</v>
      </c>
      <c r="C16" s="5">
        <v>30</v>
      </c>
      <c r="D16" s="5">
        <v>1.8</v>
      </c>
      <c r="E16" s="5">
        <f>C16+(2*D16)</f>
        <v>33.6</v>
      </c>
      <c r="F16" s="5">
        <f>3.14159*C16</f>
        <v>94.2477</v>
      </c>
      <c r="G16" s="4">
        <v>114</v>
      </c>
      <c r="H16" s="4">
        <v>38</v>
      </c>
      <c r="I16" s="5">
        <f>3.14159*(C16+(2*D16))</f>
        <v>105.557424</v>
      </c>
      <c r="J16" s="5">
        <f>G16/I16</f>
        <v>1.07998088320155</v>
      </c>
      <c r="K16" s="5">
        <f>C16*0.5</f>
        <v>15</v>
      </c>
      <c r="L16" s="5">
        <f>E16*0.5</f>
        <v>16.8</v>
      </c>
      <c r="O16" s="4">
        <v>332.64</v>
      </c>
      <c r="P16" s="5">
        <f>2*3.14159*K16*H16+(2*3.14159*(K16^2))</f>
        <v>4995.1281</v>
      </c>
      <c r="Q16" s="4">
        <v>184.8</v>
      </c>
      <c r="S16" s="5">
        <f>(J16*P16)-Q16</f>
        <v>5209.84285714286</v>
      </c>
      <c r="T16" s="5">
        <f>S16/10000</f>
        <v>0.520984285714286</v>
      </c>
    </row>
    <row r="17" spans="1:20" s="5" customFormat="1" x14ac:dyDescent="0.35">
      <c r="A17" s="7">
        <v>3533</v>
      </c>
      <c r="B17" s="5">
        <v>5</v>
      </c>
      <c r="C17" s="5">
        <v>39.6</v>
      </c>
      <c r="D17" s="5">
        <v>1.8</v>
      </c>
      <c r="E17" s="5">
        <f>C17+(2*D17)</f>
        <v>43.2</v>
      </c>
      <c r="F17" s="5">
        <f>3.14159*C17</f>
        <v>124.406964</v>
      </c>
      <c r="G17" s="4">
        <v>114</v>
      </c>
      <c r="H17" s="4">
        <v>38</v>
      </c>
      <c r="I17" s="5">
        <f>3.14159*(C17+(2*D17))</f>
        <v>135.716688</v>
      </c>
      <c r="J17" s="5">
        <f>G17/I17</f>
        <v>0.83998513137898</v>
      </c>
      <c r="K17" s="5">
        <f>C17*0.5</f>
        <v>19.8</v>
      </c>
      <c r="L17" s="5">
        <f>E17*0.5</f>
        <v>21.6</v>
      </c>
      <c r="O17" s="4">
        <v>332.64</v>
      </c>
      <c r="P17" s="5">
        <f>2*3.14159*K17*H17+(2*3.14159*(K17^2))</f>
        <v>7190.7225192</v>
      </c>
      <c r="Q17" s="4">
        <v>184.8</v>
      </c>
      <c r="S17" s="5">
        <f>(J17*P17)-Q17</f>
        <v>5855.3</v>
      </c>
      <c r="T17" s="5">
        <f>S17/10000</f>
        <v>0.58553</v>
      </c>
    </row>
    <row r="18" spans="1:20" s="5" customFormat="1" x14ac:dyDescent="0.35">
      <c r="A18" s="7">
        <v>3564</v>
      </c>
      <c r="B18" s="5">
        <v>6</v>
      </c>
      <c r="C18" s="5">
        <v>52.1</v>
      </c>
      <c r="D18" s="5">
        <v>1.8</v>
      </c>
      <c r="E18" s="5">
        <v>42.4</v>
      </c>
      <c r="F18" s="5">
        <f>3.14159*C18</f>
        <v>163.676839</v>
      </c>
      <c r="G18" s="4">
        <v>115</v>
      </c>
      <c r="H18" s="4">
        <v>37.5</v>
      </c>
      <c r="I18" s="5">
        <f>3.14159*(C18+(2*D18))</f>
        <v>174.986563</v>
      </c>
      <c r="J18" s="5">
        <f>G18/I18</f>
        <v>0.657193318323533</v>
      </c>
      <c r="K18" s="5">
        <f>C18*0.5</f>
        <v>26.05</v>
      </c>
      <c r="L18" s="5">
        <f>E18*0.5</f>
        <v>21.2</v>
      </c>
      <c r="O18" s="4">
        <v>289.8</v>
      </c>
      <c r="P18" s="5">
        <f>2*3.14159*K18*H18+(2*3.14159*(K18^2))</f>
        <v>10401.66311845</v>
      </c>
      <c r="Q18" s="4">
        <v>161</v>
      </c>
      <c r="S18" s="5">
        <f>(J18*P18)-Q18</f>
        <v>6674.90350089767</v>
      </c>
      <c r="T18" s="5">
        <f>S18/10000</f>
        <v>0.667490350089767</v>
      </c>
    </row>
    <row r="19" spans="1:20" s="5" customFormat="1" x14ac:dyDescent="0.35">
      <c r="A19" s="7">
        <v>3589</v>
      </c>
      <c r="B19" s="5">
        <v>5</v>
      </c>
      <c r="C19" s="5">
        <v>48</v>
      </c>
      <c r="D19" s="5">
        <v>1.8</v>
      </c>
      <c r="E19" s="5">
        <f>C19+(2*D19)</f>
        <v>51.6</v>
      </c>
      <c r="F19" s="5">
        <f>3.14159*C19</f>
        <v>150.79632</v>
      </c>
      <c r="G19" s="4">
        <v>114</v>
      </c>
      <c r="H19" s="4">
        <v>38</v>
      </c>
      <c r="I19" s="5">
        <f>3.14159*(C19+(2*D19))</f>
        <v>162.106044</v>
      </c>
      <c r="J19" s="5">
        <f>G19/I19</f>
        <v>0.703243365805657</v>
      </c>
      <c r="K19" s="5">
        <f>C19*0.5</f>
        <v>24</v>
      </c>
      <c r="L19" s="5">
        <f>E19*0.5</f>
        <v>25.8</v>
      </c>
      <c r="O19" s="4">
        <v>332.64</v>
      </c>
      <c r="P19" s="5">
        <f>2*3.14159*K19*H19+(2*3.14159*(K19^2))</f>
        <v>9349.37184</v>
      </c>
      <c r="Q19" s="4">
        <v>184.8</v>
      </c>
      <c r="S19" s="5">
        <f>(J19*P19)-Q19</f>
        <v>6390.08372093023</v>
      </c>
      <c r="T19" s="5">
        <f>S19/10000</f>
        <v>0.639008372093023</v>
      </c>
    </row>
    <row r="20" spans="1:20" s="5" customFormat="1" x14ac:dyDescent="0.35">
      <c r="A20" s="8">
        <v>4103</v>
      </c>
      <c r="B20" s="5">
        <v>6</v>
      </c>
      <c r="C20" s="5">
        <v>34</v>
      </c>
      <c r="D20" s="5">
        <v>1.8</v>
      </c>
      <c r="E20" s="5">
        <f>C20+(2*D20)</f>
        <v>37.6</v>
      </c>
      <c r="F20" s="5">
        <f>3.14159*C20</f>
        <v>106.81406</v>
      </c>
      <c r="G20" s="4">
        <v>115</v>
      </c>
      <c r="H20" s="4">
        <v>37.5</v>
      </c>
      <c r="I20" s="5">
        <f>3.14159*(C20+(2*D20))</f>
        <v>118.123784</v>
      </c>
      <c r="J20" s="5">
        <f>G20/I20</f>
        <v>0.973554995495234</v>
      </c>
      <c r="K20" s="5">
        <f>C20*0.5</f>
        <v>17</v>
      </c>
      <c r="L20" s="5">
        <f>E20*0.5</f>
        <v>18.8</v>
      </c>
      <c r="O20" s="4">
        <v>289.8</v>
      </c>
      <c r="P20" s="5">
        <f>2*3.14159*K20*H20+(2*3.14159*(K20^2))</f>
        <v>5821.36627</v>
      </c>
      <c r="Q20" s="4">
        <v>161</v>
      </c>
      <c r="S20" s="5">
        <f>(J20*P20)-Q20</f>
        <v>5506.42021276596</v>
      </c>
      <c r="T20" s="5">
        <f>S20/10000</f>
        <v>0.550642021276596</v>
      </c>
    </row>
    <row r="21" spans="1:20" s="5" customFormat="1" x14ac:dyDescent="0.35">
      <c r="A21" s="7">
        <v>4156</v>
      </c>
      <c r="B21" s="5">
        <v>5</v>
      </c>
      <c r="C21" s="5">
        <v>35.5</v>
      </c>
      <c r="D21" s="5">
        <v>1.8</v>
      </c>
      <c r="E21" s="5">
        <f>C21+(2*D21)</f>
        <v>39.1</v>
      </c>
      <c r="F21" s="5">
        <f>3.14159*C21</f>
        <v>111.526445</v>
      </c>
      <c r="G21" s="4">
        <v>114</v>
      </c>
      <c r="H21" s="4">
        <v>38</v>
      </c>
      <c r="I21" s="5">
        <f>3.14159*(C21+(2*D21))</f>
        <v>122.836169</v>
      </c>
      <c r="J21" s="5">
        <f>G21/I21</f>
        <v>0.928065413697492</v>
      </c>
      <c r="K21" s="5">
        <f>C21*0.5</f>
        <v>17.75</v>
      </c>
      <c r="L21" s="5">
        <f>E21*0.5</f>
        <v>19.55</v>
      </c>
      <c r="M21" s="5">
        <v>41769.48</v>
      </c>
      <c r="N21" s="5">
        <v>48618.31</v>
      </c>
      <c r="O21" s="4">
        <v>332.64</v>
      </c>
      <c r="P21" s="5">
        <f>2*3.14159*K21*H21+(2*3.14159*(K21^2))</f>
        <v>6217.59930875</v>
      </c>
      <c r="Q21" s="4">
        <v>184.8</v>
      </c>
      <c r="R21" s="5">
        <f>(J21*(N21-M21)) - O23</f>
        <v>6066.36224729379</v>
      </c>
      <c r="S21" s="5">
        <f>(J21*P21)-Q21</f>
        <v>5585.53887468031</v>
      </c>
      <c r="T21" s="5">
        <f>S21/10000</f>
        <v>0.558553887468031</v>
      </c>
    </row>
    <row r="22" spans="1:20" s="5" customFormat="1" x14ac:dyDescent="0.35">
      <c r="A22" s="8">
        <v>4181</v>
      </c>
      <c r="B22" s="5">
        <v>5</v>
      </c>
      <c r="C22" s="5">
        <v>26</v>
      </c>
      <c r="D22" s="5">
        <v>1.8</v>
      </c>
      <c r="E22" s="5">
        <f>C22+(2*D22)</f>
        <v>29.6</v>
      </c>
      <c r="F22" s="5">
        <f>3.14159*C22</f>
        <v>81.68134</v>
      </c>
      <c r="G22" s="4">
        <v>114</v>
      </c>
      <c r="H22" s="4">
        <v>38</v>
      </c>
      <c r="I22" s="5">
        <f>3.14159*(C22+(2*D22))</f>
        <v>92.991064</v>
      </c>
      <c r="J22" s="5">
        <f>G22/I22</f>
        <v>1.22592424579635</v>
      </c>
      <c r="K22" s="5">
        <f>C22*0.5</f>
        <v>13</v>
      </c>
      <c r="L22" s="5">
        <f>E22*0.5</f>
        <v>14.8</v>
      </c>
      <c r="O22" s="4">
        <v>332.64</v>
      </c>
      <c r="P22" s="5">
        <f>2*3.14159*K22*H22+(2*3.14159*(K22^2))</f>
        <v>4165.74834</v>
      </c>
      <c r="Q22" s="4">
        <v>184.8</v>
      </c>
      <c r="S22" s="5">
        <f>(J22*P22)-Q22</f>
        <v>4922.09189189189</v>
      </c>
      <c r="T22" s="5">
        <f>S22/10000</f>
        <v>0.492209189189189</v>
      </c>
    </row>
    <row r="23" spans="1:20" s="5" customFormat="1" x14ac:dyDescent="0.35">
      <c r="A23" s="8">
        <v>4190</v>
      </c>
      <c r="B23" s="5">
        <v>6</v>
      </c>
      <c r="C23" s="5">
        <v>25</v>
      </c>
      <c r="D23" s="5">
        <v>1.8</v>
      </c>
      <c r="E23" s="5">
        <f>C23+(2*D23)</f>
        <v>28.6</v>
      </c>
      <c r="F23" s="5">
        <f>3.14159*C23</f>
        <v>78.53975</v>
      </c>
      <c r="G23" s="4">
        <v>115</v>
      </c>
      <c r="H23" s="4">
        <v>37.5</v>
      </c>
      <c r="I23" s="5">
        <f>3.14159*(C23+(2*D23))</f>
        <v>89.849474</v>
      </c>
      <c r="J23" s="5">
        <f>G23/I23</f>
        <v>1.27991845561611</v>
      </c>
      <c r="K23" s="5">
        <f>C23*0.5</f>
        <v>12.5</v>
      </c>
      <c r="L23" s="5">
        <f>E23*0.5</f>
        <v>14.3</v>
      </c>
      <c r="O23" s="4">
        <v>289.8</v>
      </c>
      <c r="P23" s="5">
        <f>2*3.14159*K23*H23+(2*3.14159*(K23^2))</f>
        <v>3926.9875</v>
      </c>
      <c r="Q23" s="4">
        <v>161</v>
      </c>
      <c r="S23" s="5">
        <f>(J23*P23)-Q23</f>
        <v>4865.22377622378</v>
      </c>
      <c r="T23" s="5">
        <f>S23/10000</f>
        <v>0.486522377622378</v>
      </c>
    </row>
    <row ht="13.5" customHeight="1" r="24" spans="1:20" s="5" customFormat="1" x14ac:dyDescent="0.35">
      <c r="A24" s="8">
        <v>4246</v>
      </c>
      <c r="B24" s="5">
        <v>6</v>
      </c>
      <c r="C24" s="5">
        <v>59.3</v>
      </c>
      <c r="D24" s="5">
        <v>1.8</v>
      </c>
      <c r="E24" s="5">
        <f>C24+(2*D24)</f>
        <v>62.9</v>
      </c>
      <c r="F24" s="5">
        <f>3.14159*C24</f>
        <v>186.296287</v>
      </c>
      <c r="G24" s="4">
        <v>115</v>
      </c>
      <c r="H24" s="4">
        <v>37.5</v>
      </c>
      <c r="I24" s="5">
        <f>3.14159*(C24+(2*D24))</f>
        <v>197.606011</v>
      </c>
      <c r="J24" s="5">
        <f>G24/I24</f>
        <v>0.581966102235625</v>
      </c>
      <c r="K24" s="5">
        <f>C24*0.5</f>
        <v>29.65</v>
      </c>
      <c r="L24" s="5">
        <f>E24*0.5</f>
        <v>31.45</v>
      </c>
      <c r="O24" s="4">
        <v>289.8</v>
      </c>
      <c r="P24" s="5">
        <f>2*3.14159*K24*H24+(2*3.14159*(K24^2))</f>
        <v>12509.79567205</v>
      </c>
      <c r="Q24" s="4">
        <v>161</v>
      </c>
      <c r="S24" s="5">
        <f>(J24*P24)-Q24</f>
        <v>7119.27702702703</v>
      </c>
      <c r="T24" s="5">
        <f>S24/10000</f>
        <v>0.711927702702703</v>
      </c>
    </row>
    <row r="25" spans="1:20" s="5" customFormat="1" x14ac:dyDescent="0.35">
      <c r="A25" s="7">
        <v>4261</v>
      </c>
      <c r="B25" s="5">
        <v>5</v>
      </c>
      <c r="C25" s="5">
        <v>43.2</v>
      </c>
      <c r="D25" s="5">
        <v>1.8</v>
      </c>
      <c r="E25" s="5">
        <f>C25+(2*D25)</f>
        <v>46.8</v>
      </c>
      <c r="F25" s="5">
        <f>3.14159*C25</f>
        <v>135.716688</v>
      </c>
      <c r="G25" s="4">
        <v>114</v>
      </c>
      <c r="H25" s="4">
        <v>38</v>
      </c>
      <c r="I25" s="5">
        <f>3.14159*(C25+(2*D25))</f>
        <v>147.026412</v>
      </c>
      <c r="J25" s="5">
        <f>G25/I25</f>
        <v>0.775370890503673</v>
      </c>
      <c r="K25" s="5">
        <f>C25*0.5</f>
        <v>21.6</v>
      </c>
      <c r="L25" s="5">
        <f>E25*0.5</f>
        <v>23.4</v>
      </c>
      <c r="O25" s="4">
        <v>332.64</v>
      </c>
      <c r="P25" s="5">
        <f>2*3.14159*K25*H25+(2*3.14159*(K25^2))</f>
        <v>8088.7146048</v>
      </c>
      <c r="Q25" s="4">
        <v>184.8</v>
      </c>
      <c r="S25" s="5">
        <f>(J25*P25)-Q25</f>
        <v>6086.95384615385</v>
      </c>
      <c r="T25" s="5">
        <f>S25/10000</f>
        <v>0.608695384615385</v>
      </c>
    </row>
    <row r="26" spans="1:20" s="5" customFormat="1" x14ac:dyDescent="0.35">
      <c r="A26" s="8">
        <v>4295</v>
      </c>
      <c r="B26" s="5">
        <v>5</v>
      </c>
      <c r="C26" s="5">
        <v>33.8</v>
      </c>
      <c r="D26" s="5">
        <v>1.8</v>
      </c>
      <c r="E26" s="5">
        <f>C26+(2*D26)</f>
        <v>37.4</v>
      </c>
      <c r="F26" s="5">
        <f>3.14159*C26</f>
        <v>106.185742</v>
      </c>
      <c r="G26" s="4">
        <v>114</v>
      </c>
      <c r="H26" s="4">
        <v>38</v>
      </c>
      <c r="I26" s="5">
        <f>3.14159*(C26+(2*D26))</f>
        <v>117.495466</v>
      </c>
      <c r="J26" s="5">
        <f>G26/I26</f>
        <v>0.970250205229195</v>
      </c>
      <c r="K26" s="5">
        <f>C26*0.5</f>
        <v>16.9</v>
      </c>
      <c r="L26" s="5">
        <f>E26*0.5</f>
        <v>18.7</v>
      </c>
      <c r="O26" s="4">
        <v>332.64</v>
      </c>
      <c r="P26" s="5">
        <f>2*3.14159*K26*H26+(2*3.14159*(K26^2))</f>
        <v>5829.5972358</v>
      </c>
      <c r="Q26" s="4">
        <v>184.8</v>
      </c>
      <c r="S26" s="5">
        <f>(J26*P26)-Q26</f>
        <v>5471.3679144385</v>
      </c>
      <c r="T26" s="5">
        <f>S26/10000</f>
        <v>0.54713679144385</v>
      </c>
    </row>
    <row r="27" spans="1:20" s="5" customFormat="1" x14ac:dyDescent="0.35">
      <c r="A27" s="7">
        <v>4783</v>
      </c>
      <c r="B27" s="5">
        <v>6</v>
      </c>
      <c r="C27" s="5">
        <v>55</v>
      </c>
      <c r="D27" s="5">
        <v>1.8</v>
      </c>
      <c r="E27" s="5">
        <f>C27+(2*D27)</f>
        <v>58.6</v>
      </c>
      <c r="F27" s="5">
        <f>3.14159*C27</f>
        <v>172.78745</v>
      </c>
      <c r="G27" s="4">
        <v>115</v>
      </c>
      <c r="H27" s="4">
        <v>37.5</v>
      </c>
      <c r="I27" s="5">
        <f>3.14159*(C27+(2*D27))</f>
        <v>184.097174</v>
      </c>
      <c r="J27" s="5">
        <f>G27/I27</f>
        <v>0.624670099498648</v>
      </c>
      <c r="K27" s="5">
        <f>C27*0.5</f>
        <v>27.5</v>
      </c>
      <c r="L27" s="5">
        <f>E27*0.5</f>
        <v>29.3</v>
      </c>
      <c r="O27" s="4">
        <v>289.8</v>
      </c>
      <c r="P27" s="5">
        <f>2*3.14159*K27*H27+(2*3.14159*(K27^2))</f>
        <v>11231.18425</v>
      </c>
      <c r="Q27" s="4">
        <v>161</v>
      </c>
      <c r="S27" s="5">
        <f>(J27*P27)-Q27</f>
        <v>6854.78498293515</v>
      </c>
      <c r="T27" s="5">
        <f>S27/10000</f>
        <v>0.685478498293515</v>
      </c>
    </row>
    <row r="28" spans="1:20" s="5" customFormat="1" x14ac:dyDescent="0.35">
      <c r="A28" s="8">
        <v>4797</v>
      </c>
      <c r="B28" s="5">
        <v>5</v>
      </c>
      <c r="C28" s="5">
        <v>32.1</v>
      </c>
      <c r="D28" s="5">
        <v>1.8</v>
      </c>
      <c r="E28" s="5">
        <f>C28+(2*D28)</f>
        <v>35.7</v>
      </c>
      <c r="F28" s="5">
        <f>3.14159*C28</f>
        <v>100.845039</v>
      </c>
      <c r="G28" s="4">
        <v>114</v>
      </c>
      <c r="H28" s="4">
        <v>38</v>
      </c>
      <c r="I28" s="5">
        <f>3.14159*(C28+(2*D28))</f>
        <v>112.154763</v>
      </c>
      <c r="J28" s="5">
        <f>G28/I28</f>
        <v>1.0164525959544</v>
      </c>
      <c r="K28" s="5">
        <f>C28*0.5</f>
        <v>16.05</v>
      </c>
      <c r="L28" s="5">
        <f>E28*0.5</f>
        <v>17.85</v>
      </c>
      <c r="O28" s="4">
        <v>332.64</v>
      </c>
      <c r="P28" s="5">
        <f>2*3.14159*K28*H28+(2*3.14159*(K28^2))</f>
        <v>5450.67435795</v>
      </c>
      <c r="Q28" s="4">
        <v>184.8</v>
      </c>
      <c r="S28" s="5">
        <f>(J28*P28)-Q28</f>
        <v>5355.55210084034</v>
      </c>
      <c r="T28" s="5">
        <f>S28/10000</f>
        <v>0.535555210084034</v>
      </c>
    </row>
    <row r="29" spans="1:20" s="5" customFormat="1" x14ac:dyDescent="0.35">
      <c r="A29" s="8">
        <v>5078</v>
      </c>
      <c r="B29" s="5">
        <v>6</v>
      </c>
      <c r="C29" s="5">
        <v>37</v>
      </c>
      <c r="D29" s="5">
        <v>1.8</v>
      </c>
      <c r="E29" s="5">
        <f>C29+(2*D29)</f>
        <v>40.6</v>
      </c>
      <c r="F29" s="5">
        <f>3.14159*C29</f>
        <v>116.23883</v>
      </c>
      <c r="G29" s="4">
        <v>115</v>
      </c>
      <c r="H29" s="4">
        <v>37.5</v>
      </c>
      <c r="I29" s="5">
        <f>3.14159*(C29+(2*D29))</f>
        <v>127.548554</v>
      </c>
      <c r="J29" s="5">
        <f>G29/I29</f>
        <v>0.901617434251744</v>
      </c>
      <c r="K29" s="5">
        <f>C29*0.5</f>
        <v>18.5</v>
      </c>
      <c r="L29" s="5">
        <f>E29*0.5</f>
        <v>20.3</v>
      </c>
      <c r="O29" s="4">
        <v>289.8</v>
      </c>
      <c r="P29" s="5">
        <f>2*3.14159*K29*H29+(2*3.14159*(K29^2))</f>
        <v>6509.37448</v>
      </c>
      <c r="Q29" s="4">
        <v>161</v>
      </c>
      <c r="S29" s="5">
        <f>(J29*P29)-Q29</f>
        <v>5707.96551724138</v>
      </c>
      <c r="T29" s="5">
        <f>S29/10000</f>
        <v>0.570796551724138</v>
      </c>
    </row>
    <row r="30" spans="1:20" s="5" customFormat="1" x14ac:dyDescent="0.35">
      <c r="A30" s="8">
        <v>5086</v>
      </c>
      <c r="B30" s="5">
        <v>6</v>
      </c>
      <c r="C30" s="5">
        <v>42.5</v>
      </c>
      <c r="D30" s="5">
        <v>1.8</v>
      </c>
      <c r="E30" s="5">
        <f>C30+(2*D30)</f>
        <v>46.1</v>
      </c>
      <c r="F30" s="5">
        <f>3.14159*C30</f>
        <v>133.517575</v>
      </c>
      <c r="G30" s="4">
        <v>115</v>
      </c>
      <c r="H30" s="4">
        <v>37.5</v>
      </c>
      <c r="I30" s="5">
        <f>3.14159*(C30+(2*D30))</f>
        <v>144.827299</v>
      </c>
      <c r="J30" s="5">
        <f>G30/I30</f>
        <v>0.794049193722794</v>
      </c>
      <c r="K30" s="5">
        <f>C30*0.5</f>
        <v>21.25</v>
      </c>
      <c r="L30" s="5">
        <f>E30*0.5</f>
        <v>23.05</v>
      </c>
      <c r="O30" s="4">
        <v>289.8</v>
      </c>
      <c r="P30" s="5">
        <f>2*3.14159*K30*H30+(2*3.14159*(K30^2))</f>
        <v>7844.15753125</v>
      </c>
      <c r="Q30" s="4">
        <v>161</v>
      </c>
      <c r="S30" s="5">
        <f>(J30*P30)-Q30</f>
        <v>6067.64696312365</v>
      </c>
      <c r="T30" s="5">
        <f>S30/10000</f>
        <v>0.606764696312365</v>
      </c>
    </row>
    <row r="31" spans="1:20" s="5" customFormat="1" x14ac:dyDescent="0.35">
      <c r="A31" s="8">
        <v>5091</v>
      </c>
      <c r="B31" s="5">
        <v>5</v>
      </c>
      <c r="C31" s="5">
        <v>29.7</v>
      </c>
      <c r="D31" s="5">
        <v>1.8</v>
      </c>
      <c r="E31" s="5">
        <f>C31+(2*D31)</f>
        <v>33.3</v>
      </c>
      <c r="F31" s="5">
        <f>3.14159*C31</f>
        <v>93.305223</v>
      </c>
      <c r="G31" s="4">
        <v>114</v>
      </c>
      <c r="H31" s="4">
        <v>38</v>
      </c>
      <c r="I31" s="5">
        <f>3.14159*(C31+(2*D31))</f>
        <v>104.614947</v>
      </c>
      <c r="J31" s="5">
        <f>G31/I31</f>
        <v>1.08971044070787</v>
      </c>
      <c r="K31" s="5">
        <f>C31*0.5</f>
        <v>14.85</v>
      </c>
      <c r="L31" s="5">
        <f>E31*0.5</f>
        <v>16.65</v>
      </c>
      <c r="O31" s="4">
        <v>332.64</v>
      </c>
      <c r="P31" s="5">
        <f>2*3.14159*K31*H31+(2*3.14159*(K31^2))</f>
        <v>4931.18103555</v>
      </c>
      <c r="Q31" s="4">
        <v>184.8</v>
      </c>
      <c r="S31" s="5">
        <f>(J31*P31)-Q31</f>
        <v>5188.75945945946</v>
      </c>
      <c r="T31" s="5">
        <f>S31/10000</f>
        <v>0.518875945945946</v>
      </c>
    </row>
    <row r="32" spans="1:20" s="5" customFormat="1" x14ac:dyDescent="0.35">
      <c r="A32" s="8">
        <v>5092</v>
      </c>
      <c r="B32" s="5">
        <v>6</v>
      </c>
      <c r="C32" s="5">
        <v>36</v>
      </c>
      <c r="D32" s="5">
        <v>1.8</v>
      </c>
      <c r="E32" s="5">
        <f>C32+(2*D32)</f>
        <v>39.6</v>
      </c>
      <c r="F32" s="5">
        <f>3.14159*C32</f>
        <v>113.09724</v>
      </c>
      <c r="G32" s="4">
        <v>115</v>
      </c>
      <c r="H32" s="4">
        <v>37.5</v>
      </c>
      <c r="I32" s="5">
        <f>3.14159*(C32+(2*D32))</f>
        <v>124.406964</v>
      </c>
      <c r="J32" s="5">
        <f>G32/I32</f>
        <v>0.924385551278303</v>
      </c>
      <c r="K32" s="5">
        <f>C32*0.5</f>
        <v>18</v>
      </c>
      <c r="L32" s="5">
        <f>E32*0.5</f>
        <v>19.8</v>
      </c>
      <c r="O32" s="4">
        <v>289.8</v>
      </c>
      <c r="P32" s="5">
        <f>2*3.14159*K32*H32+(2*3.14159*(K32^2))</f>
        <v>6276.89682</v>
      </c>
      <c r="Q32" s="4">
        <v>161</v>
      </c>
      <c r="S32" s="5">
        <f>(J32*P32)-Q32</f>
        <v>5641.27272727273</v>
      </c>
      <c r="T32" s="5">
        <f>S32/10000</f>
        <v>0.564127272727273</v>
      </c>
    </row>
    <row r="33" spans="1:20" s="5" customFormat="1" x14ac:dyDescent="0.35">
      <c r="A33" s="8">
        <v>5099</v>
      </c>
      <c r="B33" s="5">
        <v>5</v>
      </c>
      <c r="C33" s="5">
        <v>33.8</v>
      </c>
      <c r="D33" s="5">
        <v>1.8</v>
      </c>
      <c r="E33" s="5">
        <f>C33+(2*D33)</f>
        <v>37.4</v>
      </c>
      <c r="F33" s="5">
        <f>3.14159*C33</f>
        <v>106.185742</v>
      </c>
      <c r="G33" s="4">
        <v>114</v>
      </c>
      <c r="H33" s="4">
        <v>38</v>
      </c>
      <c r="I33" s="5">
        <f>3.14159*(C33+(2*D33))</f>
        <v>117.495466</v>
      </c>
      <c r="J33" s="5">
        <f>G33/I33</f>
        <v>0.970250205229195</v>
      </c>
      <c r="K33" s="5">
        <f>C33*0.5</f>
        <v>16.9</v>
      </c>
      <c r="L33" s="5">
        <f>E33*0.5</f>
        <v>18.7</v>
      </c>
      <c r="O33" s="4">
        <v>332.64</v>
      </c>
      <c r="P33" s="5">
        <f>2*3.14159*K33*H33+(2*3.14159*(K33^2))</f>
        <v>5829.5972358</v>
      </c>
      <c r="Q33" s="4">
        <v>184.8</v>
      </c>
      <c r="S33" s="5">
        <f>(J33*P33)-Q33</f>
        <v>5471.3679144385</v>
      </c>
      <c r="T33" s="5">
        <f>S33/10000</f>
        <v>0.54713679144385</v>
      </c>
    </row>
    <row r="34" spans="1:20" s="5" customFormat="1" x14ac:dyDescent="0.35">
      <c r="A34" s="7">
        <v>6326</v>
      </c>
      <c r="B34" s="5">
        <v>5</v>
      </c>
      <c r="C34" s="5">
        <v>35</v>
      </c>
      <c r="D34" s="5">
        <v>1.8</v>
      </c>
      <c r="E34" s="5">
        <f>C34+(2*D34)</f>
        <v>38.6</v>
      </c>
      <c r="F34" s="5">
        <f>3.14159*C34</f>
        <v>109.95565</v>
      </c>
      <c r="G34" s="4">
        <v>114</v>
      </c>
      <c r="H34" s="4">
        <v>38</v>
      </c>
      <c r="I34" s="5">
        <f>3.14159*(C34+(2*D34))</f>
        <v>121.265374</v>
      </c>
      <c r="J34" s="5">
        <f>G34/I34</f>
        <v>0.94008698641378</v>
      </c>
      <c r="K34" s="5">
        <f>C34*0.5</f>
        <v>17.5</v>
      </c>
      <c r="L34" s="5">
        <f>E34*0.5</f>
        <v>19.3</v>
      </c>
      <c r="O34" s="4">
        <v>332.64</v>
      </c>
      <c r="P34" s="5">
        <f>2*3.14159*K34*H34+(2*3.14159*(K34^2))</f>
        <v>6102.538575</v>
      </c>
      <c r="Q34" s="4">
        <v>184.8</v>
      </c>
      <c r="S34" s="5">
        <f>(J34*P34)-Q34</f>
        <v>5552.11709844559</v>
      </c>
      <c r="T34" s="5">
        <f>S34/10000</f>
        <v>0.555211709844559</v>
      </c>
    </row>
    <row r="35" spans="1:20" s="5" customFormat="1" x14ac:dyDescent="0.35">
      <c r="A35" s="8">
        <v>6371</v>
      </c>
      <c r="B35" s="5">
        <v>5</v>
      </c>
      <c r="C35" s="5">
        <v>45.3</v>
      </c>
      <c r="D35" s="5">
        <v>1.8</v>
      </c>
      <c r="E35" s="5">
        <f>C35+(2*D35)</f>
        <v>48.9</v>
      </c>
      <c r="F35" s="5">
        <f>3.14159*C35</f>
        <v>142.314027</v>
      </c>
      <c r="G35" s="4">
        <v>114</v>
      </c>
      <c r="H35" s="4">
        <v>38</v>
      </c>
      <c r="I35" s="5">
        <f>3.14159*(C35+(2*D35))</f>
        <v>153.623751</v>
      </c>
      <c r="J35" s="5">
        <f>G35/I35</f>
        <v>0.742072754101675</v>
      </c>
      <c r="K35" s="5">
        <f>C35*0.5</f>
        <v>22.65</v>
      </c>
      <c r="L35" s="5">
        <f>E35*0.5</f>
        <v>24.45</v>
      </c>
      <c r="O35" s="4">
        <v>332.64</v>
      </c>
      <c r="P35" s="5">
        <f>2*3.14159*K35*H35+(2*3.14159*(K35^2))</f>
        <v>8631.34573755</v>
      </c>
      <c r="Q35" s="4">
        <v>184.8</v>
      </c>
      <c r="S35" s="5">
        <f>(J35*P35)-Q35</f>
        <v>6220.28650306748</v>
      </c>
      <c r="T35" s="5">
        <f>S35/10000</f>
        <v>0.622028650306748</v>
      </c>
    </row>
    <row r="36" spans="1:20" s="5" customFormat="1" x14ac:dyDescent="0.35">
      <c r="A36" s="8">
        <v>6393</v>
      </c>
      <c r="B36" s="5">
        <v>6</v>
      </c>
      <c r="C36" s="5">
        <v>37.6</v>
      </c>
      <c r="D36" s="5">
        <v>1.8</v>
      </c>
      <c r="E36" s="5">
        <f>C36+(2*D36)</f>
        <v>41.2</v>
      </c>
      <c r="F36" s="5">
        <f>3.14159*C36</f>
        <v>118.123784</v>
      </c>
      <c r="G36" s="4">
        <v>115</v>
      </c>
      <c r="H36" s="4">
        <v>37.5</v>
      </c>
      <c r="I36" s="5">
        <f>3.14159*(C36+(2*D36))</f>
        <v>129.433508</v>
      </c>
      <c r="J36" s="5">
        <f>G36/I36</f>
        <v>0.888487083267495</v>
      </c>
      <c r="K36" s="5">
        <f>C36*0.5</f>
        <v>18.8</v>
      </c>
      <c r="L36" s="5">
        <f>E36*0.5</f>
        <v>20.6</v>
      </c>
      <c r="O36" s="4">
        <v>289.8</v>
      </c>
      <c r="P36" s="5">
        <f>2*3.14159*K36*H36+(2*3.14159*(K36^2))</f>
        <v>6650.3690392</v>
      </c>
      <c r="Q36" s="4">
        <v>161</v>
      </c>
      <c r="S36" s="5">
        <f>(J36*P36)-Q36</f>
        <v>5747.76699029126</v>
      </c>
      <c r="T36" s="5">
        <f>S36/10000</f>
        <v>0.574776699029126</v>
      </c>
    </row>
    <row r="37" spans="1:20" s="5" customFormat="1" x14ac:dyDescent="0.35">
      <c r="A37" s="7">
        <v>7361</v>
      </c>
      <c r="B37" s="5">
        <v>6</v>
      </c>
      <c r="C37" s="5">
        <v>34.2</v>
      </c>
      <c r="D37" s="5">
        <v>1.8</v>
      </c>
      <c r="E37" s="5">
        <f>C37+(2*D37)</f>
        <v>37.8</v>
      </c>
      <c r="F37" s="5">
        <f>3.14159*C37</f>
        <v>107.442378</v>
      </c>
      <c r="G37" s="4">
        <v>115</v>
      </c>
      <c r="H37" s="4">
        <v>37.5</v>
      </c>
      <c r="I37" s="5">
        <f>3.14159*(C37+(2*D37))</f>
        <v>118.752102</v>
      </c>
      <c r="J37" s="5">
        <f>G37/I37</f>
        <v>0.968403910862984</v>
      </c>
      <c r="K37" s="5">
        <f>C37*0.5</f>
        <v>17.1</v>
      </c>
      <c r="L37" s="5">
        <f>E37*0.5</f>
        <v>18.9</v>
      </c>
      <c r="O37" s="4">
        <v>289.8</v>
      </c>
      <c r="P37" s="5">
        <f>2*3.14159*K37*H37+(2*3.14159*(K37^2))</f>
        <v>5866.3538388</v>
      </c>
      <c r="Q37" s="4">
        <v>161</v>
      </c>
      <c r="S37" s="5">
        <f>(J37*P37)-Q37</f>
        <v>5520</v>
      </c>
      <c r="T37" s="5">
        <f>S37/10000</f>
        <v>0.552</v>
      </c>
    </row>
    <row r="38" spans="1:20" s="5" customFormat="1" x14ac:dyDescent="0.35">
      <c r="A38" s="7">
        <v>7397</v>
      </c>
      <c r="B38" s="5">
        <v>5</v>
      </c>
      <c r="C38" s="5">
        <v>39.2</v>
      </c>
      <c r="D38" s="5">
        <v>1.8</v>
      </c>
      <c r="E38" s="5">
        <f>C38+(2*D38)</f>
        <v>42.8</v>
      </c>
      <c r="F38" s="5">
        <f>3.14159*C38</f>
        <v>123.150328</v>
      </c>
      <c r="G38" s="4">
        <v>114</v>
      </c>
      <c r="H38" s="4">
        <v>38</v>
      </c>
      <c r="I38" s="5">
        <f>3.14159*(C38+(2*D38))</f>
        <v>134.460052</v>
      </c>
      <c r="J38" s="5">
        <f>G38/I38</f>
        <v>0.847835459709624</v>
      </c>
      <c r="K38" s="5">
        <f>C38*0.5</f>
        <v>19.6</v>
      </c>
      <c r="L38" s="5">
        <f>E38*0.5</f>
        <v>21.4</v>
      </c>
      <c r="O38" s="4">
        <v>332.64</v>
      </c>
      <c r="P38" s="5">
        <f>2*3.14159*K38*H38+(2*3.14159*(K38^2))</f>
        <v>7093.4588928</v>
      </c>
      <c r="Q38" s="4">
        <v>184.8</v>
      </c>
      <c r="S38" s="5">
        <f>(J38*P38)-Q38</f>
        <v>5829.28598130841</v>
      </c>
      <c r="T38" s="5">
        <f>S38/10000</f>
        <v>0.582928598130841</v>
      </c>
    </row>
    <row r="39" spans="1:20" s="5" customFormat="1" x14ac:dyDescent="0.35">
      <c r="A39" s="7">
        <v>7447</v>
      </c>
      <c r="B39" s="5">
        <v>5</v>
      </c>
      <c r="C39" s="5">
        <v>37</v>
      </c>
      <c r="D39" s="5">
        <v>1.8</v>
      </c>
      <c r="E39" s="5">
        <f>C39+(2*D39)</f>
        <v>40.6</v>
      </c>
      <c r="F39" s="5">
        <f>3.14159*C39</f>
        <v>116.23883</v>
      </c>
      <c r="G39" s="4">
        <v>114</v>
      </c>
      <c r="H39" s="4">
        <v>38</v>
      </c>
      <c r="I39" s="5">
        <f>3.14159*(C39+(2*D39))</f>
        <v>127.548554</v>
      </c>
      <c r="J39" s="5">
        <f>G39/I39</f>
        <v>0.893777282649555</v>
      </c>
      <c r="K39" s="5">
        <f>C39*0.5</f>
        <v>18.5</v>
      </c>
      <c r="L39" s="5">
        <f>E39*0.5</f>
        <v>20.3</v>
      </c>
      <c r="O39" s="4">
        <v>332.64</v>
      </c>
      <c r="P39" s="5">
        <f>2*3.14159*K39*H39+(2*3.14159*(K39^2))</f>
        <v>6567.493895</v>
      </c>
      <c r="Q39" s="4">
        <v>184.8</v>
      </c>
      <c r="S39" s="5">
        <f>(J39*P39)-Q39</f>
        <v>5685.07684729064</v>
      </c>
      <c r="T39" s="5">
        <f>S39/10000</f>
        <v>0.568507684729064</v>
      </c>
    </row>
    <row r="40" spans="1:20" s="5" customFormat="1" x14ac:dyDescent="0.35">
      <c r="A40" s="7">
        <v>8833</v>
      </c>
      <c r="B40" s="5">
        <v>6</v>
      </c>
      <c r="C40" s="5">
        <v>55</v>
      </c>
      <c r="D40" s="5">
        <v>1.8</v>
      </c>
      <c r="E40" s="5">
        <f>C40+(2*D40)</f>
        <v>58.6</v>
      </c>
      <c r="F40" s="5">
        <f>3.14159*C40</f>
        <v>172.78745</v>
      </c>
      <c r="G40" s="4">
        <v>115</v>
      </c>
      <c r="H40" s="4">
        <v>37.5</v>
      </c>
      <c r="I40" s="5">
        <f>3.14159*(C40+(2*D40))</f>
        <v>184.097174</v>
      </c>
      <c r="J40" s="5">
        <f>G40/I40</f>
        <v>0.624670099498648</v>
      </c>
      <c r="K40" s="5">
        <f>C40*0.5</f>
        <v>27.5</v>
      </c>
      <c r="L40" s="5">
        <f>E40*0.5</f>
        <v>29.3</v>
      </c>
      <c r="O40" s="4">
        <v>289.8</v>
      </c>
      <c r="P40" s="5">
        <f>2*3.14159*K40*H40+(2*3.14159*(K40^2))</f>
        <v>11231.18425</v>
      </c>
      <c r="Q40" s="4">
        <v>161</v>
      </c>
      <c r="S40" s="5">
        <f>(J40*P40)-Q40</f>
        <v>6854.78498293515</v>
      </c>
      <c r="T40" s="5">
        <f>S40/10000</f>
        <v>0.685478498293515</v>
      </c>
    </row>
    <row r="41" spans="1:20" s="5" customFormat="1" x14ac:dyDescent="0.35">
      <c r="A41" s="7">
        <v>8835</v>
      </c>
      <c r="B41" s="5">
        <v>5</v>
      </c>
      <c r="C41" s="5">
        <v>48.7</v>
      </c>
      <c r="D41" s="5">
        <v>1.8</v>
      </c>
      <c r="E41" s="5">
        <f>C41+(2*D41)</f>
        <v>52.3</v>
      </c>
      <c r="F41" s="5">
        <f>3.14159*C41</f>
        <v>152.995433</v>
      </c>
      <c r="G41" s="4">
        <v>114</v>
      </c>
      <c r="H41" s="4">
        <v>38</v>
      </c>
      <c r="I41" s="5">
        <f>3.14159*(C41+(2*D41))</f>
        <v>164.305157</v>
      </c>
      <c r="J41" s="5">
        <f>G41/I41</f>
        <v>0.693830930699272</v>
      </c>
      <c r="K41" s="5">
        <f>C41*0.5</f>
        <v>24.35</v>
      </c>
      <c r="L41" s="5">
        <f>E41*0.5</f>
        <v>26.15</v>
      </c>
      <c r="O41" s="4">
        <v>332.64</v>
      </c>
      <c r="P41" s="5">
        <f>2*3.14159*K41*H41+(2*3.14159*(K41^2))</f>
        <v>9539.26524755</v>
      </c>
      <c r="Q41" s="4">
        <v>184.8</v>
      </c>
      <c r="S41" s="5">
        <f>(J41*P41)-Q41</f>
        <v>6433.83728489484</v>
      </c>
      <c r="T41" s="5">
        <f>S41/10000</f>
        <v>0.643383728489484</v>
      </c>
    </row>
    <row ht="15.5" r="42" spans="1:20" s="5" customFormat="1" x14ac:dyDescent="0.35">
      <c r="A42" s="9" t="s">
        <v>20</v>
      </c>
      <c r="B42" s="5">
        <v>6</v>
      </c>
      <c r="C42" s="5">
        <v>29.4</v>
      </c>
      <c r="D42" s="5">
        <v>1.8</v>
      </c>
      <c r="E42" s="5">
        <f>C42+(2*D42)</f>
        <v>33</v>
      </c>
      <c r="F42" s="5">
        <f>3.14159*C42</f>
        <v>92.362746</v>
      </c>
      <c r="G42" s="4">
        <v>115</v>
      </c>
      <c r="H42" s="4">
        <v>37.5</v>
      </c>
      <c r="I42" s="5">
        <f>3.14159*(C42+(2*D42))</f>
        <v>103.67247</v>
      </c>
      <c r="J42" s="5">
        <f>G42/I42</f>
        <v>1.10926266153396</v>
      </c>
      <c r="K42" s="5">
        <f>C42*0.5</f>
        <v>14.7</v>
      </c>
      <c r="L42" s="5">
        <f>E42*0.5</f>
        <v>16.5</v>
      </c>
      <c r="O42" s="4">
        <v>289.8</v>
      </c>
      <c r="P42" s="5">
        <f>2*3.14159*K42*H42+(2*3.14159*(K42^2))</f>
        <v>4821.3353412</v>
      </c>
      <c r="Q42" s="4">
        <v>161</v>
      </c>
      <c r="S42" s="5">
        <f>(J42*P42)-Q42</f>
        <v>5187.12727272727</v>
      </c>
      <c r="T42" s="5">
        <f>S42/10000</f>
        <v>0.518712727272727</v>
      </c>
    </row>
    <row r="43" spans="1:20" s="5" customFormat="1" x14ac:dyDescent="0.35">
      <c r="A43" s="7" t="s">
        <v>25</v>
      </c>
      <c r="B43" s="5">
        <v>6</v>
      </c>
      <c r="C43" s="5">
        <v>37</v>
      </c>
      <c r="D43" s="5">
        <v>1.8</v>
      </c>
      <c r="E43" s="5">
        <f>C43+(2*D43)</f>
        <v>40.6</v>
      </c>
      <c r="F43" s="5">
        <f>3.14159*C43</f>
        <v>116.23883</v>
      </c>
      <c r="G43" s="4">
        <v>115</v>
      </c>
      <c r="H43" s="4">
        <v>37.5</v>
      </c>
      <c r="I43" s="5">
        <f>3.14159*(C43+(2*D43))</f>
        <v>127.548554</v>
      </c>
      <c r="J43" s="5">
        <f>G43/I43</f>
        <v>0.901617434251744</v>
      </c>
      <c r="K43" s="5">
        <f>C43*0.5</f>
        <v>18.5</v>
      </c>
      <c r="L43" s="5">
        <f>E43*0.5</f>
        <v>20.3</v>
      </c>
      <c r="O43" s="4">
        <v>289.8</v>
      </c>
      <c r="P43" s="5">
        <f>2*3.14159*K43*H43+(2*3.14159*(K43^2))</f>
        <v>6509.37448</v>
      </c>
      <c r="Q43" s="4">
        <v>161</v>
      </c>
      <c r="S43" s="5">
        <f>(J43*P43)-Q43</f>
        <v>5707.96551724138</v>
      </c>
      <c r="T43" s="5">
        <f>S43/10000</f>
        <v>0.570796551724138</v>
      </c>
    </row>
    <row r="44" spans="1:20" s="5" customFormat="1" x14ac:dyDescent="0.35">
      <c r="A44" s="8" t="s">
        <v>19</v>
      </c>
      <c r="B44" s="5">
        <v>6</v>
      </c>
      <c r="C44" s="5">
        <v>32.9</v>
      </c>
      <c r="D44" s="5">
        <v>1.8</v>
      </c>
      <c r="E44" s="5">
        <f>C44+(2*D44)</f>
        <v>36.5</v>
      </c>
      <c r="F44" s="5">
        <f>3.14159*C44</f>
        <v>103.358311</v>
      </c>
      <c r="G44" s="4">
        <v>115</v>
      </c>
      <c r="H44" s="4">
        <v>37.5</v>
      </c>
      <c r="I44" s="5">
        <f>3.14159*(C44+(2*D44))</f>
        <v>114.668035</v>
      </c>
      <c r="J44" s="5">
        <f>G44/I44</f>
        <v>1.0028950090581</v>
      </c>
      <c r="K44" s="5">
        <f>C44*0.5</f>
        <v>16.45</v>
      </c>
      <c r="L44" s="5">
        <f>E44*0.5</f>
        <v>18.25</v>
      </c>
      <c r="O44" s="4">
        <v>289.8</v>
      </c>
      <c r="P44" s="5">
        <f>2*3.14159*K44*H44+(2*3.14159*(K44^2))</f>
        <v>5576.18087845</v>
      </c>
      <c r="Q44" s="4">
        <v>161</v>
      </c>
      <c r="S44" s="5">
        <f>(J44*P44)-Q44</f>
        <v>5431.32397260274</v>
      </c>
      <c r="T44" s="5">
        <f>S44/10000</f>
        <v>0.543132397260274</v>
      </c>
    </row>
    <row r="45" spans="1:20" s="5" customFormat="1" x14ac:dyDescent="0.35">
      <c r="A45" s="7" t="s">
        <v>23</v>
      </c>
      <c r="B45" s="5">
        <v>6</v>
      </c>
      <c r="C45" s="5">
        <v>34.1</v>
      </c>
      <c r="D45" s="5">
        <v>1.8</v>
      </c>
      <c r="E45" s="5">
        <f>C45+(2*D45)</f>
        <v>37.7</v>
      </c>
      <c r="F45" s="5">
        <f>3.14159*C45</f>
        <v>107.128219</v>
      </c>
      <c r="G45" s="4">
        <v>115</v>
      </c>
      <c r="H45" s="4">
        <v>37.5</v>
      </c>
      <c r="I45" s="5">
        <f>3.14159*(C45+(2*D45))</f>
        <v>118.437943</v>
      </c>
      <c r="J45" s="5">
        <f>G45/I45</f>
        <v>0.970972621501878</v>
      </c>
      <c r="K45" s="5">
        <f>C45*0.5</f>
        <v>17.05</v>
      </c>
      <c r="L45" s="5">
        <f>E45*0.5</f>
        <v>18.85</v>
      </c>
      <c r="O45" s="4">
        <v>289.8</v>
      </c>
      <c r="P45" s="5">
        <f>2*3.14159*K45*H45+(2*3.14159*(K45^2))</f>
        <v>5843.84434645</v>
      </c>
      <c r="Q45" s="4">
        <v>161</v>
      </c>
      <c r="S45" s="5">
        <f>(J45*P45)-Q45</f>
        <v>5513.21286472149</v>
      </c>
      <c r="T45" s="5">
        <f>S45/10000</f>
        <v>0.551321286472149</v>
      </c>
    </row>
    <row r="46" spans="1:20" s="5" customFormat="1" x14ac:dyDescent="0.35">
      <c r="A46" s="7" t="s">
        <v>21</v>
      </c>
      <c r="B46" s="5">
        <v>5</v>
      </c>
      <c r="C46" s="5">
        <v>32.2</v>
      </c>
      <c r="D46" s="5">
        <v>1.8</v>
      </c>
      <c r="E46" s="5">
        <f>C46+(2*D46)</f>
        <v>35.8</v>
      </c>
      <c r="F46" s="5">
        <f>3.14159*C46</f>
        <v>101.159198</v>
      </c>
      <c r="G46" s="4">
        <v>114</v>
      </c>
      <c r="H46" s="4">
        <v>38</v>
      </c>
      <c r="I46" s="5">
        <f>3.14159*(C46+(2*D46))</f>
        <v>112.468922</v>
      </c>
      <c r="J46" s="5">
        <f>G46/I46</f>
        <v>1.01361334289307</v>
      </c>
      <c r="K46" s="5">
        <f>C46*0.5</f>
        <v>16.1</v>
      </c>
      <c r="L46" s="5">
        <f>E46*0.5</f>
        <v>17.9</v>
      </c>
      <c r="O46" s="4">
        <v>332.64</v>
      </c>
      <c r="P46" s="5">
        <f>2*3.14159*K46*H46+(2*3.14159*(K46^2))</f>
        <v>5472.7126118</v>
      </c>
      <c r="Q46" s="4">
        <v>184.8</v>
      </c>
      <c r="S46" s="5">
        <f>(J46*P46)-Q46</f>
        <v>5362.41452513966</v>
      </c>
      <c r="T46" s="5">
        <f>S46/10000</f>
        <v>0.536241452513966</v>
      </c>
    </row>
    <row r="47" spans="1:20" s="5" customFormat="1" x14ac:dyDescent="0.35">
      <c r="A47" s="7" t="s">
        <v>22</v>
      </c>
      <c r="B47" s="5">
        <v>5</v>
      </c>
      <c r="C47" s="5">
        <v>30.3</v>
      </c>
      <c r="D47" s="5">
        <v>1.8</v>
      </c>
      <c r="E47" s="5">
        <f>C47+(2*D47)</f>
        <v>33.9</v>
      </c>
      <c r="F47" s="5">
        <f>3.14159*C47</f>
        <v>95.190177</v>
      </c>
      <c r="G47" s="4">
        <v>114</v>
      </c>
      <c r="H47" s="4">
        <v>38</v>
      </c>
      <c r="I47" s="5">
        <f>3.14159*(C47+(2*D47))</f>
        <v>106.499901</v>
      </c>
      <c r="J47" s="5">
        <f>G47/I47</f>
        <v>1.07042353025286</v>
      </c>
      <c r="K47" s="5">
        <f>C47*0.5</f>
        <v>15.15</v>
      </c>
      <c r="L47" s="5">
        <f>E47*0.5</f>
        <v>16.95</v>
      </c>
      <c r="O47" s="4">
        <v>332.64</v>
      </c>
      <c r="P47" s="5">
        <f>2*3.14159*K47*H47+(2*3.14159*(K47^2))</f>
        <v>5059.35790755</v>
      </c>
      <c r="Q47" s="4">
        <v>184.8</v>
      </c>
      <c r="S47" s="5">
        <f>(J47*P47)-Q47</f>
        <v>5230.85575221239</v>
      </c>
      <c r="T47" s="5">
        <f>S47/10000</f>
        <v>0.523085575221239</v>
      </c>
    </row>
    <row r="48" spans="1:20" s="5" customFormat="1" x14ac:dyDescent="0.35">
      <c r="A48" s="7">
        <v>4774</v>
      </c>
      <c r="B48" s="5">
        <v>5</v>
      </c>
      <c r="C48" s="5">
        <v>47.1</v>
      </c>
      <c r="D48" s="5">
        <v>1.8</v>
      </c>
      <c r="E48" s="5">
        <f>C48+(2*D48)</f>
        <v>50.7</v>
      </c>
      <c r="F48" s="5">
        <f>3.14159*C48</f>
        <v>147.968889</v>
      </c>
      <c r="G48" s="4">
        <v>114</v>
      </c>
      <c r="H48" s="4">
        <v>38</v>
      </c>
      <c r="I48" s="5">
        <f>3.14159*(C48+(2*D48))</f>
        <v>159.278613</v>
      </c>
      <c r="J48" s="5">
        <f>G48/I48</f>
        <v>0.715726975849545</v>
      </c>
      <c r="K48" s="5">
        <f>C48*0.5</f>
        <v>23.55</v>
      </c>
      <c r="L48" s="5">
        <f>E48*0.5</f>
        <v>25.35</v>
      </c>
      <c r="O48" s="4">
        <v>332.64</v>
      </c>
      <c r="P48" s="5">
        <f>2*3.14159*K48*H48+(2*3.14159*(K48^2))</f>
        <v>9107.48511795</v>
      </c>
      <c r="Q48" s="4">
        <v>184.8</v>
      </c>
      <c r="S48" s="5">
        <f>(J48*P48)-Q48</f>
        <v>6333.67278106509</v>
      </c>
      <c r="T48" s="5">
        <f>S48/10000</f>
        <v>0.633367278106509</v>
      </c>
    </row>
  </sheetData>
  <sortState xmlns:xlrd2="http://schemas.microsoft.com/office/spreadsheetml/2017/richdata2" ref="A2:T53">
    <sortCondition ref="A2:A53"/>
  </sortState>
  <pageMargins left="0.7" right="0.7" top="0.75" bottom="0.75" header="0.3" footer="0.3"/>
  <pageSetup orientation="portrait" horizontalDpi="4294967293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DB48390-96A5-489D-BC06-73FB67EEB8A6}"/>
</file>

<file path=customXml/itemProps2.xml><?xml version="1.0" encoding="utf-8"?>
<ds:datastoreItem xmlns:ds="http://schemas.openxmlformats.org/officeDocument/2006/customXml" ds:itemID="{6CC836ED-CAF9-456F-BD6E-412A7848FCCC}"/>
</file>

<file path=customXml/itemProps3.xml><?xml version="1.0" encoding="utf-8"?>
<ds:datastoreItem xmlns:ds="http://schemas.openxmlformats.org/officeDocument/2006/customXml" ds:itemID="{2D66E107-FB43-475A-A5C4-14783EDC8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2020-06-24T17:32:35Z</dcterms:created>
  <dcterms:modified xsi:type="dcterms:W3CDTF">2021-04-13T19:12:52Z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