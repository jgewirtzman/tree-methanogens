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22910" windowHeight="935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1" l="1"/>
  <c r="O4" i="1"/>
  <c r="K4" i="1"/>
  <c r="P4" i="1" s="1"/>
  <c r="I4" i="1"/>
  <c r="J4" i="1" s="1"/>
  <c r="S4" i="1" s="1"/>
  <c r="T4" i="1" s="1"/>
  <c r="F4" i="1"/>
  <c r="E4" i="1"/>
  <c r="L4" i="1" s="1"/>
  <c r="Q2" i="1"/>
  <c r="O2" i="1"/>
  <c r="K2" i="1"/>
  <c r="P2" i="1" s="1"/>
  <c r="I2" i="1"/>
  <c r="J2" i="1" s="1"/>
  <c r="S2" i="1" s="1"/>
  <c r="T2" i="1" s="1"/>
  <c r="F2" i="1"/>
  <c r="E2" i="1"/>
  <c r="L2" i="1" s="1"/>
  <c r="P16" i="1"/>
  <c r="P42" i="1"/>
  <c r="P10" i="1"/>
  <c r="P35" i="1"/>
  <c r="P43" i="1"/>
  <c r="P17" i="1"/>
  <c r="P5" i="1"/>
  <c r="P32" i="1"/>
  <c r="P39" i="1"/>
  <c r="P37" i="1"/>
  <c r="I16" i="1"/>
  <c r="I28" i="1"/>
  <c r="J28" i="1" s="1"/>
  <c r="S28" i="1" s="1"/>
  <c r="T28" i="1" s="1"/>
  <c r="I31" i="1"/>
  <c r="I46" i="1"/>
  <c r="I45" i="1"/>
  <c r="J45" i="1" s="1"/>
  <c r="I15" i="1"/>
  <c r="J15" i="1" s="1"/>
  <c r="I22" i="1"/>
  <c r="I23" i="1"/>
  <c r="I42" i="1"/>
  <c r="I38" i="1"/>
  <c r="I8" i="1"/>
  <c r="I18" i="1"/>
  <c r="J18" i="1" s="1"/>
  <c r="I21" i="1"/>
  <c r="J21" i="1" s="1"/>
  <c r="I20" i="1"/>
  <c r="J20" i="1" s="1"/>
  <c r="I51" i="1"/>
  <c r="I52" i="1"/>
  <c r="J52" i="1" s="1"/>
  <c r="I10" i="1"/>
  <c r="I9" i="1"/>
  <c r="J9" i="1" s="1"/>
  <c r="I27" i="1"/>
  <c r="J27" i="1" s="1"/>
  <c r="I36" i="1"/>
  <c r="J36" i="1" s="1"/>
  <c r="I33" i="1"/>
  <c r="J33" i="1" s="1"/>
  <c r="I29" i="1"/>
  <c r="J29" i="1" s="1"/>
  <c r="I48" i="1"/>
  <c r="I47" i="1"/>
  <c r="I35" i="1"/>
  <c r="I26" i="1"/>
  <c r="J26" i="1" s="1"/>
  <c r="S26" i="1" s="1"/>
  <c r="T26" i="1" s="1"/>
  <c r="I30" i="1"/>
  <c r="I44" i="1"/>
  <c r="J44" i="1" s="1"/>
  <c r="I41" i="1"/>
  <c r="J41" i="1" s="1"/>
  <c r="I43" i="1"/>
  <c r="J43" i="1" s="1"/>
  <c r="I49" i="1"/>
  <c r="J49" i="1" s="1"/>
  <c r="I7" i="1"/>
  <c r="J7" i="1" s="1"/>
  <c r="I17" i="1"/>
  <c r="J17" i="1" s="1"/>
  <c r="S17" i="1" s="1"/>
  <c r="T17" i="1" s="1"/>
  <c r="I6" i="1"/>
  <c r="J6" i="1" s="1"/>
  <c r="I5" i="1"/>
  <c r="I19" i="1"/>
  <c r="J19" i="1" s="1"/>
  <c r="I3" i="1"/>
  <c r="J3" i="1" s="1"/>
  <c r="I53" i="1"/>
  <c r="J53" i="1" s="1"/>
  <c r="I32" i="1"/>
  <c r="I12" i="1"/>
  <c r="J12" i="1" s="1"/>
  <c r="I11" i="1"/>
  <c r="I14" i="1"/>
  <c r="J14" i="1" s="1"/>
  <c r="I39" i="1"/>
  <c r="J39" i="1" s="1"/>
  <c r="I40" i="1"/>
  <c r="I34" i="1"/>
  <c r="I13" i="1"/>
  <c r="J13" i="1" s="1"/>
  <c r="I37" i="1"/>
  <c r="J37" i="1" s="1"/>
  <c r="I24" i="1"/>
  <c r="J24" i="1" s="1"/>
  <c r="I50" i="1"/>
  <c r="F16" i="1"/>
  <c r="F28" i="1"/>
  <c r="F31" i="1"/>
  <c r="F46" i="1"/>
  <c r="F45" i="1"/>
  <c r="F15" i="1"/>
  <c r="F22" i="1"/>
  <c r="F23" i="1"/>
  <c r="F42" i="1"/>
  <c r="F38" i="1"/>
  <c r="F8" i="1"/>
  <c r="F18" i="1"/>
  <c r="F21" i="1"/>
  <c r="F20" i="1"/>
  <c r="F51" i="1"/>
  <c r="F52" i="1"/>
  <c r="F10" i="1"/>
  <c r="F9" i="1"/>
  <c r="F27" i="1"/>
  <c r="F36" i="1"/>
  <c r="F33" i="1"/>
  <c r="F29" i="1"/>
  <c r="F48" i="1"/>
  <c r="F47" i="1"/>
  <c r="F35" i="1"/>
  <c r="F26" i="1"/>
  <c r="F30" i="1"/>
  <c r="F44" i="1"/>
  <c r="F41" i="1"/>
  <c r="F43" i="1"/>
  <c r="F49" i="1"/>
  <c r="F7" i="1"/>
  <c r="F17" i="1"/>
  <c r="F6" i="1"/>
  <c r="F5" i="1"/>
  <c r="F19" i="1"/>
  <c r="F3" i="1"/>
  <c r="F53" i="1"/>
  <c r="F32" i="1"/>
  <c r="F12" i="1"/>
  <c r="F11" i="1"/>
  <c r="F14" i="1"/>
  <c r="F39" i="1"/>
  <c r="F40" i="1"/>
  <c r="F34" i="1"/>
  <c r="F13" i="1"/>
  <c r="F37" i="1"/>
  <c r="F24" i="1"/>
  <c r="F50" i="1"/>
  <c r="F25" i="1"/>
  <c r="I25" i="1"/>
  <c r="S16" i="1"/>
  <c r="T16" i="1" s="1"/>
  <c r="S42" i="1"/>
  <c r="T42" i="1" s="1"/>
  <c r="Q16" i="1"/>
  <c r="Q28" i="1"/>
  <c r="O16" i="1"/>
  <c r="O28" i="1"/>
  <c r="O31" i="1"/>
  <c r="O46" i="1"/>
  <c r="O45" i="1"/>
  <c r="O15" i="1"/>
  <c r="O22" i="1"/>
  <c r="Q31" i="1"/>
  <c r="Q46" i="1"/>
  <c r="Q45" i="1"/>
  <c r="Q15" i="1"/>
  <c r="Q22" i="1"/>
  <c r="Q23" i="1"/>
  <c r="O23" i="1"/>
  <c r="Q42" i="1"/>
  <c r="Q38" i="1"/>
  <c r="Q8" i="1"/>
  <c r="Q18" i="1"/>
  <c r="Q21" i="1"/>
  <c r="Q20" i="1"/>
  <c r="Q51" i="1"/>
  <c r="Q52" i="1"/>
  <c r="Q10" i="1"/>
  <c r="Q9" i="1"/>
  <c r="Q27" i="1"/>
  <c r="Q36" i="1"/>
  <c r="Q33" i="1"/>
  <c r="Q29" i="1"/>
  <c r="Q48" i="1"/>
  <c r="Q47" i="1"/>
  <c r="Q35" i="1"/>
  <c r="Q26" i="1"/>
  <c r="O42" i="1"/>
  <c r="O38" i="1"/>
  <c r="O8" i="1"/>
  <c r="O18" i="1"/>
  <c r="O21" i="1"/>
  <c r="O20" i="1"/>
  <c r="O51" i="1"/>
  <c r="O52" i="1"/>
  <c r="O10" i="1"/>
  <c r="O9" i="1"/>
  <c r="O27" i="1"/>
  <c r="O36" i="1"/>
  <c r="O33" i="1"/>
  <c r="O29" i="1"/>
  <c r="O48" i="1"/>
  <c r="O47" i="1"/>
  <c r="O35" i="1"/>
  <c r="O26" i="1"/>
  <c r="Q30" i="1"/>
  <c r="O30" i="1"/>
  <c r="Q44" i="1"/>
  <c r="Q41" i="1"/>
  <c r="Q43" i="1"/>
  <c r="Q49" i="1"/>
  <c r="Q7" i="1"/>
  <c r="Q17" i="1"/>
  <c r="Q6" i="1"/>
  <c r="Q5" i="1"/>
  <c r="Q19" i="1"/>
  <c r="Q3" i="1"/>
  <c r="Q53" i="1"/>
  <c r="Q32" i="1"/>
  <c r="Q12" i="1"/>
  <c r="Q11" i="1"/>
  <c r="Q14" i="1"/>
  <c r="Q39" i="1"/>
  <c r="Q40" i="1"/>
  <c r="Q34" i="1"/>
  <c r="Q13" i="1"/>
  <c r="Q37" i="1"/>
  <c r="Q24" i="1"/>
  <c r="Q50" i="1"/>
  <c r="O44" i="1"/>
  <c r="O41" i="1"/>
  <c r="O43" i="1"/>
  <c r="O49" i="1"/>
  <c r="O7" i="1"/>
  <c r="O17" i="1"/>
  <c r="O6" i="1"/>
  <c r="O5" i="1"/>
  <c r="O19" i="1"/>
  <c r="O3" i="1"/>
  <c r="O53" i="1"/>
  <c r="O32" i="1"/>
  <c r="O12" i="1"/>
  <c r="O11" i="1"/>
  <c r="O14" i="1"/>
  <c r="O39" i="1"/>
  <c r="O40" i="1"/>
  <c r="O34" i="1"/>
  <c r="O13" i="1"/>
  <c r="O37" i="1"/>
  <c r="O50" i="1"/>
  <c r="O25" i="1"/>
  <c r="L23" i="1"/>
  <c r="L18" i="1"/>
  <c r="L52" i="1"/>
  <c r="L36" i="1"/>
  <c r="L29" i="1"/>
  <c r="K16" i="1"/>
  <c r="K28" i="1"/>
  <c r="P28" i="1" s="1"/>
  <c r="K31" i="1"/>
  <c r="P31" i="1" s="1"/>
  <c r="S31" i="1" s="1"/>
  <c r="T31" i="1" s="1"/>
  <c r="K46" i="1"/>
  <c r="P46" i="1" s="1"/>
  <c r="K45" i="1"/>
  <c r="P45" i="1" s="1"/>
  <c r="K15" i="1"/>
  <c r="P15" i="1" s="1"/>
  <c r="K22" i="1"/>
  <c r="P22" i="1" s="1"/>
  <c r="S22" i="1" s="1"/>
  <c r="T22" i="1" s="1"/>
  <c r="K23" i="1"/>
  <c r="P23" i="1" s="1"/>
  <c r="K42" i="1"/>
  <c r="K38" i="1"/>
  <c r="P38" i="1" s="1"/>
  <c r="K8" i="1"/>
  <c r="P8" i="1" s="1"/>
  <c r="S8" i="1" s="1"/>
  <c r="T8" i="1" s="1"/>
  <c r="K18" i="1"/>
  <c r="P18" i="1" s="1"/>
  <c r="K21" i="1"/>
  <c r="P21" i="1" s="1"/>
  <c r="K20" i="1"/>
  <c r="P20" i="1" s="1"/>
  <c r="K51" i="1"/>
  <c r="P51" i="1" s="1"/>
  <c r="K52" i="1"/>
  <c r="P52" i="1" s="1"/>
  <c r="K10" i="1"/>
  <c r="K9" i="1"/>
  <c r="P9" i="1" s="1"/>
  <c r="K27" i="1"/>
  <c r="P27" i="1" s="1"/>
  <c r="K36" i="1"/>
  <c r="P36" i="1" s="1"/>
  <c r="K33" i="1"/>
  <c r="P33" i="1" s="1"/>
  <c r="K29" i="1"/>
  <c r="P29" i="1" s="1"/>
  <c r="K48" i="1"/>
  <c r="P48" i="1" s="1"/>
  <c r="K47" i="1"/>
  <c r="P47" i="1" s="1"/>
  <c r="S47" i="1" s="1"/>
  <c r="T47" i="1" s="1"/>
  <c r="K35" i="1"/>
  <c r="K26" i="1"/>
  <c r="P26" i="1" s="1"/>
  <c r="K30" i="1"/>
  <c r="P30" i="1" s="1"/>
  <c r="S30" i="1" s="1"/>
  <c r="T30" i="1" s="1"/>
  <c r="J23" i="1"/>
  <c r="J38" i="1"/>
  <c r="S38" i="1" s="1"/>
  <c r="T38" i="1" s="1"/>
  <c r="J47" i="1"/>
  <c r="J16" i="1"/>
  <c r="J31" i="1"/>
  <c r="J46" i="1"/>
  <c r="J22" i="1"/>
  <c r="J42" i="1"/>
  <c r="J8" i="1"/>
  <c r="J51" i="1"/>
  <c r="J10" i="1"/>
  <c r="S10" i="1" s="1"/>
  <c r="T10" i="1" s="1"/>
  <c r="J48" i="1"/>
  <c r="J35" i="1"/>
  <c r="S35" i="1" s="1"/>
  <c r="T35" i="1" s="1"/>
  <c r="J30" i="1"/>
  <c r="E16" i="1"/>
  <c r="L16" i="1" s="1"/>
  <c r="E28" i="1"/>
  <c r="L28" i="1" s="1"/>
  <c r="E31" i="1"/>
  <c r="L31" i="1" s="1"/>
  <c r="E46" i="1"/>
  <c r="L46" i="1" s="1"/>
  <c r="E45" i="1"/>
  <c r="L45" i="1" s="1"/>
  <c r="E15" i="1"/>
  <c r="L15" i="1" s="1"/>
  <c r="E22" i="1"/>
  <c r="L22" i="1" s="1"/>
  <c r="E23" i="1"/>
  <c r="E42" i="1"/>
  <c r="L42" i="1" s="1"/>
  <c r="E38" i="1"/>
  <c r="L38" i="1" s="1"/>
  <c r="E8" i="1"/>
  <c r="L8" i="1" s="1"/>
  <c r="E18" i="1"/>
  <c r="E21" i="1"/>
  <c r="L21" i="1" s="1"/>
  <c r="E20" i="1"/>
  <c r="L20" i="1" s="1"/>
  <c r="E51" i="1"/>
  <c r="L51" i="1" s="1"/>
  <c r="E52" i="1"/>
  <c r="E10" i="1"/>
  <c r="L10" i="1" s="1"/>
  <c r="E9" i="1"/>
  <c r="L9" i="1" s="1"/>
  <c r="E27" i="1"/>
  <c r="L27" i="1" s="1"/>
  <c r="E36" i="1"/>
  <c r="E33" i="1"/>
  <c r="L33" i="1" s="1"/>
  <c r="E29" i="1"/>
  <c r="E48" i="1"/>
  <c r="L48" i="1" s="1"/>
  <c r="E47" i="1"/>
  <c r="L47" i="1" s="1"/>
  <c r="E35" i="1"/>
  <c r="L35" i="1" s="1"/>
  <c r="E26" i="1"/>
  <c r="L26" i="1" s="1"/>
  <c r="E30" i="1"/>
  <c r="L30" i="1" s="1"/>
  <c r="K44" i="1"/>
  <c r="P44" i="1" s="1"/>
  <c r="E44" i="1"/>
  <c r="L44" i="1" s="1"/>
  <c r="K41" i="1"/>
  <c r="P41" i="1" s="1"/>
  <c r="E41" i="1"/>
  <c r="L41" i="1" s="1"/>
  <c r="K43" i="1"/>
  <c r="E43" i="1"/>
  <c r="L43" i="1" s="1"/>
  <c r="K49" i="1"/>
  <c r="P49" i="1" s="1"/>
  <c r="E49" i="1"/>
  <c r="L49" i="1" s="1"/>
  <c r="K7" i="1"/>
  <c r="P7" i="1" s="1"/>
  <c r="E7" i="1"/>
  <c r="L7" i="1" s="1"/>
  <c r="K17" i="1"/>
  <c r="E17" i="1"/>
  <c r="L17" i="1" s="1"/>
  <c r="K6" i="1"/>
  <c r="P6" i="1" s="1"/>
  <c r="E6" i="1"/>
  <c r="L6" i="1" s="1"/>
  <c r="K5" i="1"/>
  <c r="J5" i="1"/>
  <c r="E5" i="1"/>
  <c r="L5" i="1" s="1"/>
  <c r="K19" i="1"/>
  <c r="P19" i="1" s="1"/>
  <c r="E19" i="1"/>
  <c r="L19" i="1" s="1"/>
  <c r="K3" i="1"/>
  <c r="P3" i="1" s="1"/>
  <c r="E3" i="1"/>
  <c r="L3" i="1" s="1"/>
  <c r="K53" i="1"/>
  <c r="P53" i="1" s="1"/>
  <c r="E53" i="1"/>
  <c r="L53" i="1" s="1"/>
  <c r="K32" i="1"/>
  <c r="J32" i="1"/>
  <c r="E32" i="1"/>
  <c r="L32" i="1" s="1"/>
  <c r="K12" i="1"/>
  <c r="P12" i="1" s="1"/>
  <c r="E12" i="1"/>
  <c r="L12" i="1" s="1"/>
  <c r="L11" i="1"/>
  <c r="K11" i="1"/>
  <c r="P11" i="1" s="1"/>
  <c r="J11" i="1"/>
  <c r="S11" i="1" s="1"/>
  <c r="T11" i="1" s="1"/>
  <c r="E11" i="1"/>
  <c r="K14" i="1"/>
  <c r="P14" i="1" s="1"/>
  <c r="E14" i="1"/>
  <c r="L14" i="1" s="1"/>
  <c r="K39" i="1"/>
  <c r="E39" i="1"/>
  <c r="L39" i="1" s="1"/>
  <c r="K40" i="1"/>
  <c r="P40" i="1" s="1"/>
  <c r="J40" i="1"/>
  <c r="E40" i="1"/>
  <c r="L40" i="1" s="1"/>
  <c r="L34" i="1"/>
  <c r="K34" i="1"/>
  <c r="P34" i="1" s="1"/>
  <c r="J34" i="1"/>
  <c r="E34" i="1"/>
  <c r="K13" i="1"/>
  <c r="P13" i="1" s="1"/>
  <c r="E13" i="1"/>
  <c r="L13" i="1" s="1"/>
  <c r="K37" i="1"/>
  <c r="E37" i="1"/>
  <c r="L37" i="1" s="1"/>
  <c r="L24" i="1"/>
  <c r="K24" i="1"/>
  <c r="P24" i="1" s="1"/>
  <c r="E24" i="1"/>
  <c r="K50" i="1"/>
  <c r="P50" i="1" s="1"/>
  <c r="J50" i="1"/>
  <c r="S50" i="1" s="1"/>
  <c r="T50" i="1" s="1"/>
  <c r="E50" i="1"/>
  <c r="L50" i="1" s="1"/>
  <c r="S14" i="1" l="1"/>
  <c r="T14" i="1" s="1"/>
  <c r="S3" i="1"/>
  <c r="T3" i="1" s="1"/>
  <c r="S52" i="1"/>
  <c r="T52" i="1" s="1"/>
  <c r="S13" i="1"/>
  <c r="T13" i="1" s="1"/>
  <c r="S29" i="1"/>
  <c r="T29" i="1" s="1"/>
  <c r="S46" i="1"/>
  <c r="T46" i="1" s="1"/>
  <c r="S37" i="1"/>
  <c r="T37" i="1" s="1"/>
  <c r="S49" i="1"/>
  <c r="T49" i="1" s="1"/>
  <c r="S33" i="1"/>
  <c r="T33" i="1" s="1"/>
  <c r="S40" i="1"/>
  <c r="T40" i="1" s="1"/>
  <c r="S34" i="1"/>
  <c r="T34" i="1" s="1"/>
  <c r="S41" i="1"/>
  <c r="T41" i="1" s="1"/>
  <c r="S19" i="1"/>
  <c r="T19" i="1" s="1"/>
  <c r="S44" i="1"/>
  <c r="T44" i="1" s="1"/>
  <c r="S36" i="1"/>
  <c r="T36" i="1" s="1"/>
  <c r="S18" i="1"/>
  <c r="T18" i="1" s="1"/>
  <c r="S53" i="1"/>
  <c r="T53" i="1" s="1"/>
  <c r="S21" i="1"/>
  <c r="T21" i="1" s="1"/>
  <c r="S9" i="1"/>
  <c r="T9" i="1" s="1"/>
  <c r="S23" i="1"/>
  <c r="T23" i="1" s="1"/>
  <c r="S45" i="1"/>
  <c r="T45" i="1" s="1"/>
  <c r="S43" i="1"/>
  <c r="T43" i="1" s="1"/>
  <c r="S20" i="1"/>
  <c r="T20" i="1" s="1"/>
  <c r="S27" i="1"/>
  <c r="T27" i="1" s="1"/>
  <c r="S48" i="1"/>
  <c r="T48" i="1" s="1"/>
  <c r="S15" i="1"/>
  <c r="T15" i="1" s="1"/>
  <c r="S51" i="1"/>
  <c r="T51" i="1" s="1"/>
  <c r="S32" i="1"/>
  <c r="T32" i="1" s="1"/>
  <c r="S5" i="1"/>
  <c r="T5" i="1" s="1"/>
  <c r="S39" i="1"/>
  <c r="T39" i="1" s="1"/>
  <c r="S6" i="1"/>
  <c r="T6" i="1" s="1"/>
  <c r="S24" i="1"/>
  <c r="T24" i="1" s="1"/>
  <c r="S12" i="1"/>
  <c r="T12" i="1" s="1"/>
  <c r="S7" i="1"/>
  <c r="T7" i="1" s="1"/>
  <c r="Q25" i="1"/>
  <c r="O24" i="1"/>
  <c r="K25" i="1"/>
  <c r="P25" i="1" s="1"/>
  <c r="J25" i="1"/>
  <c r="S25" i="1" s="1"/>
  <c r="T25" i="1" s="1"/>
  <c r="E25" i="1"/>
  <c r="L25" i="1" s="1"/>
  <c r="R25" i="1" l="1"/>
</calcChain>
</file>

<file path=xl/sharedStrings.xml><?xml version="1.0" encoding="utf-8"?>
<sst xmlns="http://schemas.openxmlformats.org/spreadsheetml/2006/main" count="27" uniqueCount="27">
  <si>
    <t>Sample</t>
  </si>
  <si>
    <t>Chamber used</t>
  </si>
  <si>
    <t>T (sleeve thickness, cm)</t>
  </si>
  <si>
    <t>D exterior (cm)</t>
  </si>
  <si>
    <t>Chamber length (cm)</t>
  </si>
  <si>
    <t>D stem (cm)</t>
  </si>
  <si>
    <t>Circumference tree (cm)</t>
  </si>
  <si>
    <t>Stem periphery</t>
  </si>
  <si>
    <t>K</t>
  </si>
  <si>
    <t>R stem (cm)</t>
  </si>
  <si>
    <t>R ext (cm)</t>
  </si>
  <si>
    <t>V stem (cm3)</t>
  </si>
  <si>
    <t>V ext (cm3)</t>
  </si>
  <si>
    <t>Two V wedges (cm3)</t>
  </si>
  <si>
    <t>Vc</t>
  </si>
  <si>
    <t>Swedges (cm2)</t>
  </si>
  <si>
    <t>Sstem (cm2)</t>
  </si>
  <si>
    <t>Sc (m2)</t>
  </si>
  <si>
    <t>Sc (cm2)</t>
  </si>
  <si>
    <t>Upland dead ACRU</t>
  </si>
  <si>
    <t>Intermediate dead BELE</t>
  </si>
  <si>
    <t>Intermediate dead TSCA</t>
  </si>
  <si>
    <t>Wetland dead BEAL</t>
  </si>
  <si>
    <t>Wetland dead FRAM</t>
  </si>
  <si>
    <t>Wetland dead ACRU</t>
  </si>
  <si>
    <t>No tag</t>
  </si>
  <si>
    <t>Chamber height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</si>
</sst>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0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tabSelected="1" workbookViewId="0">
      <pane xSplit="2370" ySplit="1170" topLeftCell="Q28" activePane="bottomRight"/>
      <selection activeCell="H9" sqref="H2:H9"/>
      <selection pane="topRight" activeCell="G1" sqref="G1"/>
      <selection pane="bottomLeft" activeCell="A48" sqref="A48"/>
      <selection pane="bottomRight" activeCell="T31" sqref="T31"/>
    </sheetView>
  </sheetViews>
  <sheetFormatPr defaultRowHeight="14.5" x14ac:dyDescent="0.35"/>
  <cols>
    <col min="1" max="1" width="17.6328125" style="3" customWidth="1"/>
    <col min="2" max="2" width="9.36328125" customWidth="1"/>
    <col min="3" max="3" width="9" customWidth="1"/>
  </cols>
  <sheetData>
    <row r="1" spans="1:20" s="7" customFormat="1" ht="44" thickBot="1" x14ac:dyDescent="0.4">
      <c r="A1" s="6" t="s">
        <v>0</v>
      </c>
      <c r="B1" s="7" t="s">
        <v>1</v>
      </c>
      <c r="C1" s="7" t="s">
        <v>5</v>
      </c>
      <c r="D1" s="7" t="s">
        <v>2</v>
      </c>
      <c r="E1" s="7" t="s">
        <v>3</v>
      </c>
      <c r="F1" s="7" t="s">
        <v>6</v>
      </c>
      <c r="G1" s="7" t="s">
        <v>4</v>
      </c>
      <c r="H1" s="7" t="s">
        <v>26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16</v>
      </c>
      <c r="Q1" s="7" t="s">
        <v>15</v>
      </c>
      <c r="R1" s="7" t="s">
        <v>14</v>
      </c>
      <c r="S1" s="7" t="s">
        <v>18</v>
      </c>
      <c r="T1" s="7" t="s">
        <v>17</v>
      </c>
    </row>
    <row r="2" spans="1:20" x14ac:dyDescent="0.35">
      <c r="A2" s="3">
        <v>853</v>
      </c>
      <c r="B2">
        <v>3</v>
      </c>
      <c r="C2">
        <v>50.1</v>
      </c>
      <c r="D2">
        <v>1.4</v>
      </c>
      <c r="E2">
        <f>C2+(2*D2)</f>
        <v>52.9</v>
      </c>
      <c r="F2">
        <f>3.14159*C2</f>
        <v>157.39365899999999</v>
      </c>
      <c r="G2">
        <v>160</v>
      </c>
      <c r="H2">
        <v>39.799999999999997</v>
      </c>
      <c r="I2">
        <f>3.14159*(C2+(2*D2))</f>
        <v>166.190111</v>
      </c>
      <c r="J2">
        <f>G2/I2</f>
        <v>0.96275283190586469</v>
      </c>
      <c r="K2">
        <f>C2*0.5</f>
        <v>25.05</v>
      </c>
      <c r="L2">
        <f>E2*0.5</f>
        <v>26.45</v>
      </c>
      <c r="O2">
        <f>2*30.9*3.5*1.4</f>
        <v>302.81999999999994</v>
      </c>
      <c r="P2">
        <f>2*3.14159*K2*H2+(2*3.14159*(K2^2))</f>
        <v>10206.978786149999</v>
      </c>
      <c r="Q2">
        <f>(2*30.9*3.5)</f>
        <v>216.29999999999998</v>
      </c>
      <c r="S2">
        <f>(J2*P2)-Q2</f>
        <v>9610.4977315689976</v>
      </c>
      <c r="T2">
        <f>S2/10000</f>
        <v>0.96104977315689977</v>
      </c>
    </row>
    <row r="3" spans="1:20" x14ac:dyDescent="0.35">
      <c r="A3" s="3">
        <v>970</v>
      </c>
      <c r="B3">
        <v>1</v>
      </c>
      <c r="C3">
        <v>27.6</v>
      </c>
      <c r="D3">
        <v>1.4</v>
      </c>
      <c r="E3">
        <f>C3+(2*D3)</f>
        <v>30.400000000000002</v>
      </c>
      <c r="F3">
        <f>3.14159*C3</f>
        <v>86.707884000000007</v>
      </c>
      <c r="G3">
        <v>122.5</v>
      </c>
      <c r="H3">
        <v>42.4</v>
      </c>
      <c r="I3">
        <f>3.14159*(C3+(2*D3))</f>
        <v>95.504336000000009</v>
      </c>
      <c r="J3">
        <f>G3/I3</f>
        <v>1.2826642761015583</v>
      </c>
      <c r="K3">
        <f>C3*0.5</f>
        <v>13.8</v>
      </c>
      <c r="L3">
        <f>E3*0.5</f>
        <v>15.200000000000001</v>
      </c>
      <c r="O3">
        <f>(1.4*4*35)*2</f>
        <v>392</v>
      </c>
      <c r="P3">
        <f>2*3.14159*K3*H3+(2*3.14159*(K3^2))</f>
        <v>4872.9830808000006</v>
      </c>
      <c r="Q3">
        <f>(2*35*4)</f>
        <v>280</v>
      </c>
      <c r="S3">
        <f>(J3*P3)-Q3</f>
        <v>5970.4013157894742</v>
      </c>
      <c r="T3">
        <f>S3/10000</f>
        <v>0.59704013157894742</v>
      </c>
    </row>
    <row r="4" spans="1:20" x14ac:dyDescent="0.35">
      <c r="A4" s="3">
        <v>970</v>
      </c>
      <c r="B4">
        <v>1</v>
      </c>
      <c r="C4">
        <v>28.2</v>
      </c>
      <c r="D4">
        <v>1.4</v>
      </c>
      <c r="E4">
        <f>C4+(2*D4)</f>
        <v>31</v>
      </c>
      <c r="F4">
        <f>3.14159*C4</f>
        <v>88.592838</v>
      </c>
      <c r="G4">
        <v>122.5</v>
      </c>
      <c r="H4">
        <v>42.4</v>
      </c>
      <c r="I4">
        <f>3.14159*(C4+(2*D4))</f>
        <v>97.389290000000003</v>
      </c>
      <c r="J4">
        <f>G4/I4</f>
        <v>1.2578385159189476</v>
      </c>
      <c r="K4">
        <f>C4*0.5</f>
        <v>14.1</v>
      </c>
      <c r="L4">
        <f>E4*0.5</f>
        <v>15.5</v>
      </c>
      <c r="O4">
        <f>(1.4*4*35)*2</f>
        <v>392</v>
      </c>
      <c r="P4">
        <f>2*3.14159*K4*H4+(2*3.14159*(K4^2))</f>
        <v>5005.495347</v>
      </c>
      <c r="Q4">
        <f>(2*35*4)</f>
        <v>280</v>
      </c>
      <c r="S4">
        <f>(J4*P4)-Q4</f>
        <v>6016.104838709678</v>
      </c>
      <c r="T4">
        <f>S4/10000</f>
        <v>0.60161048387096783</v>
      </c>
    </row>
    <row r="5" spans="1:20" x14ac:dyDescent="0.35">
      <c r="A5" s="3">
        <v>1133</v>
      </c>
      <c r="B5">
        <v>1</v>
      </c>
      <c r="C5">
        <v>31</v>
      </c>
      <c r="D5">
        <v>1.4</v>
      </c>
      <c r="E5">
        <f>C5+(2*D5)</f>
        <v>33.799999999999997</v>
      </c>
      <c r="F5">
        <f>3.14159*C5</f>
        <v>97.389290000000003</v>
      </c>
      <c r="G5">
        <v>122.5</v>
      </c>
      <c r="H5">
        <v>42.4</v>
      </c>
      <c r="I5">
        <f>3.14159*(C5+(2*D5))</f>
        <v>106.18574199999999</v>
      </c>
      <c r="J5">
        <f>G5/I5</f>
        <v>1.1536388755469638</v>
      </c>
      <c r="K5">
        <f>C5*0.5</f>
        <v>15.5</v>
      </c>
      <c r="L5">
        <f>E5*0.5</f>
        <v>16.899999999999999</v>
      </c>
      <c r="O5">
        <f>(1.4*4*35)*2</f>
        <v>392</v>
      </c>
      <c r="P5">
        <f>2*3.14159*K5*H5+(2*3.14159*(K5^2))</f>
        <v>5638.8398909999996</v>
      </c>
      <c r="Q5">
        <f>(2*35*4)</f>
        <v>280</v>
      </c>
      <c r="S5">
        <f>(J5*P5)-Q5</f>
        <v>6225.1849112426034</v>
      </c>
      <c r="T5">
        <f>S5/10000</f>
        <v>0.62251849112426039</v>
      </c>
    </row>
    <row r="6" spans="1:20" x14ac:dyDescent="0.35">
      <c r="A6" s="3">
        <v>1134</v>
      </c>
      <c r="B6">
        <v>1</v>
      </c>
      <c r="C6">
        <v>44.7</v>
      </c>
      <c r="D6">
        <v>1.4</v>
      </c>
      <c r="E6">
        <f>C6+(2*D6)</f>
        <v>47.5</v>
      </c>
      <c r="F6">
        <f>3.14159*C6</f>
        <v>140.42907300000002</v>
      </c>
      <c r="G6">
        <v>122.5</v>
      </c>
      <c r="H6">
        <v>42.4</v>
      </c>
      <c r="I6">
        <f>3.14159*(C6+(2*D6))</f>
        <v>149.225525</v>
      </c>
      <c r="J6">
        <f>G6/I6</f>
        <v>0.82090513670499732</v>
      </c>
      <c r="K6">
        <f>C6*0.5</f>
        <v>22.35</v>
      </c>
      <c r="L6">
        <f>E6*0.5</f>
        <v>23.75</v>
      </c>
      <c r="O6">
        <f>(1.4*4*35)*2</f>
        <v>392</v>
      </c>
      <c r="P6">
        <f>2*3.14159*K6*H6+(2*3.14159*(K6^2))</f>
        <v>9092.7824767500006</v>
      </c>
      <c r="Q6">
        <f>(2*35*4)</f>
        <v>280</v>
      </c>
      <c r="S6">
        <f>(J6*P6)-Q6</f>
        <v>7184.3118421052632</v>
      </c>
      <c r="T6">
        <f>S6/10000</f>
        <v>0.71843118421052632</v>
      </c>
    </row>
    <row r="7" spans="1:20" x14ac:dyDescent="0.35">
      <c r="A7" s="3">
        <v>1550</v>
      </c>
      <c r="B7">
        <v>1</v>
      </c>
      <c r="C7">
        <v>32.200000000000003</v>
      </c>
      <c r="D7">
        <v>1.4</v>
      </c>
      <c r="E7">
        <f>C7+(2*D7)</f>
        <v>35</v>
      </c>
      <c r="F7">
        <f>3.14159*C7</f>
        <v>101.159198</v>
      </c>
      <c r="G7">
        <v>122.5</v>
      </c>
      <c r="H7">
        <v>42.4</v>
      </c>
      <c r="I7">
        <f>3.14159*(C7+(2*D7))</f>
        <v>109.95564999999999</v>
      </c>
      <c r="J7">
        <f>G7/I7</f>
        <v>1.1140855426710679</v>
      </c>
      <c r="K7">
        <f>C7*0.5</f>
        <v>16.100000000000001</v>
      </c>
      <c r="L7">
        <f>E7*0.5</f>
        <v>17.5</v>
      </c>
      <c r="O7">
        <f>(1.4*4*35)*2</f>
        <v>392</v>
      </c>
      <c r="P7">
        <f>2*3.14159*K7*H7+(2*3.14159*(K7^2))</f>
        <v>5917.8130830000009</v>
      </c>
      <c r="Q7">
        <f>(2*35*4)</f>
        <v>280</v>
      </c>
      <c r="S7">
        <f>(J7*P7)-Q7</f>
        <v>6312.9500000000007</v>
      </c>
      <c r="T7">
        <f>S7/10000</f>
        <v>0.63129500000000005</v>
      </c>
    </row>
    <row r="8" spans="1:20" x14ac:dyDescent="0.35">
      <c r="A8" s="3">
        <v>1550</v>
      </c>
      <c r="B8">
        <v>2</v>
      </c>
      <c r="C8">
        <v>32.200000000000003</v>
      </c>
      <c r="D8">
        <v>1.4</v>
      </c>
      <c r="E8">
        <f>C8+(2*D8)</f>
        <v>35</v>
      </c>
      <c r="F8">
        <f>3.14159*C8</f>
        <v>101.159198</v>
      </c>
      <c r="G8">
        <v>119.8</v>
      </c>
      <c r="H8">
        <v>44</v>
      </c>
      <c r="I8">
        <f>3.14159*(C8+(2*D8))</f>
        <v>109.95564999999999</v>
      </c>
      <c r="J8">
        <f>G8/I8</f>
        <v>1.0895301878530117</v>
      </c>
      <c r="K8">
        <f>C8*0.5</f>
        <v>16.100000000000001</v>
      </c>
      <c r="L8">
        <f>E8*0.5</f>
        <v>17.5</v>
      </c>
      <c r="O8">
        <f>2*36*2.8*1.4</f>
        <v>282.23999999999995</v>
      </c>
      <c r="P8">
        <f>2*3.14159*K8*H8+(2*3.14159*(K8^2))</f>
        <v>6079.6677997999996</v>
      </c>
      <c r="Q8">
        <f>(2*36*2.8)</f>
        <v>201.6</v>
      </c>
      <c r="S8">
        <f>(J8*P8)-Q8</f>
        <v>6422.3815999999997</v>
      </c>
      <c r="T8">
        <f>S8/10000</f>
        <v>0.64223816</v>
      </c>
    </row>
    <row r="9" spans="1:20" x14ac:dyDescent="0.35">
      <c r="A9" s="2">
        <v>1637</v>
      </c>
      <c r="B9">
        <v>2</v>
      </c>
      <c r="C9">
        <v>35.799999999999997</v>
      </c>
      <c r="D9">
        <v>1.4</v>
      </c>
      <c r="E9">
        <f>C9+(2*D9)</f>
        <v>38.599999999999994</v>
      </c>
      <c r="F9">
        <f>3.14159*C9</f>
        <v>112.46892199999999</v>
      </c>
      <c r="G9">
        <v>119.8</v>
      </c>
      <c r="H9">
        <v>44</v>
      </c>
      <c r="I9">
        <f>3.14159*(C9+(2*D9))</f>
        <v>121.26537399999998</v>
      </c>
      <c r="J9">
        <f>G9/I9</f>
        <v>0.98791597344185011</v>
      </c>
      <c r="K9">
        <f>C9*0.5</f>
        <v>17.899999999999999</v>
      </c>
      <c r="L9">
        <f>E9*0.5</f>
        <v>19.299999999999997</v>
      </c>
      <c r="O9">
        <f>2*36*2.8*1.4</f>
        <v>282.23999999999995</v>
      </c>
      <c r="P9">
        <f>2*3.14159*K9*H9+(2*3.14159*(K9^2))</f>
        <v>6961.8262717999996</v>
      </c>
      <c r="Q9">
        <f>(2*36*2.8)</f>
        <v>201.6</v>
      </c>
      <c r="S9">
        <f>(J9*P9)-Q9</f>
        <v>6676.0993782383421</v>
      </c>
      <c r="T9">
        <f>S9/10000</f>
        <v>0.66760993782383415</v>
      </c>
    </row>
    <row r="10" spans="1:20" x14ac:dyDescent="0.35">
      <c r="A10" s="2">
        <v>1640</v>
      </c>
      <c r="B10">
        <v>2</v>
      </c>
      <c r="C10">
        <v>39</v>
      </c>
      <c r="D10">
        <v>1.4</v>
      </c>
      <c r="E10">
        <f>C10+(2*D10)</f>
        <v>41.8</v>
      </c>
      <c r="F10">
        <f>3.14159*C10</f>
        <v>122.52200999999999</v>
      </c>
      <c r="G10">
        <v>119.8</v>
      </c>
      <c r="H10">
        <v>44</v>
      </c>
      <c r="I10">
        <f>3.14159*(C10+(2*D10))</f>
        <v>131.31846199999998</v>
      </c>
      <c r="J10">
        <f>G10/I10</f>
        <v>0.91228604246065581</v>
      </c>
      <c r="K10">
        <f>C10*0.5</f>
        <v>19.5</v>
      </c>
      <c r="L10">
        <f>E10*0.5</f>
        <v>20.9</v>
      </c>
      <c r="O10">
        <f>2*36*2.8*1.4</f>
        <v>282.23999999999995</v>
      </c>
      <c r="P10">
        <f>2*3.14159*K10*H10+(2*3.14159*(K10^2))</f>
        <v>7780.1476349999994</v>
      </c>
      <c r="Q10">
        <f>(2*36*2.8)</f>
        <v>201.6</v>
      </c>
      <c r="S10">
        <f>(J10*P10)-Q10</f>
        <v>6896.1200956937801</v>
      </c>
      <c r="T10">
        <f>S10/10000</f>
        <v>0.68961200956937796</v>
      </c>
    </row>
    <row r="11" spans="1:20" x14ac:dyDescent="0.35">
      <c r="A11" s="1">
        <v>1641</v>
      </c>
      <c r="B11">
        <v>1</v>
      </c>
      <c r="C11">
        <v>41.3</v>
      </c>
      <c r="D11">
        <v>1.4</v>
      </c>
      <c r="E11">
        <f>C11+(2*D11)</f>
        <v>44.099999999999994</v>
      </c>
      <c r="F11">
        <f>3.14159*C11</f>
        <v>129.74766699999998</v>
      </c>
      <c r="G11">
        <v>122.5</v>
      </c>
      <c r="H11">
        <v>42.4</v>
      </c>
      <c r="I11">
        <f>3.14159*(C11+(2*D11))</f>
        <v>138.54411899999997</v>
      </c>
      <c r="J11">
        <f>G11/I11</f>
        <v>0.88419487513576833</v>
      </c>
      <c r="K11">
        <f>C11*0.5</f>
        <v>20.65</v>
      </c>
      <c r="L11">
        <f>E11*0.5</f>
        <v>22.049999999999997</v>
      </c>
      <c r="O11">
        <f>(1.4*4*35)*2</f>
        <v>392</v>
      </c>
      <c r="P11">
        <f>2*3.14159*K11*H11+(2*3.14159*(K11^2))</f>
        <v>8180.5904043499986</v>
      </c>
      <c r="Q11">
        <f>(2*35*4)</f>
        <v>280</v>
      </c>
      <c r="S11">
        <f>(J11*P11)-Q11</f>
        <v>6953.2361111111113</v>
      </c>
      <c r="T11">
        <f>S11/10000</f>
        <v>0.69532361111111118</v>
      </c>
    </row>
    <row r="12" spans="1:20" x14ac:dyDescent="0.35">
      <c r="A12" s="1">
        <v>1830</v>
      </c>
      <c r="B12">
        <v>1</v>
      </c>
      <c r="C12">
        <v>35</v>
      </c>
      <c r="D12">
        <v>1.4</v>
      </c>
      <c r="E12">
        <f>C12+(2*D12)</f>
        <v>37.799999999999997</v>
      </c>
      <c r="F12">
        <f>3.14159*C12</f>
        <v>109.95564999999999</v>
      </c>
      <c r="G12">
        <v>122.5</v>
      </c>
      <c r="H12">
        <v>42.4</v>
      </c>
      <c r="I12">
        <f>3.14159*(C12+(2*D12))</f>
        <v>118.75210199999999</v>
      </c>
      <c r="J12">
        <f>G12/I12</f>
        <v>1.0315606876583963</v>
      </c>
      <c r="K12">
        <f>C12*0.5</f>
        <v>17.5</v>
      </c>
      <c r="L12">
        <f>E12*0.5</f>
        <v>18.899999999999999</v>
      </c>
      <c r="O12">
        <f>(1.4*4*35)*2</f>
        <v>392</v>
      </c>
      <c r="P12">
        <f>2*3.14159*K12*H12+(2*3.14159*(K12^2))</f>
        <v>6586.3434349999989</v>
      </c>
      <c r="Q12">
        <f>(2*35*4)</f>
        <v>280</v>
      </c>
      <c r="S12">
        <f>(J12*P12)-Q12</f>
        <v>6514.2129629629626</v>
      </c>
      <c r="T12">
        <f>S12/10000</f>
        <v>0.6514212962962963</v>
      </c>
    </row>
    <row r="13" spans="1:20" x14ac:dyDescent="0.35">
      <c r="A13" s="1">
        <v>1885</v>
      </c>
      <c r="B13">
        <v>1</v>
      </c>
      <c r="C13">
        <v>34.700000000000003</v>
      </c>
      <c r="D13">
        <v>1.4</v>
      </c>
      <c r="E13">
        <f>C13+(2*D13)</f>
        <v>37.5</v>
      </c>
      <c r="F13">
        <f>3.14159*C13</f>
        <v>109.01317300000001</v>
      </c>
      <c r="G13">
        <v>122.5</v>
      </c>
      <c r="H13">
        <v>42.4</v>
      </c>
      <c r="I13">
        <f>3.14159*(C13+(2*D13))</f>
        <v>117.809625</v>
      </c>
      <c r="J13">
        <f>G13/I13</f>
        <v>1.0398131731596634</v>
      </c>
      <c r="K13">
        <f>C13*0.5</f>
        <v>17.350000000000001</v>
      </c>
      <c r="L13">
        <f>E13*0.5</f>
        <v>18.75</v>
      </c>
      <c r="O13">
        <f>(1.4*4*35)*2</f>
        <v>392</v>
      </c>
      <c r="P13">
        <f>2*3.14159*K13*H13+(2*3.14159*(K13^2))</f>
        <v>6513.5370867500005</v>
      </c>
      <c r="Q13">
        <f>(2*35*4)</f>
        <v>280</v>
      </c>
      <c r="S13">
        <f>(J13*P13)-Q13</f>
        <v>6492.8616666666676</v>
      </c>
      <c r="T13">
        <f>S13/10000</f>
        <v>0.64928616666666672</v>
      </c>
    </row>
    <row r="14" spans="1:20" x14ac:dyDescent="0.35">
      <c r="A14" s="1">
        <v>1926</v>
      </c>
      <c r="B14">
        <v>1</v>
      </c>
      <c r="C14">
        <v>43.3</v>
      </c>
      <c r="D14">
        <v>1.4</v>
      </c>
      <c r="E14">
        <f>C14+(2*D14)</f>
        <v>46.099999999999994</v>
      </c>
      <c r="F14">
        <f>3.14159*C14</f>
        <v>136.03084699999999</v>
      </c>
      <c r="G14">
        <v>122.5</v>
      </c>
      <c r="H14">
        <v>42.4</v>
      </c>
      <c r="I14">
        <f>3.14159*(C14+(2*D14))</f>
        <v>144.82729899999998</v>
      </c>
      <c r="J14">
        <f>G14/I14</f>
        <v>0.84583501070471534</v>
      </c>
      <c r="K14">
        <f>C14*0.5</f>
        <v>21.65</v>
      </c>
      <c r="L14">
        <f>E14*0.5</f>
        <v>23.049999999999997</v>
      </c>
      <c r="O14">
        <f>(1.4*4*35)*2</f>
        <v>392</v>
      </c>
      <c r="P14">
        <f>2*3.14159*K14*H14+(2*3.14159*(K14^2))</f>
        <v>8712.7757503499997</v>
      </c>
      <c r="Q14">
        <f>(2*35*4)</f>
        <v>280</v>
      </c>
      <c r="S14">
        <f>(J14*P14)-Q14</f>
        <v>7089.5707700650764</v>
      </c>
      <c r="T14">
        <f>S14/10000</f>
        <v>0.70895707700650767</v>
      </c>
    </row>
    <row r="15" spans="1:20" x14ac:dyDescent="0.35">
      <c r="A15" s="3">
        <v>3325</v>
      </c>
      <c r="B15">
        <v>3</v>
      </c>
      <c r="C15">
        <v>46.5</v>
      </c>
      <c r="D15">
        <v>1.4</v>
      </c>
      <c r="E15">
        <f>C15+(2*D15)</f>
        <v>49.3</v>
      </c>
      <c r="F15">
        <f>3.14159*C15</f>
        <v>146.083935</v>
      </c>
      <c r="G15">
        <v>160</v>
      </c>
      <c r="H15">
        <v>39.799999999999997</v>
      </c>
      <c r="I15">
        <f>3.14159*(C15+(2*D15))</f>
        <v>154.88038699999998</v>
      </c>
      <c r="J15">
        <f>G15/I15</f>
        <v>1.033055269935502</v>
      </c>
      <c r="K15">
        <f>C15*0.5</f>
        <v>23.25</v>
      </c>
      <c r="L15">
        <f>E15*0.5</f>
        <v>24.65</v>
      </c>
      <c r="O15">
        <f>2*30.9*3.5*1.4</f>
        <v>302.81999999999994</v>
      </c>
      <c r="P15">
        <f>2*3.14159*K15*H15+(2*3.14159*(K15^2))</f>
        <v>9210.5921017500004</v>
      </c>
      <c r="Q15">
        <f>(2*30.9*3.5)</f>
        <v>216.29999999999998</v>
      </c>
      <c r="S15">
        <f>(J15*P15)-Q15</f>
        <v>9298.7507099391496</v>
      </c>
      <c r="T15">
        <f>S15/10000</f>
        <v>0.92987507099391498</v>
      </c>
    </row>
    <row r="16" spans="1:20" x14ac:dyDescent="0.35">
      <c r="A16" s="3">
        <v>3354</v>
      </c>
      <c r="B16">
        <v>4</v>
      </c>
      <c r="C16">
        <v>59.5</v>
      </c>
      <c r="D16">
        <v>1.4</v>
      </c>
      <c r="E16">
        <f>C16+(2*D16)</f>
        <v>62.3</v>
      </c>
      <c r="F16">
        <f>3.14159*C16</f>
        <v>186.92460499999999</v>
      </c>
      <c r="G16">
        <v>188.5</v>
      </c>
      <c r="H16">
        <v>39.200000000000003</v>
      </c>
      <c r="I16">
        <f>3.14159*(C16+(2*D16))</f>
        <v>195.72105699999997</v>
      </c>
      <c r="J16">
        <f>G16/I16</f>
        <v>0.96310536479475495</v>
      </c>
      <c r="K16">
        <f>C16*0.5</f>
        <v>29.75</v>
      </c>
      <c r="L16">
        <f>E16*0.5</f>
        <v>31.15</v>
      </c>
      <c r="O16">
        <f>2*31*3.45*1.4</f>
        <v>299.45999999999998</v>
      </c>
      <c r="P16">
        <f>2*3.14159*K16*H16+(2*3.14159*(K16^2))</f>
        <v>12888.451514749999</v>
      </c>
      <c r="Q16">
        <f>(2*31*3.45)</f>
        <v>213.9</v>
      </c>
      <c r="S16">
        <f>(J16*P16)-Q16</f>
        <v>12199.036797752809</v>
      </c>
      <c r="T16">
        <f>S16/10000</f>
        <v>1.2199036797752809</v>
      </c>
    </row>
    <row r="17" spans="1:20" x14ac:dyDescent="0.35">
      <c r="A17" s="3">
        <v>3355</v>
      </c>
      <c r="B17">
        <v>1</v>
      </c>
      <c r="C17">
        <v>29.8</v>
      </c>
      <c r="D17">
        <v>1.4</v>
      </c>
      <c r="E17">
        <f>C17+(2*D17)</f>
        <v>32.6</v>
      </c>
      <c r="F17">
        <f>3.14159*C17</f>
        <v>93.619382000000002</v>
      </c>
      <c r="G17">
        <v>122.5</v>
      </c>
      <c r="H17">
        <v>42.4</v>
      </c>
      <c r="I17">
        <f>3.14159*(C17+(2*D17))</f>
        <v>102.415834</v>
      </c>
      <c r="J17">
        <f>G17/I17</f>
        <v>1.1961041102296741</v>
      </c>
      <c r="K17">
        <f>C17*0.5</f>
        <v>14.9</v>
      </c>
      <c r="L17">
        <f>E17*0.5</f>
        <v>16.3</v>
      </c>
      <c r="O17">
        <f>(1.4*4*35)*2</f>
        <v>392</v>
      </c>
      <c r="P17">
        <f>2*3.14159*K17*H17+(2*3.14159*(K17^2))</f>
        <v>5364.3905885999993</v>
      </c>
      <c r="Q17">
        <f>(2*35*4)</f>
        <v>280</v>
      </c>
      <c r="S17">
        <f>(J17*P17)-Q17</f>
        <v>6136.36963190184</v>
      </c>
      <c r="T17">
        <f>S17/10000</f>
        <v>0.61363696319018401</v>
      </c>
    </row>
    <row r="18" spans="1:20" x14ac:dyDescent="0.35">
      <c r="A18" s="3">
        <v>3359</v>
      </c>
      <c r="B18">
        <v>2</v>
      </c>
      <c r="C18">
        <v>30</v>
      </c>
      <c r="D18">
        <v>1.4</v>
      </c>
      <c r="E18">
        <f>C18+(2*D18)</f>
        <v>32.799999999999997</v>
      </c>
      <c r="F18">
        <f>3.14159*C18</f>
        <v>94.247699999999995</v>
      </c>
      <c r="G18">
        <v>119.8</v>
      </c>
      <c r="H18">
        <v>44</v>
      </c>
      <c r="I18">
        <f>3.14159*(C18+(2*D18))</f>
        <v>103.04415199999998</v>
      </c>
      <c r="J18">
        <f>G18/I18</f>
        <v>1.1626084321602259</v>
      </c>
      <c r="K18">
        <f>C18*0.5</f>
        <v>15</v>
      </c>
      <c r="L18">
        <f>E18*0.5</f>
        <v>16.399999999999999</v>
      </c>
      <c r="O18">
        <f>2*36*2.8*1.4</f>
        <v>282.23999999999995</v>
      </c>
      <c r="P18">
        <f>2*3.14159*K18*H18+(2*3.14159*(K18^2))</f>
        <v>5560.6143000000002</v>
      </c>
      <c r="Q18">
        <f>(2*36*2.8)</f>
        <v>201.6</v>
      </c>
      <c r="S18">
        <f>(J18*P18)-Q18</f>
        <v>6263.217073170732</v>
      </c>
      <c r="T18">
        <f>S18/10000</f>
        <v>0.62632170731707315</v>
      </c>
    </row>
    <row r="19" spans="1:20" x14ac:dyDescent="0.35">
      <c r="A19" s="3">
        <v>3533</v>
      </c>
      <c r="B19">
        <v>1</v>
      </c>
      <c r="C19">
        <v>40.9</v>
      </c>
      <c r="D19">
        <v>1.4</v>
      </c>
      <c r="E19">
        <f>C19+(2*D19)</f>
        <v>43.699999999999996</v>
      </c>
      <c r="F19">
        <f>3.14159*C19</f>
        <v>128.49103099999999</v>
      </c>
      <c r="G19">
        <v>122.5</v>
      </c>
      <c r="H19">
        <v>42.4</v>
      </c>
      <c r="I19">
        <f>3.14159*(C19+(2*D19))</f>
        <v>137.28748299999998</v>
      </c>
      <c r="J19">
        <f>G19/I19</f>
        <v>0.89228819207064947</v>
      </c>
      <c r="K19">
        <f>C19*0.5</f>
        <v>20.45</v>
      </c>
      <c r="L19">
        <f>E19*0.5</f>
        <v>21.849999999999998</v>
      </c>
      <c r="O19">
        <f>(1.4*4*35)*2</f>
        <v>392</v>
      </c>
      <c r="P19">
        <f>2*3.14159*K19*H19+(2*3.14159*(K19^2))</f>
        <v>8075.6612983499999</v>
      </c>
      <c r="Q19">
        <f>(2*35*4)</f>
        <v>280</v>
      </c>
      <c r="S19">
        <f>(J19*P19)-Q19</f>
        <v>6925.8172196796349</v>
      </c>
      <c r="T19">
        <f>S19/10000</f>
        <v>0.69258172196796353</v>
      </c>
    </row>
    <row r="20" spans="1:20" x14ac:dyDescent="0.35">
      <c r="A20" s="3">
        <v>3533</v>
      </c>
      <c r="B20">
        <v>2</v>
      </c>
      <c r="C20">
        <v>39.6</v>
      </c>
      <c r="D20">
        <v>1.4</v>
      </c>
      <c r="E20">
        <f>C20+(2*D20)</f>
        <v>42.4</v>
      </c>
      <c r="F20">
        <f>3.14159*C20</f>
        <v>124.406964</v>
      </c>
      <c r="G20">
        <v>119.8</v>
      </c>
      <c r="H20">
        <v>44</v>
      </c>
      <c r="I20">
        <f>3.14159*(C20+(2*D20))</f>
        <v>133.203416</v>
      </c>
      <c r="J20">
        <f>G20/I20</f>
        <v>0.89937633431262753</v>
      </c>
      <c r="K20">
        <f>C20*0.5</f>
        <v>19.8</v>
      </c>
      <c r="L20">
        <f>E20*0.5</f>
        <v>21.2</v>
      </c>
      <c r="O20">
        <f>2*36*2.8*1.4</f>
        <v>282.23999999999995</v>
      </c>
      <c r="P20">
        <f>2*3.14159*K20*H20+(2*3.14159*(K20^2))</f>
        <v>7937.1643031999993</v>
      </c>
      <c r="Q20">
        <f>(2*36*2.8)</f>
        <v>201.6</v>
      </c>
      <c r="S20">
        <f>(J20*P20)-Q20</f>
        <v>6936.8977358490556</v>
      </c>
      <c r="T20">
        <f>S20/10000</f>
        <v>0.69368977358490558</v>
      </c>
    </row>
    <row r="21" spans="1:20" x14ac:dyDescent="0.35">
      <c r="A21" s="3">
        <v>3533</v>
      </c>
      <c r="B21">
        <v>2</v>
      </c>
      <c r="C21">
        <v>39.6</v>
      </c>
      <c r="D21">
        <v>1.4</v>
      </c>
      <c r="E21">
        <f>C21+(2*D21)</f>
        <v>42.4</v>
      </c>
      <c r="F21">
        <f>3.14159*C21</f>
        <v>124.406964</v>
      </c>
      <c r="G21">
        <v>119.8</v>
      </c>
      <c r="H21">
        <v>44</v>
      </c>
      <c r="I21">
        <f>3.14159*(C21+(2*D21))</f>
        <v>133.203416</v>
      </c>
      <c r="J21">
        <f>G21/I21</f>
        <v>0.89937633431262753</v>
      </c>
      <c r="K21">
        <f>C21*0.5</f>
        <v>19.8</v>
      </c>
      <c r="L21">
        <f>E21*0.5</f>
        <v>21.2</v>
      </c>
      <c r="O21">
        <f>2*36*2.8*1.4</f>
        <v>282.23999999999995</v>
      </c>
      <c r="P21">
        <f>2*3.14159*K21*H21+(2*3.14159*(K21^2))</f>
        <v>7937.1643031999993</v>
      </c>
      <c r="Q21">
        <f>(2*36*2.8)</f>
        <v>201.6</v>
      </c>
      <c r="S21">
        <f>(J21*P21)-Q21</f>
        <v>6936.8977358490556</v>
      </c>
      <c r="T21">
        <f>S21/10000</f>
        <v>0.69368977358490558</v>
      </c>
    </row>
    <row r="22" spans="1:20" x14ac:dyDescent="0.35">
      <c r="A22" s="3">
        <v>3564</v>
      </c>
      <c r="B22">
        <v>3</v>
      </c>
      <c r="C22">
        <v>52.1</v>
      </c>
      <c r="D22">
        <v>1.4</v>
      </c>
      <c r="E22">
        <f>C22+(2*D22)</f>
        <v>54.9</v>
      </c>
      <c r="F22">
        <f>3.14159*C22</f>
        <v>163.676839</v>
      </c>
      <c r="G22">
        <v>160</v>
      </c>
      <c r="H22">
        <v>39.799999999999997</v>
      </c>
      <c r="I22">
        <f>3.14159*(C22+(2*D22))</f>
        <v>172.47329099999999</v>
      </c>
      <c r="J22">
        <f>G22/I22</f>
        <v>0.92767986899490429</v>
      </c>
      <c r="K22">
        <f>C22*0.5</f>
        <v>26.05</v>
      </c>
      <c r="L22">
        <f>E22*0.5</f>
        <v>27.45</v>
      </c>
      <c r="O22">
        <f>2*30.9*3.5*1.4</f>
        <v>302.81999999999994</v>
      </c>
      <c r="P22">
        <f>2*3.14159*K22*H22+(2*3.14159*(K22^2))</f>
        <v>10778.11984815</v>
      </c>
      <c r="Q22">
        <f>(2*30.9*3.5)</f>
        <v>216.29999999999998</v>
      </c>
      <c r="S22">
        <f>(J22*P22)-Q22</f>
        <v>9782.3448087431698</v>
      </c>
      <c r="T22">
        <f>S22/10000</f>
        <v>0.97823448087431697</v>
      </c>
    </row>
    <row r="23" spans="1:20" x14ac:dyDescent="0.35">
      <c r="A23" s="3">
        <v>3589</v>
      </c>
      <c r="B23">
        <v>3</v>
      </c>
      <c r="C23">
        <v>48</v>
      </c>
      <c r="D23">
        <v>1.4</v>
      </c>
      <c r="E23">
        <f>C23+(2*D23)</f>
        <v>50.8</v>
      </c>
      <c r="F23">
        <f>3.14159*C23</f>
        <v>150.79631999999998</v>
      </c>
      <c r="G23">
        <v>160</v>
      </c>
      <c r="H23">
        <v>39.799999999999997</v>
      </c>
      <c r="I23">
        <f>3.14159*(C23+(2*D23))</f>
        <v>159.592772</v>
      </c>
      <c r="J23">
        <f>G23/I23</f>
        <v>1.0025516694452805</v>
      </c>
      <c r="K23">
        <f>C23*0.5</f>
        <v>24</v>
      </c>
      <c r="L23">
        <f>E23*0.5</f>
        <v>25.4</v>
      </c>
      <c r="O23">
        <f>2*30.9*3.5*1.4</f>
        <v>302.81999999999994</v>
      </c>
      <c r="P23">
        <f>2*3.14159*K23*H23+(2*3.14159*(K23^2))</f>
        <v>9620.8052159999988</v>
      </c>
      <c r="Q23">
        <f>(2*30.9*3.5)</f>
        <v>216.29999999999998</v>
      </c>
      <c r="S23">
        <f>(J23*P23)-Q23</f>
        <v>9429.0543307086627</v>
      </c>
      <c r="T23">
        <f>S23/10000</f>
        <v>0.94290543307086627</v>
      </c>
    </row>
    <row r="24" spans="1:20" x14ac:dyDescent="0.35">
      <c r="A24" s="1">
        <v>4103</v>
      </c>
      <c r="B24">
        <v>1</v>
      </c>
      <c r="C24">
        <v>34</v>
      </c>
      <c r="D24">
        <v>1.4</v>
      </c>
      <c r="E24">
        <f>C24+(2*D24)</f>
        <v>36.799999999999997</v>
      </c>
      <c r="F24">
        <f>3.14159*C24</f>
        <v>106.81406</v>
      </c>
      <c r="G24">
        <v>122.5</v>
      </c>
      <c r="H24">
        <v>42.4</v>
      </c>
      <c r="I24">
        <f>3.14159*(C24+(2*D24))</f>
        <v>115.61051199999999</v>
      </c>
      <c r="J24">
        <f>G24/I24</f>
        <v>1.0595922280838961</v>
      </c>
      <c r="K24">
        <f>C24*0.5</f>
        <v>17</v>
      </c>
      <c r="L24">
        <f>E24*0.5</f>
        <v>18.399999999999999</v>
      </c>
      <c r="O24">
        <f>(1.4*4*35)*2</f>
        <v>392</v>
      </c>
      <c r="P24">
        <f>2*3.14159*K24*H24+(2*3.14159*(K24^2))</f>
        <v>6344.7551640000001</v>
      </c>
      <c r="Q24">
        <f>(2*35*4)</f>
        <v>280</v>
      </c>
      <c r="S24">
        <f>(J24*P24)-Q24</f>
        <v>6442.8532608695659</v>
      </c>
      <c r="T24">
        <f>S24/10000</f>
        <v>0.64428532608695654</v>
      </c>
    </row>
    <row r="25" spans="1:20" x14ac:dyDescent="0.35">
      <c r="A25" s="3">
        <v>4156</v>
      </c>
      <c r="B25">
        <v>1</v>
      </c>
      <c r="C25">
        <v>35.5</v>
      </c>
      <c r="D25">
        <v>1.4</v>
      </c>
      <c r="E25">
        <f>C25+(2*D25)</f>
        <v>38.299999999999997</v>
      </c>
      <c r="F25">
        <f>3.14159*C25</f>
        <v>111.526445</v>
      </c>
      <c r="G25">
        <v>122.5</v>
      </c>
      <c r="H25">
        <v>42.4</v>
      </c>
      <c r="I25">
        <f>3.14159*(C25+(2*D25))</f>
        <v>120.32289699999998</v>
      </c>
      <c r="J25">
        <f>G25/I25</f>
        <v>1.0180938379500621</v>
      </c>
      <c r="K25">
        <f>C25*0.5</f>
        <v>17.75</v>
      </c>
      <c r="L25">
        <f>E25*0.5</f>
        <v>19.149999999999999</v>
      </c>
      <c r="M25">
        <v>41769.480000000003</v>
      </c>
      <c r="N25">
        <v>48618.31</v>
      </c>
      <c r="O25">
        <f>(1.4*4*35)*2</f>
        <v>392</v>
      </c>
      <c r="P25">
        <f>2*3.14159*K25*H25+(2*3.14159*(K25^2))</f>
        <v>6708.3156667499989</v>
      </c>
      <c r="Q25">
        <f>(2*35*4)</f>
        <v>280</v>
      </c>
      <c r="R25">
        <f>(J25*(N25-M25)) - O27</f>
        <v>6690.5116201675191</v>
      </c>
      <c r="S25">
        <f>(J25*P25)-Q25</f>
        <v>6549.6948433420366</v>
      </c>
      <c r="T25">
        <f>S25/10000</f>
        <v>0.65496948433420366</v>
      </c>
    </row>
    <row r="26" spans="1:20" x14ac:dyDescent="0.35">
      <c r="A26" s="1">
        <v>4181</v>
      </c>
      <c r="B26">
        <v>2</v>
      </c>
      <c r="C26">
        <v>26</v>
      </c>
      <c r="D26">
        <v>1.4</v>
      </c>
      <c r="E26">
        <f>C26+(2*D26)</f>
        <v>28.8</v>
      </c>
      <c r="F26">
        <f>3.14159*C26</f>
        <v>81.681339999999992</v>
      </c>
      <c r="G26">
        <v>119.8</v>
      </c>
      <c r="H26">
        <v>44</v>
      </c>
      <c r="I26">
        <f>3.14159*(C26+(2*D26))</f>
        <v>90.477791999999994</v>
      </c>
      <c r="J26">
        <f>G26/I26</f>
        <v>1.3240818255158129</v>
      </c>
      <c r="K26">
        <f>C26*0.5</f>
        <v>13</v>
      </c>
      <c r="L26">
        <f>E26*0.5</f>
        <v>14.4</v>
      </c>
      <c r="O26">
        <f>2*36*2.8*1.4</f>
        <v>282.23999999999995</v>
      </c>
      <c r="P26">
        <f>2*3.14159*K26*H26+(2*3.14159*(K26^2))</f>
        <v>4655.8363799999997</v>
      </c>
      <c r="Q26">
        <f>(2*36*2.8)</f>
        <v>201.6</v>
      </c>
      <c r="S26">
        <f>(J26*P26)-Q26</f>
        <v>5963.1083333333336</v>
      </c>
      <c r="T26">
        <f>S26/10000</f>
        <v>0.59631083333333335</v>
      </c>
    </row>
    <row r="27" spans="1:20" x14ac:dyDescent="0.35">
      <c r="A27" s="1">
        <v>4190</v>
      </c>
      <c r="B27">
        <v>2</v>
      </c>
      <c r="C27">
        <v>25</v>
      </c>
      <c r="D27">
        <v>1.4</v>
      </c>
      <c r="E27">
        <f>C27+(2*D27)</f>
        <v>27.8</v>
      </c>
      <c r="F27">
        <f>3.14159*C27</f>
        <v>78.539749999999998</v>
      </c>
      <c r="G27">
        <v>119.8</v>
      </c>
      <c r="H27">
        <v>44</v>
      </c>
      <c r="I27">
        <f>3.14159*(C27+(2*D27))</f>
        <v>87.336202</v>
      </c>
      <c r="J27">
        <f>G27/I27</f>
        <v>1.3717106681602664</v>
      </c>
      <c r="K27">
        <f>C27*0.5</f>
        <v>12.5</v>
      </c>
      <c r="L27">
        <f>E27*0.5</f>
        <v>13.9</v>
      </c>
      <c r="O27">
        <f>2*36*2.8*1.4</f>
        <v>282.23999999999995</v>
      </c>
      <c r="P27">
        <f>2*3.14159*K27*H27+(2*3.14159*(K27^2))</f>
        <v>4437.4958749999996</v>
      </c>
      <c r="Q27">
        <f>(2*36*2.8)</f>
        <v>201.6</v>
      </c>
      <c r="S27">
        <f>(J27*P27)-Q27</f>
        <v>5885.3604316546753</v>
      </c>
      <c r="T27">
        <f>S27/10000</f>
        <v>0.58853604316546748</v>
      </c>
    </row>
    <row r="28" spans="1:20" ht="13.5" customHeight="1" x14ac:dyDescent="0.35">
      <c r="A28" s="1">
        <v>4246</v>
      </c>
      <c r="B28">
        <v>4</v>
      </c>
      <c r="C28">
        <v>59.3</v>
      </c>
      <c r="D28">
        <v>1.4</v>
      </c>
      <c r="E28">
        <f>C28+(2*D28)</f>
        <v>62.099999999999994</v>
      </c>
      <c r="F28">
        <f>3.14159*C28</f>
        <v>186.29628699999998</v>
      </c>
      <c r="G28">
        <v>188.5</v>
      </c>
      <c r="H28">
        <v>39.200000000000003</v>
      </c>
      <c r="I28">
        <f>3.14159*(C28+(2*D28))</f>
        <v>195.09273899999997</v>
      </c>
      <c r="J28">
        <f>G28/I28</f>
        <v>0.9662071534092308</v>
      </c>
      <c r="K28">
        <f>C28*0.5</f>
        <v>29.65</v>
      </c>
      <c r="L28">
        <f>E28*0.5</f>
        <v>31.049999999999997</v>
      </c>
      <c r="O28">
        <f>2*31*3.45*1.4</f>
        <v>299.45999999999998</v>
      </c>
      <c r="P28">
        <f>2*3.14159*K28*H28+(2*3.14159*(K28^2))</f>
        <v>12826.499359949998</v>
      </c>
      <c r="Q28">
        <f>(2*31*3.45)</f>
        <v>213.9</v>
      </c>
      <c r="S28">
        <f>(J28*P28)-Q28</f>
        <v>12179.155434782608</v>
      </c>
      <c r="T28">
        <f>S28/10000</f>
        <v>1.2179155434782607</v>
      </c>
    </row>
    <row r="29" spans="1:20" ht="15.5" x14ac:dyDescent="0.35">
      <c r="A29" s="5">
        <v>4261</v>
      </c>
      <c r="B29">
        <v>2</v>
      </c>
      <c r="C29">
        <v>43.2</v>
      </c>
      <c r="D29">
        <v>1.4</v>
      </c>
      <c r="E29">
        <f>C29+(2*D29)</f>
        <v>46</v>
      </c>
      <c r="F29">
        <f>3.14159*C29</f>
        <v>135.716688</v>
      </c>
      <c r="G29">
        <v>119.8</v>
      </c>
      <c r="H29">
        <v>44</v>
      </c>
      <c r="I29">
        <f>3.14159*(C29+(2*D29))</f>
        <v>144.51313999999999</v>
      </c>
      <c r="J29">
        <f>G29/I29</f>
        <v>0.82899036032294371</v>
      </c>
      <c r="K29">
        <f>C29*0.5</f>
        <v>21.6</v>
      </c>
      <c r="L29">
        <f>E29*0.5</f>
        <v>23</v>
      </c>
      <c r="O29">
        <f>2*36*2.8*1.4</f>
        <v>282.23999999999995</v>
      </c>
      <c r="P29">
        <f>2*3.14159*K29*H29+(2*3.14159*(K29^2))</f>
        <v>8903.0147328000003</v>
      </c>
      <c r="Q29">
        <f>(2*36*2.8)</f>
        <v>201.6</v>
      </c>
      <c r="S29">
        <f>(J29*P29)-Q29</f>
        <v>7178.9133913043479</v>
      </c>
      <c r="T29">
        <f>S29/10000</f>
        <v>0.71789133913043479</v>
      </c>
    </row>
    <row r="30" spans="1:20" x14ac:dyDescent="0.35">
      <c r="A30" s="1">
        <v>4295</v>
      </c>
      <c r="B30">
        <v>2</v>
      </c>
      <c r="C30">
        <v>33.799999999999997</v>
      </c>
      <c r="D30">
        <v>1.4</v>
      </c>
      <c r="E30">
        <f>C30+(2*D30)</f>
        <v>36.599999999999994</v>
      </c>
      <c r="F30">
        <f>3.14159*C30</f>
        <v>106.18574199999999</v>
      </c>
      <c r="G30">
        <v>119.8</v>
      </c>
      <c r="H30">
        <v>44</v>
      </c>
      <c r="I30">
        <f>3.14159*(C30+(2*D30))</f>
        <v>114.98219399999998</v>
      </c>
      <c r="J30">
        <f>G30/I30</f>
        <v>1.0419004528649021</v>
      </c>
      <c r="K30">
        <f>C30*0.5</f>
        <v>16.899999999999999</v>
      </c>
      <c r="L30">
        <f>E30*0.5</f>
        <v>18.299999999999997</v>
      </c>
      <c r="O30">
        <f>2*36*2.8*1.4</f>
        <v>282.23999999999995</v>
      </c>
      <c r="P30">
        <f>2*3.14159*K30*H30+(2*3.14159*(K30^2))</f>
        <v>6466.7116877999997</v>
      </c>
      <c r="Q30">
        <f>(2*36*2.8)</f>
        <v>201.6</v>
      </c>
      <c r="S30">
        <f>(J30*P30)-Q30</f>
        <v>6536.0698360655742</v>
      </c>
      <c r="T30">
        <f>S30/10000</f>
        <v>0.65360698360655745</v>
      </c>
    </row>
    <row r="31" spans="1:20" x14ac:dyDescent="0.35">
      <c r="A31" s="3">
        <v>4783</v>
      </c>
      <c r="B31">
        <v>3</v>
      </c>
      <c r="C31">
        <v>55</v>
      </c>
      <c r="D31">
        <v>1.4</v>
      </c>
      <c r="E31">
        <f>C31+(2*D31)</f>
        <v>57.8</v>
      </c>
      <c r="F31">
        <f>3.14159*C31</f>
        <v>172.78745000000001</v>
      </c>
      <c r="G31">
        <v>160</v>
      </c>
      <c r="H31">
        <v>39.799999999999997</v>
      </c>
      <c r="I31">
        <f>3.14159*(C31+(2*D31))</f>
        <v>181.58390199999999</v>
      </c>
      <c r="J31">
        <f>G31/I31</f>
        <v>0.88113537729792812</v>
      </c>
      <c r="K31">
        <f>C31*0.5</f>
        <v>27.5</v>
      </c>
      <c r="L31">
        <f>E31*0.5</f>
        <v>28.9</v>
      </c>
      <c r="O31">
        <f>2*30.9*3.5*1.4</f>
        <v>302.81999999999994</v>
      </c>
      <c r="P31">
        <f>2*3.14159*K31*H31+(2*3.14159*(K31^2))</f>
        <v>11628.595385000001</v>
      </c>
      <c r="Q31">
        <f>(2*30.9*3.5)</f>
        <v>216.29999999999998</v>
      </c>
      <c r="S31">
        <f>(J31*P31)-Q31</f>
        <v>10030.066782006921</v>
      </c>
      <c r="T31">
        <f>S31/10000</f>
        <v>1.0030066782006921</v>
      </c>
    </row>
    <row r="32" spans="1:20" x14ac:dyDescent="0.35">
      <c r="A32" s="1">
        <v>4797</v>
      </c>
      <c r="B32">
        <v>1</v>
      </c>
      <c r="C32">
        <v>32.1</v>
      </c>
      <c r="D32">
        <v>1.4</v>
      </c>
      <c r="E32">
        <f>C32+(2*D32)</f>
        <v>34.9</v>
      </c>
      <c r="F32">
        <f>3.14159*C32</f>
        <v>100.845039</v>
      </c>
      <c r="G32">
        <v>122.5</v>
      </c>
      <c r="H32">
        <v>42.4</v>
      </c>
      <c r="I32">
        <f>3.14159*(C32+(2*D32))</f>
        <v>109.64149099999999</v>
      </c>
      <c r="J32">
        <f>G32/I32</f>
        <v>1.1172777648563719</v>
      </c>
      <c r="K32">
        <f>C32*0.5</f>
        <v>16.05</v>
      </c>
      <c r="L32">
        <f>E32*0.5</f>
        <v>17.45</v>
      </c>
      <c r="O32">
        <f>(1.4*4*35)*2</f>
        <v>392</v>
      </c>
      <c r="P32">
        <f>2*3.14159*K32*H32+(2*3.14159*(K32^2))</f>
        <v>5894.3925295499994</v>
      </c>
      <c r="Q32">
        <f>(2*35*4)</f>
        <v>280</v>
      </c>
      <c r="S32">
        <f>(J32*P32)-Q32</f>
        <v>6305.673710601719</v>
      </c>
      <c r="T32">
        <f>S32/10000</f>
        <v>0.63056737106017191</v>
      </c>
    </row>
    <row r="33" spans="1:20" x14ac:dyDescent="0.35">
      <c r="A33" s="1">
        <v>5078</v>
      </c>
      <c r="B33">
        <v>2</v>
      </c>
      <c r="C33">
        <v>37</v>
      </c>
      <c r="D33">
        <v>1.4</v>
      </c>
      <c r="E33">
        <f>C33+(2*D33)</f>
        <v>39.799999999999997</v>
      </c>
      <c r="F33">
        <f>3.14159*C33</f>
        <v>116.23882999999999</v>
      </c>
      <c r="G33">
        <v>119.8</v>
      </c>
      <c r="H33">
        <v>44</v>
      </c>
      <c r="I33">
        <f>3.14159*(C33+(2*D33))</f>
        <v>125.03528199999998</v>
      </c>
      <c r="J33">
        <f>G33/I33</f>
        <v>0.95812956218229683</v>
      </c>
      <c r="K33">
        <f>C33*0.5</f>
        <v>18.5</v>
      </c>
      <c r="L33">
        <f>E33*0.5</f>
        <v>19.899999999999999</v>
      </c>
      <c r="O33">
        <f>2*36*2.8*1.4</f>
        <v>282.23999999999995</v>
      </c>
      <c r="P33">
        <f>2*3.14159*K33*H33+(2*3.14159*(K33^2))</f>
        <v>7264.9268749999992</v>
      </c>
      <c r="Q33">
        <f>(2*36*2.8)</f>
        <v>201.6</v>
      </c>
      <c r="S33">
        <f>(J33*P33)-Q33</f>
        <v>6759.1412060301509</v>
      </c>
      <c r="T33">
        <f>S33/10000</f>
        <v>0.67591412060301514</v>
      </c>
    </row>
    <row r="34" spans="1:20" x14ac:dyDescent="0.35">
      <c r="A34" s="1">
        <v>5086</v>
      </c>
      <c r="B34">
        <v>1</v>
      </c>
      <c r="C34">
        <v>42.5</v>
      </c>
      <c r="D34">
        <v>1.4</v>
      </c>
      <c r="E34">
        <f>C34+(2*D34)</f>
        <v>45.3</v>
      </c>
      <c r="F34">
        <f>3.14159*C34</f>
        <v>133.51757499999999</v>
      </c>
      <c r="G34">
        <v>122.5</v>
      </c>
      <c r="H34">
        <v>42.4</v>
      </c>
      <c r="I34">
        <f>3.14159*(C34+(2*D34))</f>
        <v>142.31402699999998</v>
      </c>
      <c r="J34">
        <f>G34/I34</f>
        <v>0.86077249433746972</v>
      </c>
      <c r="K34">
        <f>C34*0.5</f>
        <v>21.25</v>
      </c>
      <c r="L34">
        <f>E34*0.5</f>
        <v>22.65</v>
      </c>
      <c r="O34">
        <f>(1.4*4*35)*2</f>
        <v>392</v>
      </c>
      <c r="P34">
        <f>2*3.14159*K34*H34+(2*3.14159*(K34^2))</f>
        <v>8498.3936487499996</v>
      </c>
      <c r="Q34">
        <f>(2*35*4)</f>
        <v>280</v>
      </c>
      <c r="S34">
        <f>(J34*P34)-Q34</f>
        <v>7035.1834988962473</v>
      </c>
      <c r="T34">
        <f>S34/10000</f>
        <v>0.70351834988962469</v>
      </c>
    </row>
    <row r="35" spans="1:20" x14ac:dyDescent="0.35">
      <c r="A35" s="1">
        <v>5091</v>
      </c>
      <c r="B35">
        <v>2</v>
      </c>
      <c r="C35">
        <v>29.7</v>
      </c>
      <c r="D35">
        <v>1.4</v>
      </c>
      <c r="E35">
        <f>C35+(2*D35)</f>
        <v>32.5</v>
      </c>
      <c r="F35">
        <f>3.14159*C35</f>
        <v>93.305222999999998</v>
      </c>
      <c r="G35">
        <v>119.8</v>
      </c>
      <c r="H35">
        <v>44</v>
      </c>
      <c r="I35">
        <f>3.14159*(C35+(2*D35))</f>
        <v>102.101675</v>
      </c>
      <c r="J35">
        <f>G35/I35</f>
        <v>1.1733402023032433</v>
      </c>
      <c r="K35">
        <f>C35*0.5</f>
        <v>14.85</v>
      </c>
      <c r="L35">
        <f>E35*0.5</f>
        <v>16.25</v>
      </c>
      <c r="O35">
        <f>2*36*2.8*1.4</f>
        <v>282.23999999999995</v>
      </c>
      <c r="P35">
        <f>2*3.14159*K35*H35+(2*3.14159*(K35^2))</f>
        <v>5491.0123735500001</v>
      </c>
      <c r="Q35">
        <f>(2*36*2.8)</f>
        <v>201.6</v>
      </c>
      <c r="S35">
        <f>(J35*P35)-Q35</f>
        <v>6241.225569230769</v>
      </c>
      <c r="T35">
        <f>S35/10000</f>
        <v>0.62412255692307694</v>
      </c>
    </row>
    <row r="36" spans="1:20" x14ac:dyDescent="0.35">
      <c r="A36" s="1">
        <v>5092</v>
      </c>
      <c r="B36">
        <v>2</v>
      </c>
      <c r="C36">
        <v>36</v>
      </c>
      <c r="D36">
        <v>1.4</v>
      </c>
      <c r="E36">
        <f>C36+(2*D36)</f>
        <v>38.799999999999997</v>
      </c>
      <c r="F36">
        <f>3.14159*C36</f>
        <v>113.09724</v>
      </c>
      <c r="G36">
        <v>119.8</v>
      </c>
      <c r="H36">
        <v>44</v>
      </c>
      <c r="I36">
        <f>3.14159*(C36+(2*D36))</f>
        <v>121.89369199999999</v>
      </c>
      <c r="J36">
        <f>G36/I36</f>
        <v>0.98282362306328375</v>
      </c>
      <c r="K36">
        <f>C36*0.5</f>
        <v>18</v>
      </c>
      <c r="L36">
        <f>E36*0.5</f>
        <v>19.399999999999999</v>
      </c>
      <c r="O36">
        <f>2*36*2.8*1.4</f>
        <v>282.23999999999995</v>
      </c>
      <c r="P36">
        <f>2*3.14159*K36*H36+(2*3.14159*(K36^2))</f>
        <v>7012.0288799999998</v>
      </c>
      <c r="Q36">
        <f>(2*36*2.8)</f>
        <v>201.6</v>
      </c>
      <c r="S36">
        <f>(J36*P36)-Q36</f>
        <v>6689.9876288659789</v>
      </c>
      <c r="T36">
        <f>S36/10000</f>
        <v>0.66899876288659788</v>
      </c>
    </row>
    <row r="37" spans="1:20" x14ac:dyDescent="0.35">
      <c r="A37" s="1">
        <v>5099</v>
      </c>
      <c r="B37">
        <v>1</v>
      </c>
      <c r="C37">
        <v>33.799999999999997</v>
      </c>
      <c r="D37">
        <v>1.4</v>
      </c>
      <c r="E37">
        <f>C37+(2*D37)</f>
        <v>36.599999999999994</v>
      </c>
      <c r="F37">
        <f>3.14159*C37</f>
        <v>106.18574199999999</v>
      </c>
      <c r="G37">
        <v>122.5</v>
      </c>
      <c r="H37">
        <v>42.4</v>
      </c>
      <c r="I37">
        <f>3.14159*(C37+(2*D37))</f>
        <v>114.98219399999998</v>
      </c>
      <c r="J37">
        <f>G37/I37</f>
        <v>1.0653823495488355</v>
      </c>
      <c r="K37">
        <f>C37*0.5</f>
        <v>16.899999999999999</v>
      </c>
      <c r="L37">
        <f>E37*0.5</f>
        <v>18.299999999999997</v>
      </c>
      <c r="O37">
        <f>(1.4*4*35)*2</f>
        <v>392</v>
      </c>
      <c r="P37">
        <f>2*3.14159*K37*H37+(2*3.14159*(K37^2))</f>
        <v>6296.8145005999995</v>
      </c>
      <c r="Q37">
        <f>(2*35*4)</f>
        <v>280</v>
      </c>
      <c r="S37">
        <f>(J37*P37)-Q37</f>
        <v>6428.5150273224044</v>
      </c>
      <c r="T37">
        <f>S37/10000</f>
        <v>0.64285150273224045</v>
      </c>
    </row>
    <row r="38" spans="1:20" x14ac:dyDescent="0.35">
      <c r="A38" s="3">
        <v>6326</v>
      </c>
      <c r="B38">
        <v>2</v>
      </c>
      <c r="C38">
        <v>35</v>
      </c>
      <c r="D38">
        <v>1.4</v>
      </c>
      <c r="E38">
        <f>C38+(2*D38)</f>
        <v>37.799999999999997</v>
      </c>
      <c r="F38">
        <f>3.14159*C38</f>
        <v>109.95564999999999</v>
      </c>
      <c r="G38">
        <v>119.8</v>
      </c>
      <c r="H38">
        <v>44</v>
      </c>
      <c r="I38">
        <f>3.14159*(C38+(2*D38))</f>
        <v>118.75210199999999</v>
      </c>
      <c r="J38">
        <f>G38/I38</f>
        <v>1.008824248012048</v>
      </c>
      <c r="K38">
        <f>C38*0.5</f>
        <v>17.5</v>
      </c>
      <c r="L38">
        <f>E38*0.5</f>
        <v>18.899999999999999</v>
      </c>
      <c r="O38">
        <f>2*36*2.8*1.4</f>
        <v>282.23999999999995</v>
      </c>
      <c r="P38">
        <f>2*3.14159*K38*H38+(2*3.14159*(K38^2))</f>
        <v>6762.2724749999998</v>
      </c>
      <c r="Q38">
        <f>(2*36*2.8)</f>
        <v>201.6</v>
      </c>
      <c r="S38">
        <f>(J38*P38)-Q38</f>
        <v>6620.3444444444449</v>
      </c>
      <c r="T38">
        <f>S38/10000</f>
        <v>0.66203444444444448</v>
      </c>
    </row>
    <row r="39" spans="1:20" x14ac:dyDescent="0.35">
      <c r="A39" s="1">
        <v>6371</v>
      </c>
      <c r="B39">
        <v>1</v>
      </c>
      <c r="C39">
        <v>45.3</v>
      </c>
      <c r="D39">
        <v>1.4</v>
      </c>
      <c r="E39">
        <f>C39+(2*D39)</f>
        <v>48.099999999999994</v>
      </c>
      <c r="F39">
        <f>3.14159*C39</f>
        <v>142.31402699999998</v>
      </c>
      <c r="G39">
        <v>122.5</v>
      </c>
      <c r="H39">
        <v>42.4</v>
      </c>
      <c r="I39">
        <f>3.14159*(C39+(2*D39))</f>
        <v>151.11047899999997</v>
      </c>
      <c r="J39">
        <f>G39/I39</f>
        <v>0.81066515578975851</v>
      </c>
      <c r="K39">
        <f>C39*0.5</f>
        <v>22.65</v>
      </c>
      <c r="L39">
        <f>E39*0.5</f>
        <v>24.049999999999997</v>
      </c>
      <c r="O39">
        <f>(1.4*4*35)*2</f>
        <v>392</v>
      </c>
      <c r="P39">
        <f>2*3.14159*K39*H39+(2*3.14159*(K39^2))</f>
        <v>9257.5274563499988</v>
      </c>
      <c r="Q39">
        <f>(2*35*4)</f>
        <v>280</v>
      </c>
      <c r="S39">
        <f>(J39*P39)-Q39</f>
        <v>7224.7549376299385</v>
      </c>
      <c r="T39">
        <f>S39/10000</f>
        <v>0.7224754937629938</v>
      </c>
    </row>
    <row r="40" spans="1:20" x14ac:dyDescent="0.35">
      <c r="A40" s="1">
        <v>6393</v>
      </c>
      <c r="B40">
        <v>1</v>
      </c>
      <c r="C40">
        <v>37.6</v>
      </c>
      <c r="D40">
        <v>1.4</v>
      </c>
      <c r="E40">
        <f>C40+(2*D40)</f>
        <v>40.4</v>
      </c>
      <c r="F40">
        <f>3.14159*C40</f>
        <v>118.123784</v>
      </c>
      <c r="G40">
        <v>122.5</v>
      </c>
      <c r="H40">
        <v>42.4</v>
      </c>
      <c r="I40">
        <f>3.14159*(C40+(2*D40))</f>
        <v>126.92023599999999</v>
      </c>
      <c r="J40">
        <f>G40/I40</f>
        <v>0.96517311865067767</v>
      </c>
      <c r="K40">
        <f>C40*0.5</f>
        <v>18.8</v>
      </c>
      <c r="L40">
        <f>E40*0.5</f>
        <v>20.2</v>
      </c>
      <c r="O40">
        <f>(1.4*4*35)*2</f>
        <v>392</v>
      </c>
      <c r="P40">
        <f>2*3.14159*K40*H40+(2*3.14159*(K40^2))</f>
        <v>7229.1755807999998</v>
      </c>
      <c r="Q40">
        <f>(2*35*4)</f>
        <v>280</v>
      </c>
      <c r="S40">
        <f>(J40*P40)-Q40</f>
        <v>6697.4059405940598</v>
      </c>
      <c r="T40">
        <f>S40/10000</f>
        <v>0.669740594059406</v>
      </c>
    </row>
    <row r="41" spans="1:20" x14ac:dyDescent="0.35">
      <c r="A41" s="3">
        <v>7361</v>
      </c>
      <c r="B41">
        <v>1</v>
      </c>
      <c r="C41">
        <v>34.200000000000003</v>
      </c>
      <c r="D41">
        <v>1.4</v>
      </c>
      <c r="E41">
        <f>C41+(2*D41)</f>
        <v>37</v>
      </c>
      <c r="F41">
        <f>3.14159*C41</f>
        <v>107.44237800000001</v>
      </c>
      <c r="G41">
        <v>122.5</v>
      </c>
      <c r="H41">
        <v>42.4</v>
      </c>
      <c r="I41">
        <f>3.14159*(C41+(2*D41))</f>
        <v>116.23882999999999</v>
      </c>
      <c r="J41">
        <f>G41/I41</f>
        <v>1.0538647025266858</v>
      </c>
      <c r="K41">
        <f>C41*0.5</f>
        <v>17.100000000000001</v>
      </c>
      <c r="L41">
        <f>E41*0.5</f>
        <v>18.5</v>
      </c>
      <c r="O41">
        <f>(1.4*4*35)*2</f>
        <v>392</v>
      </c>
      <c r="P41">
        <f>2*3.14159*K41*H41+(2*3.14159*(K41^2))</f>
        <v>6392.8214910000006</v>
      </c>
      <c r="Q41">
        <f>(2*35*4)</f>
        <v>280</v>
      </c>
      <c r="S41">
        <f>(J41*P41)-Q41</f>
        <v>6457.1689189189201</v>
      </c>
      <c r="T41">
        <f>S41/10000</f>
        <v>0.64571689189189196</v>
      </c>
    </row>
    <row r="42" spans="1:20" x14ac:dyDescent="0.35">
      <c r="A42" s="3">
        <v>7397</v>
      </c>
      <c r="B42">
        <v>2</v>
      </c>
      <c r="C42">
        <v>39.200000000000003</v>
      </c>
      <c r="D42">
        <v>1.4</v>
      </c>
      <c r="E42">
        <f>C42+(2*D42)</f>
        <v>42</v>
      </c>
      <c r="F42">
        <f>3.14159*C42</f>
        <v>123.150328</v>
      </c>
      <c r="G42">
        <v>119.8</v>
      </c>
      <c r="H42">
        <v>44</v>
      </c>
      <c r="I42">
        <f>3.14159*(C42+(2*D42))</f>
        <v>131.94677999999999</v>
      </c>
      <c r="J42">
        <f>G42/I42</f>
        <v>0.90794182321084305</v>
      </c>
      <c r="K42">
        <f>C42*0.5</f>
        <v>19.600000000000001</v>
      </c>
      <c r="L42">
        <f>E42*0.5</f>
        <v>21</v>
      </c>
      <c r="O42">
        <f>2*36*2.8*1.4</f>
        <v>282.23999999999995</v>
      </c>
      <c r="P42">
        <f>2*3.14159*K42*H42+(2*3.14159*(K42^2))</f>
        <v>7832.3608608000013</v>
      </c>
      <c r="Q42">
        <f>(2*36*2.8)</f>
        <v>201.6</v>
      </c>
      <c r="S42">
        <f>(J42*P42)-Q42</f>
        <v>6909.728000000001</v>
      </c>
      <c r="T42">
        <f>S42/10000</f>
        <v>0.69097280000000005</v>
      </c>
    </row>
    <row r="43" spans="1:20" x14ac:dyDescent="0.35">
      <c r="A43" s="3">
        <v>7447</v>
      </c>
      <c r="B43">
        <v>1</v>
      </c>
      <c r="C43">
        <v>37</v>
      </c>
      <c r="D43">
        <v>1.4</v>
      </c>
      <c r="E43">
        <f>C43+(2*D43)</f>
        <v>39.799999999999997</v>
      </c>
      <c r="F43">
        <f>3.14159*C43</f>
        <v>116.23882999999999</v>
      </c>
      <c r="G43">
        <v>122.5</v>
      </c>
      <c r="H43">
        <v>42.4</v>
      </c>
      <c r="I43">
        <f>3.14159*(C43+(2*D43))</f>
        <v>125.03528199999998</v>
      </c>
      <c r="J43">
        <f>G43/I43</f>
        <v>0.9797234671730497</v>
      </c>
      <c r="K43">
        <f>C43*0.5</f>
        <v>18.5</v>
      </c>
      <c r="L43">
        <f>E43*0.5</f>
        <v>19.899999999999999</v>
      </c>
      <c r="O43">
        <f>(1.4*4*35)*2</f>
        <v>392</v>
      </c>
      <c r="P43">
        <f>2*3.14159*K43*H43+(2*3.14159*(K43^2))</f>
        <v>7078.9447469999996</v>
      </c>
      <c r="Q43">
        <f>(2*35*4)</f>
        <v>280</v>
      </c>
      <c r="S43">
        <f>(J43*P43)-Q43</f>
        <v>6655.4082914572864</v>
      </c>
      <c r="T43">
        <f>S43/10000</f>
        <v>0.66554082914572865</v>
      </c>
    </row>
    <row r="44" spans="1:20" x14ac:dyDescent="0.35">
      <c r="A44" s="3">
        <v>7447</v>
      </c>
      <c r="B44">
        <v>1</v>
      </c>
      <c r="C44">
        <v>37</v>
      </c>
      <c r="D44">
        <v>1.4</v>
      </c>
      <c r="E44">
        <f>C44+(2*D44)</f>
        <v>39.799999999999997</v>
      </c>
      <c r="F44">
        <f>3.14159*C44</f>
        <v>116.23882999999999</v>
      </c>
      <c r="G44">
        <v>122.5</v>
      </c>
      <c r="H44">
        <v>42.4</v>
      </c>
      <c r="I44">
        <f>3.14159*(C44+(2*D44))</f>
        <v>125.03528199999998</v>
      </c>
      <c r="J44">
        <f>G44/I44</f>
        <v>0.9797234671730497</v>
      </c>
      <c r="K44">
        <f>C44*0.5</f>
        <v>18.5</v>
      </c>
      <c r="L44">
        <f>E44*0.5</f>
        <v>19.899999999999999</v>
      </c>
      <c r="O44">
        <f>(1.4*4*35)*2</f>
        <v>392</v>
      </c>
      <c r="P44">
        <f>2*3.14159*K44*H44+(2*3.14159*(K44^2))</f>
        <v>7078.9447469999996</v>
      </c>
      <c r="Q44">
        <f>(2*35*4)</f>
        <v>280</v>
      </c>
      <c r="S44">
        <f>(J44*P44)-Q44</f>
        <v>6655.4082914572864</v>
      </c>
      <c r="T44">
        <f>S44/10000</f>
        <v>0.66554082914572865</v>
      </c>
    </row>
    <row r="45" spans="1:20" x14ac:dyDescent="0.35">
      <c r="A45" s="3">
        <v>8833</v>
      </c>
      <c r="B45">
        <v>3</v>
      </c>
      <c r="C45">
        <v>55</v>
      </c>
      <c r="D45">
        <v>1.4</v>
      </c>
      <c r="E45">
        <f>C45+(2*D45)</f>
        <v>57.8</v>
      </c>
      <c r="F45">
        <f>3.14159*C45</f>
        <v>172.78745000000001</v>
      </c>
      <c r="G45">
        <v>160</v>
      </c>
      <c r="H45">
        <v>39.799999999999997</v>
      </c>
      <c r="I45">
        <f>3.14159*(C45+(2*D45))</f>
        <v>181.58390199999999</v>
      </c>
      <c r="J45">
        <f>G45/I45</f>
        <v>0.88113537729792812</v>
      </c>
      <c r="K45">
        <f>C45*0.5</f>
        <v>27.5</v>
      </c>
      <c r="L45">
        <f>E45*0.5</f>
        <v>28.9</v>
      </c>
      <c r="O45">
        <f>2*30.9*3.5*1.4</f>
        <v>302.81999999999994</v>
      </c>
      <c r="P45">
        <f>2*3.14159*K45*H45+(2*3.14159*(K45^2))</f>
        <v>11628.595385000001</v>
      </c>
      <c r="Q45">
        <f>(2*30.9*3.5)</f>
        <v>216.29999999999998</v>
      </c>
      <c r="S45">
        <f>(J45*P45)-Q45</f>
        <v>10030.066782006921</v>
      </c>
      <c r="T45">
        <f>S45/10000</f>
        <v>1.0030066782006921</v>
      </c>
    </row>
    <row r="46" spans="1:20" x14ac:dyDescent="0.35">
      <c r="A46" s="3">
        <v>8835</v>
      </c>
      <c r="B46">
        <v>3</v>
      </c>
      <c r="C46">
        <v>48.7</v>
      </c>
      <c r="D46">
        <v>1.4</v>
      </c>
      <c r="E46">
        <f>C46+(2*D46)</f>
        <v>51.5</v>
      </c>
      <c r="F46">
        <f>3.14159*C46</f>
        <v>152.99543299999999</v>
      </c>
      <c r="G46">
        <v>160</v>
      </c>
      <c r="H46">
        <v>39.799999999999997</v>
      </c>
      <c r="I46">
        <f>3.14159*(C46+(2*D46))</f>
        <v>161.79188500000001</v>
      </c>
      <c r="J46">
        <f>G46/I46</f>
        <v>0.98892475354990761</v>
      </c>
      <c r="K46">
        <f>C46*0.5</f>
        <v>24.35</v>
      </c>
      <c r="L46">
        <f>E46*0.5</f>
        <v>25.75</v>
      </c>
      <c r="O46">
        <f>2*30.9*3.5*1.4</f>
        <v>302.81999999999994</v>
      </c>
      <c r="P46">
        <f>2*3.14159*K46*H46+(2*3.14159*(K46^2))</f>
        <v>9814.6570269499989</v>
      </c>
      <c r="Q46">
        <f>(2*30.9*3.5)</f>
        <v>216.29999999999998</v>
      </c>
      <c r="S46">
        <f>(J46*P46)-Q46</f>
        <v>9489.6572815533982</v>
      </c>
      <c r="T46">
        <f>S46/10000</f>
        <v>0.94896572815533986</v>
      </c>
    </row>
    <row r="47" spans="1:20" ht="15.5" x14ac:dyDescent="0.35">
      <c r="A47" s="4" t="s">
        <v>20</v>
      </c>
      <c r="B47">
        <v>2</v>
      </c>
      <c r="C47">
        <v>29.4</v>
      </c>
      <c r="D47">
        <v>1.4</v>
      </c>
      <c r="E47">
        <f>C47+(2*D47)</f>
        <v>32.199999999999996</v>
      </c>
      <c r="F47">
        <f>3.14159*C47</f>
        <v>92.362745999999987</v>
      </c>
      <c r="G47">
        <v>119.8</v>
      </c>
      <c r="H47">
        <v>44</v>
      </c>
      <c r="I47">
        <f>3.14159*(C47+(2*D47))</f>
        <v>101.15919799999999</v>
      </c>
      <c r="J47">
        <f>G47/I47</f>
        <v>1.1842719433184909</v>
      </c>
      <c r="K47">
        <f>C47*0.5</f>
        <v>14.7</v>
      </c>
      <c r="L47">
        <f>E47*0.5</f>
        <v>16.099999999999998</v>
      </c>
      <c r="O47">
        <f>2*36*2.8*1.4</f>
        <v>282.23999999999995</v>
      </c>
      <c r="P47">
        <f>2*3.14159*K47*H47+(2*3.14159*(K47^2))</f>
        <v>5421.6931901999997</v>
      </c>
      <c r="Q47">
        <f>(2*36*2.8)</f>
        <v>201.6</v>
      </c>
      <c r="S47">
        <f>(J47*P47)-Q47</f>
        <v>6219.1591304347821</v>
      </c>
      <c r="T47">
        <f>S47/10000</f>
        <v>0.62191591304347826</v>
      </c>
    </row>
    <row r="48" spans="1:20" ht="15.5" x14ac:dyDescent="0.35">
      <c r="A48" s="4" t="s">
        <v>21</v>
      </c>
      <c r="B48">
        <v>2</v>
      </c>
      <c r="C48">
        <v>40.5</v>
      </c>
      <c r="D48">
        <v>1.4</v>
      </c>
      <c r="E48">
        <f>C48+(2*D48)</f>
        <v>43.3</v>
      </c>
      <c r="F48">
        <f>3.14159*C48</f>
        <v>127.23439499999999</v>
      </c>
      <c r="G48">
        <v>119.8</v>
      </c>
      <c r="H48">
        <v>44</v>
      </c>
      <c r="I48">
        <f>3.14159*(C48+(2*D48))</f>
        <v>136.03084699999999</v>
      </c>
      <c r="J48">
        <f>G48/I48</f>
        <v>0.88068259988118724</v>
      </c>
      <c r="K48">
        <f>C48*0.5</f>
        <v>20.25</v>
      </c>
      <c r="L48">
        <f>E48*0.5</f>
        <v>21.65</v>
      </c>
      <c r="O48">
        <f>2*36*2.8*1.4</f>
        <v>282.23999999999995</v>
      </c>
      <c r="P48">
        <f>2*3.14159*K48*H48+(2*3.14159*(K48^2))</f>
        <v>8174.8098787499994</v>
      </c>
      <c r="Q48">
        <f>(2*36*2.8)</f>
        <v>201.6</v>
      </c>
      <c r="S48">
        <f>(J48*P48)-Q48</f>
        <v>6997.8128175519623</v>
      </c>
      <c r="T48">
        <f>S48/10000</f>
        <v>0.69978128175519627</v>
      </c>
    </row>
    <row r="49" spans="1:20" x14ac:dyDescent="0.35">
      <c r="A49" s="3" t="s">
        <v>25</v>
      </c>
      <c r="B49">
        <v>1</v>
      </c>
      <c r="C49">
        <v>37</v>
      </c>
      <c r="D49">
        <v>1.4</v>
      </c>
      <c r="E49">
        <f>C49+(2*D49)</f>
        <v>39.799999999999997</v>
      </c>
      <c r="F49">
        <f>3.14159*C49</f>
        <v>116.23882999999999</v>
      </c>
      <c r="G49">
        <v>122.5</v>
      </c>
      <c r="H49">
        <v>42.4</v>
      </c>
      <c r="I49">
        <f>3.14159*(C49+(2*D49))</f>
        <v>125.03528199999998</v>
      </c>
      <c r="J49">
        <f>G49/I49</f>
        <v>0.9797234671730497</v>
      </c>
      <c r="K49">
        <f>C49*0.5</f>
        <v>18.5</v>
      </c>
      <c r="L49">
        <f>E49*0.5</f>
        <v>19.899999999999999</v>
      </c>
      <c r="O49">
        <f>(1.4*4*35)*2</f>
        <v>392</v>
      </c>
      <c r="P49">
        <f>2*3.14159*K49*H49+(2*3.14159*(K49^2))</f>
        <v>7078.9447469999996</v>
      </c>
      <c r="Q49">
        <f>(2*35*4)</f>
        <v>280</v>
      </c>
      <c r="S49">
        <f>(J49*P49)-Q49</f>
        <v>6655.4082914572864</v>
      </c>
      <c r="T49">
        <f>S49/10000</f>
        <v>0.66554082914572865</v>
      </c>
    </row>
    <row r="50" spans="1:20" x14ac:dyDescent="0.35">
      <c r="A50" s="1" t="s">
        <v>19</v>
      </c>
      <c r="B50">
        <v>1</v>
      </c>
      <c r="C50">
        <v>32.9</v>
      </c>
      <c r="D50">
        <v>1.4</v>
      </c>
      <c r="E50">
        <f>C50+(2*D50)</f>
        <v>35.699999999999996</v>
      </c>
      <c r="F50">
        <f>3.14159*C50</f>
        <v>103.35831099999999</v>
      </c>
      <c r="G50">
        <v>122.5</v>
      </c>
      <c r="H50">
        <v>42.4</v>
      </c>
      <c r="I50">
        <f>3.14159*(C50+(2*D50))</f>
        <v>112.15476299999999</v>
      </c>
      <c r="J50">
        <f>G50/I50</f>
        <v>1.0922407281088902</v>
      </c>
      <c r="K50">
        <f>C50*0.5</f>
        <v>16.45</v>
      </c>
      <c r="L50">
        <f>E50*0.5</f>
        <v>17.849999999999998</v>
      </c>
      <c r="O50">
        <f>(1.4*4*35)*2</f>
        <v>392</v>
      </c>
      <c r="P50">
        <f>2*3.14159*K50*H50+(2*3.14159*(K50^2))</f>
        <v>6082.6366023499986</v>
      </c>
      <c r="Q50">
        <f>(2*35*4)</f>
        <v>280</v>
      </c>
      <c r="S50">
        <f>(J50*P50)-Q50</f>
        <v>6363.703431372548</v>
      </c>
      <c r="T50">
        <f>S50/10000</f>
        <v>0.63637034313725482</v>
      </c>
    </row>
    <row r="51" spans="1:20" x14ac:dyDescent="0.35">
      <c r="A51" s="3" t="s">
        <v>24</v>
      </c>
      <c r="B51">
        <v>2</v>
      </c>
      <c r="C51">
        <v>34.1</v>
      </c>
      <c r="D51">
        <v>1.4</v>
      </c>
      <c r="E51">
        <f>C51+(2*D51)</f>
        <v>36.9</v>
      </c>
      <c r="F51">
        <f>3.14159*C51</f>
        <v>107.128219</v>
      </c>
      <c r="G51">
        <v>119.8</v>
      </c>
      <c r="H51">
        <v>44</v>
      </c>
      <c r="I51">
        <f>3.14159*(C51+(2*D51))</f>
        <v>115.92467099999999</v>
      </c>
      <c r="J51">
        <f>G51/I51</f>
        <v>1.0334297174757563</v>
      </c>
      <c r="K51">
        <f>C51*0.5</f>
        <v>17.05</v>
      </c>
      <c r="L51">
        <f>E51*0.5</f>
        <v>18.45</v>
      </c>
      <c r="O51">
        <f>2*36*2.8*1.4</f>
        <v>282.23999999999995</v>
      </c>
      <c r="P51">
        <f>2*3.14159*K51*H51+(2*3.14159*(K51^2))</f>
        <v>6540.1777699500008</v>
      </c>
      <c r="Q51">
        <f>(2*36*2.8)</f>
        <v>201.6</v>
      </c>
      <c r="S51">
        <f>(J51*P51)-Q51</f>
        <v>6557.2140650406509</v>
      </c>
      <c r="T51">
        <f>S51/10000</f>
        <v>0.65572140650406507</v>
      </c>
    </row>
    <row r="52" spans="1:20" x14ac:dyDescent="0.35">
      <c r="A52" s="3" t="s">
        <v>22</v>
      </c>
      <c r="B52">
        <v>2</v>
      </c>
      <c r="C52">
        <v>32.200000000000003</v>
      </c>
      <c r="D52">
        <v>1.4</v>
      </c>
      <c r="E52">
        <f>C52+(2*D52)</f>
        <v>35</v>
      </c>
      <c r="F52">
        <f>3.14159*C52</f>
        <v>101.159198</v>
      </c>
      <c r="G52">
        <v>119.8</v>
      </c>
      <c r="H52">
        <v>44</v>
      </c>
      <c r="I52">
        <f>3.14159*(C52+(2*D52))</f>
        <v>109.95564999999999</v>
      </c>
      <c r="J52">
        <f>G52/I52</f>
        <v>1.0895301878530117</v>
      </c>
      <c r="K52">
        <f>C52*0.5</f>
        <v>16.100000000000001</v>
      </c>
      <c r="L52">
        <f>E52*0.5</f>
        <v>17.5</v>
      </c>
      <c r="O52">
        <f>2*36*2.8*1.4</f>
        <v>282.23999999999995</v>
      </c>
      <c r="P52">
        <f>2*3.14159*K52*H52+(2*3.14159*(K52^2))</f>
        <v>6079.6677997999996</v>
      </c>
      <c r="Q52">
        <f>(2*36*2.8)</f>
        <v>201.6</v>
      </c>
      <c r="S52">
        <f>(J52*P52)-Q52</f>
        <v>6422.3815999999997</v>
      </c>
      <c r="T52">
        <f>S52/10000</f>
        <v>0.64223816</v>
      </c>
    </row>
    <row r="53" spans="1:20" x14ac:dyDescent="0.35">
      <c r="A53" s="3" t="s">
        <v>23</v>
      </c>
      <c r="B53">
        <v>1</v>
      </c>
      <c r="C53">
        <v>30.3</v>
      </c>
      <c r="D53">
        <v>1.4</v>
      </c>
      <c r="E53">
        <f>C53+(2*D53)</f>
        <v>33.1</v>
      </c>
      <c r="F53">
        <f>3.14159*C53</f>
        <v>95.190177000000006</v>
      </c>
      <c r="G53">
        <v>122.5</v>
      </c>
      <c r="H53">
        <v>42.4</v>
      </c>
      <c r="I53">
        <f>3.14159*(C53+(2*D53))</f>
        <v>103.98662899999999</v>
      </c>
      <c r="J53">
        <f>G53/I53</f>
        <v>1.1780360723107968</v>
      </c>
      <c r="K53">
        <f>C53*0.5</f>
        <v>15.15</v>
      </c>
      <c r="L53">
        <f>E53*0.5</f>
        <v>16.55</v>
      </c>
      <c r="O53">
        <f>(1.4*4*35)*2</f>
        <v>392</v>
      </c>
      <c r="P53">
        <f>2*3.14159*K53*H53+(2*3.14159*(K53^2))</f>
        <v>5478.1946863499998</v>
      </c>
      <c r="Q53">
        <f>(2*35*4)</f>
        <v>280</v>
      </c>
      <c r="S53">
        <f>(J53*P53)-Q53</f>
        <v>6173.5109516616312</v>
      </c>
      <c r="T53">
        <f>S53/10000</f>
        <v>0.61735109516616316</v>
      </c>
    </row>
  </sheetData>
  <sortState ref="A2:T53">
    <sortCondition ref="A2:A53"/>
  </sortState>
  <pageMargins left="0.7" right="0.7" top="0.75" bottom="0.75" header="0.3" footer="0.3"/>
  <pageSetup orientation="portrait" horizontalDpi="4294967293" verticalDpi="0" r:id="rId1"/>
  <ignoredErrors>
    <ignoredError sqref="Q18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C6BBB75-091C-4C60-8A52-E7BC682A3533}"/>
</file>

<file path=customXml/itemProps2.xml><?xml version="1.0" encoding="utf-8"?>
<ds:datastoreItem xmlns:ds="http://schemas.openxmlformats.org/officeDocument/2006/customXml" ds:itemID="{367BA719-FCDC-412C-BF3A-B35135AEC0C3}"/>
</file>

<file path=customXml/itemProps3.xml><?xml version="1.0" encoding="utf-8"?>
<ds:datastoreItem xmlns:ds="http://schemas.openxmlformats.org/officeDocument/2006/customXml" ds:itemID="{FA5E2F00-D2BB-4A98-9E43-FBBBD4DBC3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2020-06-24T17:32:35Z</dcterms:created>
  <dcterms:modified xsi:type="dcterms:W3CDTF">2020-06-26T18:58:40Z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