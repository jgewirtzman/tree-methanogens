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ggregate and site data\"/>
    </mc:Choice>
  </mc:AlternateContent>
  <bookViews>
    <workbookView xWindow="0" yWindow="0" windowWidth="22910" windowHeight="9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O19" i="1"/>
  <c r="P19" i="1"/>
  <c r="Q19" i="1"/>
  <c r="P25" i="1"/>
  <c r="P2" i="1"/>
  <c r="P18" i="1"/>
  <c r="O18" i="1"/>
  <c r="E48" i="1" l="1"/>
  <c r="L48" i="1" s="1"/>
  <c r="I48" i="1"/>
  <c r="J48" i="1" s="1"/>
  <c r="F48" i="1"/>
  <c r="K48" i="1"/>
  <c r="P48" i="1" s="1"/>
  <c r="S48" i="1" l="1"/>
  <c r="T48" i="1" s="1"/>
  <c r="K2" i="1" l="1"/>
  <c r="I2" i="1"/>
  <c r="J2" i="1" s="1"/>
  <c r="F2" i="1"/>
  <c r="E2" i="1"/>
  <c r="L2" i="1" s="1"/>
  <c r="I14" i="1"/>
  <c r="J14" i="1" s="1"/>
  <c r="I24" i="1"/>
  <c r="J24" i="1" s="1"/>
  <c r="I27" i="1"/>
  <c r="J27" i="1" s="1"/>
  <c r="I41" i="1"/>
  <c r="J41" i="1" s="1"/>
  <c r="I40" i="1"/>
  <c r="J40" i="1" s="1"/>
  <c r="I13" i="1"/>
  <c r="J13" i="1" s="1"/>
  <c r="I18" i="1"/>
  <c r="I19" i="1"/>
  <c r="J19" i="1" s="1"/>
  <c r="S19" i="1" s="1"/>
  <c r="T19" i="1" s="1"/>
  <c r="I38" i="1"/>
  <c r="J38" i="1" s="1"/>
  <c r="I34" i="1"/>
  <c r="J34" i="1" s="1"/>
  <c r="I16" i="1"/>
  <c r="J16" i="1" s="1"/>
  <c r="I17" i="1"/>
  <c r="J17" i="1" s="1"/>
  <c r="I45" i="1"/>
  <c r="I46" i="1"/>
  <c r="J46" i="1" s="1"/>
  <c r="I8" i="1"/>
  <c r="J8" i="1" s="1"/>
  <c r="I7" i="1"/>
  <c r="J7" i="1" s="1"/>
  <c r="I23" i="1"/>
  <c r="J23" i="1" s="1"/>
  <c r="I32" i="1"/>
  <c r="J32" i="1" s="1"/>
  <c r="I29" i="1"/>
  <c r="J29" i="1" s="1"/>
  <c r="I25" i="1"/>
  <c r="J25" i="1" s="1"/>
  <c r="I42" i="1"/>
  <c r="J42" i="1" s="1"/>
  <c r="I31" i="1"/>
  <c r="J31" i="1" s="1"/>
  <c r="I22" i="1"/>
  <c r="J22" i="1" s="1"/>
  <c r="I26" i="1"/>
  <c r="J26" i="1" s="1"/>
  <c r="I37" i="1"/>
  <c r="J37" i="1" s="1"/>
  <c r="I39" i="1"/>
  <c r="J39" i="1" s="1"/>
  <c r="I43" i="1"/>
  <c r="J43" i="1" s="1"/>
  <c r="I6" i="1"/>
  <c r="J6" i="1" s="1"/>
  <c r="I15" i="1"/>
  <c r="J15" i="1" s="1"/>
  <c r="I5" i="1"/>
  <c r="J5" i="1" s="1"/>
  <c r="I4" i="1"/>
  <c r="J4" i="1" s="1"/>
  <c r="I3" i="1"/>
  <c r="J3" i="1" s="1"/>
  <c r="I47" i="1"/>
  <c r="J47" i="1" s="1"/>
  <c r="I28" i="1"/>
  <c r="J28" i="1" s="1"/>
  <c r="I10" i="1"/>
  <c r="J10" i="1" s="1"/>
  <c r="I9" i="1"/>
  <c r="J9" i="1" s="1"/>
  <c r="I12" i="1"/>
  <c r="J12" i="1" s="1"/>
  <c r="I35" i="1"/>
  <c r="J35" i="1" s="1"/>
  <c r="I36" i="1"/>
  <c r="J36" i="1" s="1"/>
  <c r="I30" i="1"/>
  <c r="J30" i="1" s="1"/>
  <c r="I11" i="1"/>
  <c r="J11" i="1" s="1"/>
  <c r="I33" i="1"/>
  <c r="J33" i="1" s="1"/>
  <c r="I20" i="1"/>
  <c r="J20" i="1" s="1"/>
  <c r="I44" i="1"/>
  <c r="J44" i="1" s="1"/>
  <c r="F14" i="1"/>
  <c r="F24" i="1"/>
  <c r="F27" i="1"/>
  <c r="F41" i="1"/>
  <c r="F40" i="1"/>
  <c r="F13" i="1"/>
  <c r="F18" i="1"/>
  <c r="F19" i="1"/>
  <c r="F38" i="1"/>
  <c r="F34" i="1"/>
  <c r="F16" i="1"/>
  <c r="F17" i="1"/>
  <c r="F45" i="1"/>
  <c r="F46" i="1"/>
  <c r="F8" i="1"/>
  <c r="F7" i="1"/>
  <c r="F23" i="1"/>
  <c r="F32" i="1"/>
  <c r="F29" i="1"/>
  <c r="F25" i="1"/>
  <c r="F42" i="1"/>
  <c r="F31" i="1"/>
  <c r="F22" i="1"/>
  <c r="F26" i="1"/>
  <c r="F37" i="1"/>
  <c r="F39" i="1"/>
  <c r="F43" i="1"/>
  <c r="F6" i="1"/>
  <c r="F15" i="1"/>
  <c r="F5" i="1"/>
  <c r="F4" i="1"/>
  <c r="F3" i="1"/>
  <c r="F47" i="1"/>
  <c r="F28" i="1"/>
  <c r="F10" i="1"/>
  <c r="F9" i="1"/>
  <c r="F12" i="1"/>
  <c r="F35" i="1"/>
  <c r="F36" i="1"/>
  <c r="F30" i="1"/>
  <c r="F11" i="1"/>
  <c r="F33" i="1"/>
  <c r="F20" i="1"/>
  <c r="F44" i="1"/>
  <c r="F21" i="1"/>
  <c r="I21" i="1"/>
  <c r="K14" i="1"/>
  <c r="P14" i="1" s="1"/>
  <c r="K24" i="1"/>
  <c r="P24" i="1" s="1"/>
  <c r="K27" i="1"/>
  <c r="P27" i="1" s="1"/>
  <c r="K41" i="1"/>
  <c r="P41" i="1" s="1"/>
  <c r="K40" i="1"/>
  <c r="P40" i="1" s="1"/>
  <c r="K13" i="1"/>
  <c r="P13" i="1" s="1"/>
  <c r="K18" i="1"/>
  <c r="K19" i="1"/>
  <c r="K38" i="1"/>
  <c r="P38" i="1" s="1"/>
  <c r="K34" i="1"/>
  <c r="P34" i="1" s="1"/>
  <c r="K16" i="1"/>
  <c r="P16" i="1" s="1"/>
  <c r="K17" i="1"/>
  <c r="P17" i="1" s="1"/>
  <c r="K45" i="1"/>
  <c r="P45" i="1" s="1"/>
  <c r="K46" i="1"/>
  <c r="P46" i="1" s="1"/>
  <c r="K8" i="1"/>
  <c r="P8" i="1" s="1"/>
  <c r="K7" i="1"/>
  <c r="P7" i="1" s="1"/>
  <c r="K23" i="1"/>
  <c r="P23" i="1" s="1"/>
  <c r="K32" i="1"/>
  <c r="P32" i="1" s="1"/>
  <c r="K29" i="1"/>
  <c r="P29" i="1" s="1"/>
  <c r="K25" i="1"/>
  <c r="K42" i="1"/>
  <c r="P42" i="1" s="1"/>
  <c r="K31" i="1"/>
  <c r="P31" i="1" s="1"/>
  <c r="K22" i="1"/>
  <c r="P22" i="1" s="1"/>
  <c r="K26" i="1"/>
  <c r="P26" i="1" s="1"/>
  <c r="J18" i="1"/>
  <c r="S18" i="1" s="1"/>
  <c r="T18" i="1" s="1"/>
  <c r="J45" i="1"/>
  <c r="E14" i="1"/>
  <c r="L14" i="1" s="1"/>
  <c r="E24" i="1"/>
  <c r="L24" i="1" s="1"/>
  <c r="E27" i="1"/>
  <c r="L27" i="1" s="1"/>
  <c r="E41" i="1"/>
  <c r="L41" i="1" s="1"/>
  <c r="E40" i="1"/>
  <c r="L40" i="1" s="1"/>
  <c r="E13" i="1"/>
  <c r="L13" i="1" s="1"/>
  <c r="L18" i="1"/>
  <c r="E19" i="1"/>
  <c r="L19" i="1" s="1"/>
  <c r="E38" i="1"/>
  <c r="L38" i="1" s="1"/>
  <c r="E34" i="1"/>
  <c r="L34" i="1" s="1"/>
  <c r="E16" i="1"/>
  <c r="L16" i="1" s="1"/>
  <c r="E17" i="1"/>
  <c r="L17" i="1" s="1"/>
  <c r="E45" i="1"/>
  <c r="L45" i="1" s="1"/>
  <c r="E46" i="1"/>
  <c r="L46" i="1" s="1"/>
  <c r="E8" i="1"/>
  <c r="L8" i="1" s="1"/>
  <c r="E7" i="1"/>
  <c r="L7" i="1" s="1"/>
  <c r="E23" i="1"/>
  <c r="L23" i="1" s="1"/>
  <c r="E32" i="1"/>
  <c r="L32" i="1" s="1"/>
  <c r="E29" i="1"/>
  <c r="L29" i="1" s="1"/>
  <c r="E25" i="1"/>
  <c r="L25" i="1" s="1"/>
  <c r="E42" i="1"/>
  <c r="L42" i="1" s="1"/>
  <c r="E31" i="1"/>
  <c r="L31" i="1" s="1"/>
  <c r="E22" i="1"/>
  <c r="L22" i="1" s="1"/>
  <c r="E26" i="1"/>
  <c r="L26" i="1" s="1"/>
  <c r="K37" i="1"/>
  <c r="P37" i="1" s="1"/>
  <c r="E37" i="1"/>
  <c r="L37" i="1" s="1"/>
  <c r="K39" i="1"/>
  <c r="P39" i="1" s="1"/>
  <c r="E39" i="1"/>
  <c r="L39" i="1" s="1"/>
  <c r="K43" i="1"/>
  <c r="P43" i="1" s="1"/>
  <c r="E43" i="1"/>
  <c r="L43" i="1" s="1"/>
  <c r="K6" i="1"/>
  <c r="P6" i="1" s="1"/>
  <c r="E6" i="1"/>
  <c r="L6" i="1" s="1"/>
  <c r="K15" i="1"/>
  <c r="P15" i="1" s="1"/>
  <c r="E15" i="1"/>
  <c r="L15" i="1" s="1"/>
  <c r="K5" i="1"/>
  <c r="P5" i="1" s="1"/>
  <c r="E5" i="1"/>
  <c r="L5" i="1" s="1"/>
  <c r="K4" i="1"/>
  <c r="P4" i="1" s="1"/>
  <c r="E4" i="1"/>
  <c r="L4" i="1" s="1"/>
  <c r="K3" i="1"/>
  <c r="P3" i="1" s="1"/>
  <c r="E3" i="1"/>
  <c r="L3" i="1" s="1"/>
  <c r="K47" i="1"/>
  <c r="P47" i="1" s="1"/>
  <c r="E47" i="1"/>
  <c r="L47" i="1" s="1"/>
  <c r="K28" i="1"/>
  <c r="P28" i="1" s="1"/>
  <c r="E28" i="1"/>
  <c r="L28" i="1" s="1"/>
  <c r="K10" i="1"/>
  <c r="P10" i="1" s="1"/>
  <c r="E10" i="1"/>
  <c r="L10" i="1" s="1"/>
  <c r="K9" i="1"/>
  <c r="P9" i="1" s="1"/>
  <c r="E9" i="1"/>
  <c r="L9" i="1" s="1"/>
  <c r="K12" i="1"/>
  <c r="P12" i="1" s="1"/>
  <c r="E12" i="1"/>
  <c r="L12" i="1" s="1"/>
  <c r="K35" i="1"/>
  <c r="P35" i="1" s="1"/>
  <c r="E35" i="1"/>
  <c r="L35" i="1" s="1"/>
  <c r="K36" i="1"/>
  <c r="P36" i="1" s="1"/>
  <c r="E36" i="1"/>
  <c r="L36" i="1" s="1"/>
  <c r="K30" i="1"/>
  <c r="P30" i="1" s="1"/>
  <c r="E30" i="1"/>
  <c r="L30" i="1" s="1"/>
  <c r="K11" i="1"/>
  <c r="P11" i="1" s="1"/>
  <c r="E11" i="1"/>
  <c r="L11" i="1" s="1"/>
  <c r="K33" i="1"/>
  <c r="P33" i="1" s="1"/>
  <c r="E33" i="1"/>
  <c r="L33" i="1" s="1"/>
  <c r="K20" i="1"/>
  <c r="P20" i="1" s="1"/>
  <c r="E20" i="1"/>
  <c r="L20" i="1" s="1"/>
  <c r="K44" i="1"/>
  <c r="P44" i="1" s="1"/>
  <c r="E44" i="1"/>
  <c r="L44" i="1" s="1"/>
  <c r="S34" i="1" l="1"/>
  <c r="T34" i="1" s="1"/>
  <c r="S9" i="1"/>
  <c r="T9" i="1" s="1"/>
  <c r="S27" i="1"/>
  <c r="T27" i="1" s="1"/>
  <c r="S22" i="1"/>
  <c r="T22" i="1" s="1"/>
  <c r="S42" i="1"/>
  <c r="T42" i="1" s="1"/>
  <c r="S38" i="1"/>
  <c r="T38" i="1" s="1"/>
  <c r="S14" i="1"/>
  <c r="T14" i="1" s="1"/>
  <c r="S24" i="1"/>
  <c r="T24" i="1" s="1"/>
  <c r="S15" i="1"/>
  <c r="T15" i="1" s="1"/>
  <c r="S31" i="1"/>
  <c r="T31" i="1" s="1"/>
  <c r="S44" i="1"/>
  <c r="T44" i="1" s="1"/>
  <c r="S8" i="1"/>
  <c r="T8" i="1" s="1"/>
  <c r="S2" i="1"/>
  <c r="T2" i="1" s="1"/>
  <c r="S26" i="1"/>
  <c r="T26" i="1" s="1"/>
  <c r="S12" i="1"/>
  <c r="T12" i="1" s="1"/>
  <c r="S3" i="1"/>
  <c r="T3" i="1" s="1"/>
  <c r="S46" i="1"/>
  <c r="T46" i="1" s="1"/>
  <c r="S11" i="1"/>
  <c r="T11" i="1" s="1"/>
  <c r="S25" i="1"/>
  <c r="T25" i="1" s="1"/>
  <c r="S41" i="1"/>
  <c r="T41" i="1" s="1"/>
  <c r="S33" i="1"/>
  <c r="T33" i="1" s="1"/>
  <c r="S43" i="1"/>
  <c r="T43" i="1" s="1"/>
  <c r="S29" i="1"/>
  <c r="T29" i="1" s="1"/>
  <c r="S36" i="1"/>
  <c r="T36" i="1" s="1"/>
  <c r="S30" i="1"/>
  <c r="T30" i="1" s="1"/>
  <c r="S37" i="1"/>
  <c r="T37" i="1" s="1"/>
  <c r="S32" i="1"/>
  <c r="T32" i="1" s="1"/>
  <c r="S16" i="1"/>
  <c r="T16" i="1" s="1"/>
  <c r="S47" i="1"/>
  <c r="T47" i="1" s="1"/>
  <c r="S17" i="1"/>
  <c r="T17" i="1" s="1"/>
  <c r="S7" i="1"/>
  <c r="T7" i="1" s="1"/>
  <c r="S40" i="1"/>
  <c r="T40" i="1" s="1"/>
  <c r="S39" i="1"/>
  <c r="T39" i="1" s="1"/>
  <c r="S23" i="1"/>
  <c r="T23" i="1" s="1"/>
  <c r="S13" i="1"/>
  <c r="T13" i="1" s="1"/>
  <c r="S45" i="1"/>
  <c r="T45" i="1" s="1"/>
  <c r="S28" i="1"/>
  <c r="T28" i="1" s="1"/>
  <c r="S4" i="1"/>
  <c r="T4" i="1" s="1"/>
  <c r="S35" i="1"/>
  <c r="T35" i="1" s="1"/>
  <c r="S5" i="1"/>
  <c r="T5" i="1" s="1"/>
  <c r="S20" i="1"/>
  <c r="T20" i="1" s="1"/>
  <c r="S10" i="1"/>
  <c r="T10" i="1" s="1"/>
  <c r="S6" i="1"/>
  <c r="T6" i="1" s="1"/>
  <c r="K21" i="1"/>
  <c r="P21" i="1" s="1"/>
  <c r="J21" i="1"/>
  <c r="E21" i="1"/>
  <c r="L21" i="1" s="1"/>
  <c r="S21" i="1" l="1"/>
  <c r="T21" i="1" s="1"/>
  <c r="R21" i="1"/>
</calcChain>
</file>

<file path=xl/sharedStrings.xml><?xml version="1.0" encoding="utf-8"?>
<sst xmlns="http://schemas.openxmlformats.org/spreadsheetml/2006/main" count="26" uniqueCount="26">
  <si>
    <t>Sample</t>
  </si>
  <si>
    <t>Chamber used</t>
  </si>
  <si>
    <t>T (sleeve thickness, cm)</t>
  </si>
  <si>
    <t>D exterior (cm)</t>
  </si>
  <si>
    <t>Chamber length (cm)</t>
  </si>
  <si>
    <t>D stem (cm)</t>
  </si>
  <si>
    <t>Circumference tree (cm)</t>
  </si>
  <si>
    <t>Stem periphery</t>
  </si>
  <si>
    <t>K</t>
  </si>
  <si>
    <t>R stem (cm)</t>
  </si>
  <si>
    <t>R ext (cm)</t>
  </si>
  <si>
    <t>V stem (cm3)</t>
  </si>
  <si>
    <t>V ext (cm3)</t>
  </si>
  <si>
    <t>Two V wedges (cm3)</t>
  </si>
  <si>
    <t>Vc</t>
  </si>
  <si>
    <t>Swedges (cm2)</t>
  </si>
  <si>
    <t>Sstem (cm2)</t>
  </si>
  <si>
    <t>Sc (m2)</t>
  </si>
  <si>
    <t>Sc (cm2)</t>
  </si>
  <si>
    <t>Upland dead ACRU</t>
  </si>
  <si>
    <t>Intermediate dead BELE</t>
  </si>
  <si>
    <t>Wetland dead BEAL</t>
  </si>
  <si>
    <t>Wetland dead FRAM</t>
  </si>
  <si>
    <t>Wetland dead ACRU</t>
  </si>
  <si>
    <t>Chamber height (cm)</t>
  </si>
  <si>
    <t>No tag BELE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</si>
</sst>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2" fillId="0" borderId="0" xfId="0" applyFont="1"/>
    <xf numFmtId="0" fontId="1" fillId="0" borderId="0" xfId="0" applyFont="1"/>
    <xf numFmtId="0" fontId="1" fillId="0" borderId="2" xfId="0" applyFont="1" applyBorder="1" applyAlignment="1">
      <alignment wrapText="1"/>
    </xf>
    <xf numFmtId="0" fontId="0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tabSelected="1" workbookViewId="0">
      <pane xSplit="2880" ySplit="1170" topLeftCell="R29" activePane="bottomRight"/>
      <selection sqref="A1:A1048576"/>
      <selection pane="topRight" activeCell="I1" sqref="I1"/>
      <selection pane="bottomLeft" activeCell="A26" sqref="A26"/>
      <selection pane="bottomRight" activeCell="T48" sqref="T48"/>
    </sheetView>
  </sheetViews>
  <sheetFormatPr defaultRowHeight="14.5" x14ac:dyDescent="0.35"/>
  <cols>
    <col min="1" max="1" width="22.26953125" style="3" customWidth="1"/>
    <col min="2" max="2" width="9.1796875" customWidth="1"/>
    <col min="3" max="3" width="6.6328125" customWidth="1"/>
    <col min="4" max="4" width="8.7265625" style="5"/>
    <col min="5" max="5" width="7.26953125" customWidth="1"/>
    <col min="10" max="10" width="4" customWidth="1"/>
    <col min="11" max="11" width="6.7265625" customWidth="1"/>
    <col min="12" max="12" width="5.7265625" customWidth="1"/>
    <col min="13" max="13" width="6.90625" customWidth="1"/>
    <col min="14" max="14" width="6.54296875" customWidth="1"/>
    <col min="15" max="15" width="7.26953125" customWidth="1"/>
    <col min="16" max="16" width="7.54296875" customWidth="1"/>
    <col min="17" max="17" width="7.7265625" customWidth="1"/>
    <col min="18" max="18" width="3.453125" customWidth="1"/>
    <col min="19" max="19" width="6.54296875" customWidth="1"/>
    <col min="20" max="20" width="4.81640625" customWidth="1"/>
  </cols>
  <sheetData>
    <row r="1" spans="1:20" s="1" customFormat="1" ht="44" thickBot="1" x14ac:dyDescent="0.4">
      <c r="A1" s="2" t="s">
        <v>0</v>
      </c>
      <c r="B1" s="1" t="s">
        <v>1</v>
      </c>
      <c r="C1" s="1" t="s">
        <v>5</v>
      </c>
      <c r="D1" s="6" t="s">
        <v>2</v>
      </c>
      <c r="E1" s="1" t="s">
        <v>3</v>
      </c>
      <c r="F1" s="1" t="s">
        <v>6</v>
      </c>
      <c r="G1" s="1" t="s">
        <v>4</v>
      </c>
      <c r="H1" s="1" t="s">
        <v>24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16</v>
      </c>
      <c r="Q1" s="1" t="s">
        <v>15</v>
      </c>
      <c r="R1" s="1" t="s">
        <v>14</v>
      </c>
      <c r="S1" s="1" t="s">
        <v>18</v>
      </c>
      <c r="T1" s="1" t="s">
        <v>17</v>
      </c>
    </row>
    <row r="2" spans="1:20" s="5" customFormat="1" x14ac:dyDescent="0.35">
      <c r="A2" s="8">
        <v>853</v>
      </c>
      <c r="B2" s="5">
        <v>6</v>
      </c>
      <c r="C2" s="5">
        <v>50.1</v>
      </c>
      <c r="D2" s="5">
        <v>1.8</v>
      </c>
      <c r="E2" s="5">
        <f t="shared" ref="E2:E29" si="0">C2+(2*D2)</f>
        <v>53.7</v>
      </c>
      <c r="F2" s="5">
        <f t="shared" ref="F2:F29" si="1">3.14159*C2</f>
        <v>157.39365899999999</v>
      </c>
      <c r="G2" s="5">
        <v>115</v>
      </c>
      <c r="H2" s="5">
        <v>37.5</v>
      </c>
      <c r="I2" s="5">
        <f t="shared" ref="I2:I29" si="2">3.14159*(C2+(2*D2))</f>
        <v>168.703383</v>
      </c>
      <c r="J2" s="5">
        <f t="shared" ref="J2:J29" si="3">G2/I2</f>
        <v>0.68166979200411171</v>
      </c>
      <c r="K2" s="5">
        <f t="shared" ref="K2:K29" si="4">C2*0.5</f>
        <v>25.05</v>
      </c>
      <c r="L2" s="5">
        <f t="shared" ref="L2:L29" si="5">E2*0.5</f>
        <v>26.85</v>
      </c>
      <c r="O2" s="5">
        <v>289.8</v>
      </c>
      <c r="P2" s="5">
        <f>2*3.14159*K2*H2+(2*3.14159*(K2^2))</f>
        <v>9844.9733704499995</v>
      </c>
      <c r="Q2" s="5">
        <v>161</v>
      </c>
      <c r="S2" s="5">
        <f t="shared" ref="S2:S29" si="6">(J2*P2)-Q2</f>
        <v>6550.0209497206697</v>
      </c>
      <c r="T2" s="5">
        <f t="shared" ref="T2:T29" si="7">S2/10000</f>
        <v>0.65500209497206696</v>
      </c>
    </row>
    <row r="3" spans="1:20" s="5" customFormat="1" x14ac:dyDescent="0.35">
      <c r="A3" s="8">
        <v>970</v>
      </c>
      <c r="B3" s="5">
        <v>5</v>
      </c>
      <c r="C3" s="5">
        <v>27.6</v>
      </c>
      <c r="D3" s="5">
        <v>1.8</v>
      </c>
      <c r="E3" s="5">
        <f t="shared" si="0"/>
        <v>31.200000000000003</v>
      </c>
      <c r="F3" s="5">
        <f t="shared" si="1"/>
        <v>86.707884000000007</v>
      </c>
      <c r="G3" s="5">
        <v>114</v>
      </c>
      <c r="H3" s="5">
        <v>38</v>
      </c>
      <c r="I3" s="5">
        <f t="shared" si="2"/>
        <v>98.01760800000001</v>
      </c>
      <c r="J3" s="5">
        <f t="shared" si="3"/>
        <v>1.1630563357555102</v>
      </c>
      <c r="K3" s="5">
        <f t="shared" si="4"/>
        <v>13.8</v>
      </c>
      <c r="L3" s="5">
        <f t="shared" si="5"/>
        <v>15.600000000000001</v>
      </c>
      <c r="O3" s="5">
        <v>332.64</v>
      </c>
      <c r="P3" s="5">
        <f t="shared" ref="P3:P29" si="8">2*3.14159*K3*H3+(2*3.14159*(K3^2))</f>
        <v>4491.4683912</v>
      </c>
      <c r="Q3" s="5">
        <v>184.8</v>
      </c>
      <c r="S3" s="5">
        <f t="shared" si="6"/>
        <v>5039.0307692307679</v>
      </c>
      <c r="T3" s="5">
        <f t="shared" si="7"/>
        <v>0.50390307692307679</v>
      </c>
    </row>
    <row r="4" spans="1:20" s="5" customFormat="1" x14ac:dyDescent="0.35">
      <c r="A4" s="8">
        <v>1133</v>
      </c>
      <c r="B4" s="5">
        <v>5</v>
      </c>
      <c r="C4" s="5">
        <v>31</v>
      </c>
      <c r="D4" s="5">
        <v>1.8</v>
      </c>
      <c r="E4" s="5">
        <f t="shared" si="0"/>
        <v>34.6</v>
      </c>
      <c r="F4" s="5">
        <f t="shared" si="1"/>
        <v>97.389290000000003</v>
      </c>
      <c r="G4" s="5">
        <v>114</v>
      </c>
      <c r="H4" s="5">
        <v>38</v>
      </c>
      <c r="I4" s="5">
        <f t="shared" si="2"/>
        <v>108.69901400000001</v>
      </c>
      <c r="J4" s="5">
        <f t="shared" si="3"/>
        <v>1.0487675628778013</v>
      </c>
      <c r="K4" s="5">
        <f t="shared" si="4"/>
        <v>15.5</v>
      </c>
      <c r="L4" s="5">
        <f t="shared" si="5"/>
        <v>17.3</v>
      </c>
      <c r="O4" s="5">
        <v>332.64</v>
      </c>
      <c r="P4" s="5">
        <f t="shared" si="8"/>
        <v>5210.3270149999998</v>
      </c>
      <c r="Q4" s="5">
        <v>184.8</v>
      </c>
      <c r="S4" s="5">
        <f t="shared" si="6"/>
        <v>5279.6219653179187</v>
      </c>
      <c r="T4" s="5">
        <f t="shared" si="7"/>
        <v>0.52796219653179188</v>
      </c>
    </row>
    <row r="5" spans="1:20" s="5" customFormat="1" x14ac:dyDescent="0.35">
      <c r="A5" s="8">
        <v>1134</v>
      </c>
      <c r="B5" s="5">
        <v>5</v>
      </c>
      <c r="C5" s="5">
        <v>44.7</v>
      </c>
      <c r="D5" s="5">
        <v>1.8</v>
      </c>
      <c r="E5" s="5">
        <f t="shared" si="0"/>
        <v>48.300000000000004</v>
      </c>
      <c r="F5" s="5">
        <f t="shared" si="1"/>
        <v>140.42907300000002</v>
      </c>
      <c r="G5" s="5">
        <v>114</v>
      </c>
      <c r="H5" s="5">
        <v>38</v>
      </c>
      <c r="I5" s="5">
        <f t="shared" si="2"/>
        <v>151.73879700000001</v>
      </c>
      <c r="J5" s="5">
        <f t="shared" si="3"/>
        <v>0.75129104918368372</v>
      </c>
      <c r="K5" s="5">
        <f t="shared" si="4"/>
        <v>22.35</v>
      </c>
      <c r="L5" s="5">
        <f t="shared" si="5"/>
        <v>24.150000000000002</v>
      </c>
      <c r="O5" s="5">
        <v>332.64</v>
      </c>
      <c r="P5" s="5">
        <f t="shared" si="8"/>
        <v>8474.8945555499995</v>
      </c>
      <c r="Q5" s="5">
        <v>184.8</v>
      </c>
      <c r="S5" s="5">
        <f t="shared" si="6"/>
        <v>6182.3124223602481</v>
      </c>
      <c r="T5" s="5">
        <f t="shared" si="7"/>
        <v>0.61823124223602477</v>
      </c>
    </row>
    <row r="6" spans="1:20" s="4" customFormat="1" x14ac:dyDescent="0.35">
      <c r="A6" s="8">
        <v>1550</v>
      </c>
      <c r="B6" s="5">
        <v>6</v>
      </c>
      <c r="C6" s="5">
        <v>32.200000000000003</v>
      </c>
      <c r="D6" s="5">
        <v>1.8</v>
      </c>
      <c r="E6" s="5">
        <f t="shared" si="0"/>
        <v>35.800000000000004</v>
      </c>
      <c r="F6" s="5">
        <f t="shared" si="1"/>
        <v>101.159198</v>
      </c>
      <c r="G6" s="5">
        <v>115</v>
      </c>
      <c r="H6" s="5">
        <v>37.5</v>
      </c>
      <c r="I6" s="5">
        <f t="shared" si="2"/>
        <v>112.46892200000001</v>
      </c>
      <c r="J6" s="5">
        <f t="shared" si="3"/>
        <v>1.0225046880061675</v>
      </c>
      <c r="K6" s="5">
        <f t="shared" si="4"/>
        <v>16.100000000000001</v>
      </c>
      <c r="L6" s="5">
        <f t="shared" si="5"/>
        <v>17.900000000000002</v>
      </c>
      <c r="M6" s="5"/>
      <c r="N6" s="5"/>
      <c r="O6" s="5">
        <v>289.8</v>
      </c>
      <c r="P6" s="5">
        <f t="shared" si="8"/>
        <v>5422.1330128000009</v>
      </c>
      <c r="Q6" s="5">
        <v>161</v>
      </c>
      <c r="R6" s="5"/>
      <c r="S6" s="5">
        <f t="shared" si="6"/>
        <v>5383.1564245810059</v>
      </c>
      <c r="T6" s="5">
        <f t="shared" si="7"/>
        <v>0.5383156424581006</v>
      </c>
    </row>
    <row r="7" spans="1:20" s="5" customFormat="1" x14ac:dyDescent="0.35">
      <c r="A7" s="7">
        <v>1637</v>
      </c>
      <c r="B7" s="5">
        <v>6</v>
      </c>
      <c r="C7" s="5">
        <v>35.799999999999997</v>
      </c>
      <c r="D7" s="5">
        <v>1.8</v>
      </c>
      <c r="E7" s="5">
        <f t="shared" si="0"/>
        <v>39.4</v>
      </c>
      <c r="F7" s="5">
        <f t="shared" si="1"/>
        <v>112.46892199999999</v>
      </c>
      <c r="G7" s="5">
        <v>115</v>
      </c>
      <c r="H7" s="5">
        <v>37.5</v>
      </c>
      <c r="I7" s="5">
        <f t="shared" si="2"/>
        <v>123.77864599999999</v>
      </c>
      <c r="J7" s="5">
        <f t="shared" si="3"/>
        <v>0.92907786372134016</v>
      </c>
      <c r="K7" s="5">
        <f t="shared" si="4"/>
        <v>17.899999999999999</v>
      </c>
      <c r="L7" s="5">
        <f t="shared" si="5"/>
        <v>19.7</v>
      </c>
      <c r="O7" s="5">
        <v>289.8</v>
      </c>
      <c r="P7" s="5">
        <f t="shared" si="8"/>
        <v>6230.7782787999995</v>
      </c>
      <c r="Q7" s="5">
        <v>161</v>
      </c>
      <c r="S7" s="5">
        <f t="shared" si="6"/>
        <v>5627.8781725888321</v>
      </c>
      <c r="T7" s="5">
        <f t="shared" si="7"/>
        <v>0.56278781725888316</v>
      </c>
    </row>
    <row r="8" spans="1:20" s="5" customFormat="1" x14ac:dyDescent="0.35">
      <c r="A8" s="7">
        <v>1640</v>
      </c>
      <c r="B8" s="5">
        <v>5</v>
      </c>
      <c r="C8" s="5">
        <v>39</v>
      </c>
      <c r="D8" s="5">
        <v>1.8</v>
      </c>
      <c r="E8" s="5">
        <f t="shared" si="0"/>
        <v>42.6</v>
      </c>
      <c r="F8" s="5">
        <f t="shared" si="1"/>
        <v>122.52200999999999</v>
      </c>
      <c r="G8" s="5">
        <v>114</v>
      </c>
      <c r="H8" s="5">
        <v>38</v>
      </c>
      <c r="I8" s="5">
        <f t="shared" si="2"/>
        <v>133.83173400000001</v>
      </c>
      <c r="J8" s="5">
        <f t="shared" si="3"/>
        <v>0.85181590787727512</v>
      </c>
      <c r="K8" s="5">
        <f t="shared" si="4"/>
        <v>19.5</v>
      </c>
      <c r="L8" s="5">
        <f t="shared" si="5"/>
        <v>21.3</v>
      </c>
      <c r="O8" s="5">
        <v>332.64</v>
      </c>
      <c r="P8" s="5">
        <f t="shared" si="8"/>
        <v>7045.0155749999994</v>
      </c>
      <c r="Q8" s="5">
        <v>184.8</v>
      </c>
      <c r="S8" s="5">
        <f t="shared" si="6"/>
        <v>5816.2563380281681</v>
      </c>
      <c r="T8" s="5">
        <f t="shared" si="7"/>
        <v>0.58162563380281684</v>
      </c>
    </row>
    <row r="9" spans="1:20" s="5" customFormat="1" x14ac:dyDescent="0.35">
      <c r="A9" s="7">
        <v>1641</v>
      </c>
      <c r="B9" s="5">
        <v>5</v>
      </c>
      <c r="C9" s="5">
        <v>41.3</v>
      </c>
      <c r="D9" s="5">
        <v>1.8</v>
      </c>
      <c r="E9" s="5">
        <f t="shared" si="0"/>
        <v>44.9</v>
      </c>
      <c r="F9" s="5">
        <f t="shared" si="1"/>
        <v>129.74766699999998</v>
      </c>
      <c r="G9" s="5">
        <v>114</v>
      </c>
      <c r="H9" s="5">
        <v>38</v>
      </c>
      <c r="I9" s="5">
        <f t="shared" si="2"/>
        <v>141.057391</v>
      </c>
      <c r="J9" s="5">
        <f t="shared" si="3"/>
        <v>0.80818168542476443</v>
      </c>
      <c r="K9" s="5">
        <f t="shared" si="4"/>
        <v>20.65</v>
      </c>
      <c r="L9" s="5">
        <f t="shared" si="5"/>
        <v>22.45</v>
      </c>
      <c r="O9" s="5">
        <v>332.64</v>
      </c>
      <c r="P9" s="5">
        <f t="shared" si="8"/>
        <v>7609.7006695499986</v>
      </c>
      <c r="Q9" s="5">
        <v>184.8</v>
      </c>
      <c r="S9" s="5">
        <f t="shared" si="6"/>
        <v>5965.2207126948761</v>
      </c>
      <c r="T9" s="5">
        <f t="shared" si="7"/>
        <v>0.59652207126948764</v>
      </c>
    </row>
    <row r="10" spans="1:20" s="5" customFormat="1" x14ac:dyDescent="0.35">
      <c r="A10" s="7">
        <v>1830</v>
      </c>
      <c r="B10" s="5">
        <v>6</v>
      </c>
      <c r="C10" s="5">
        <v>35</v>
      </c>
      <c r="D10" s="5">
        <v>1.8</v>
      </c>
      <c r="E10" s="5">
        <f t="shared" si="0"/>
        <v>38.6</v>
      </c>
      <c r="F10" s="5">
        <f t="shared" si="1"/>
        <v>109.95564999999999</v>
      </c>
      <c r="G10" s="5">
        <v>115</v>
      </c>
      <c r="H10" s="5">
        <v>37.5</v>
      </c>
      <c r="I10" s="5">
        <f t="shared" si="2"/>
        <v>121.26537399999999</v>
      </c>
      <c r="J10" s="5">
        <f t="shared" si="3"/>
        <v>0.94833336348758557</v>
      </c>
      <c r="K10" s="5">
        <f t="shared" si="4"/>
        <v>17.5</v>
      </c>
      <c r="L10" s="5">
        <f t="shared" si="5"/>
        <v>19.3</v>
      </c>
      <c r="O10" s="5">
        <v>289.8</v>
      </c>
      <c r="P10" s="5">
        <f t="shared" si="8"/>
        <v>6047.5607499999996</v>
      </c>
      <c r="Q10" s="5">
        <v>161</v>
      </c>
      <c r="S10" s="5">
        <f t="shared" si="6"/>
        <v>5574.1036269430051</v>
      </c>
      <c r="T10" s="5">
        <f t="shared" si="7"/>
        <v>0.55741036269430055</v>
      </c>
    </row>
    <row r="11" spans="1:20" s="5" customFormat="1" ht="13.5" customHeight="1" x14ac:dyDescent="0.35">
      <c r="A11" s="7">
        <v>1885</v>
      </c>
      <c r="B11" s="5">
        <v>6</v>
      </c>
      <c r="C11" s="5">
        <v>35</v>
      </c>
      <c r="D11" s="5">
        <v>1.8</v>
      </c>
      <c r="E11" s="5">
        <f t="shared" si="0"/>
        <v>38.6</v>
      </c>
      <c r="F11" s="5">
        <f t="shared" si="1"/>
        <v>109.95564999999999</v>
      </c>
      <c r="G11" s="5">
        <v>115</v>
      </c>
      <c r="H11" s="5">
        <v>38</v>
      </c>
      <c r="I11" s="5">
        <f t="shared" si="2"/>
        <v>121.26537399999999</v>
      </c>
      <c r="J11" s="5">
        <f t="shared" si="3"/>
        <v>0.94833336348758557</v>
      </c>
      <c r="K11" s="5">
        <f t="shared" si="4"/>
        <v>17.5</v>
      </c>
      <c r="L11" s="5">
        <f t="shared" si="5"/>
        <v>19.3</v>
      </c>
      <c r="O11" s="5">
        <v>289.8</v>
      </c>
      <c r="P11" s="5">
        <f t="shared" si="8"/>
        <v>6102.5385749999996</v>
      </c>
      <c r="Q11" s="5">
        <v>161</v>
      </c>
      <c r="S11" s="5">
        <f t="shared" si="6"/>
        <v>5626.2409326424868</v>
      </c>
      <c r="T11" s="5">
        <f t="shared" si="7"/>
        <v>0.56262409326424867</v>
      </c>
    </row>
    <row r="12" spans="1:20" s="5" customFormat="1" x14ac:dyDescent="0.35">
      <c r="A12" s="7">
        <v>1926</v>
      </c>
      <c r="B12" s="5">
        <v>5</v>
      </c>
      <c r="C12" s="5">
        <v>43.3</v>
      </c>
      <c r="D12" s="5">
        <v>1.8</v>
      </c>
      <c r="E12" s="5">
        <f t="shared" si="0"/>
        <v>46.9</v>
      </c>
      <c r="F12" s="5">
        <f t="shared" si="1"/>
        <v>136.03084699999999</v>
      </c>
      <c r="G12" s="5">
        <v>114</v>
      </c>
      <c r="H12" s="5">
        <v>38</v>
      </c>
      <c r="I12" s="5">
        <f t="shared" si="2"/>
        <v>147.34057099999998</v>
      </c>
      <c r="J12" s="5">
        <f t="shared" si="3"/>
        <v>0.77371764766677886</v>
      </c>
      <c r="K12" s="5">
        <f t="shared" si="4"/>
        <v>21.65</v>
      </c>
      <c r="L12" s="5">
        <f t="shared" si="5"/>
        <v>23.45</v>
      </c>
      <c r="O12" s="5">
        <v>332.64</v>
      </c>
      <c r="P12" s="5">
        <f t="shared" si="8"/>
        <v>8114.240023549999</v>
      </c>
      <c r="Q12" s="5">
        <v>184.8</v>
      </c>
      <c r="S12" s="5">
        <f t="shared" si="6"/>
        <v>6093.3307036247334</v>
      </c>
      <c r="T12" s="5">
        <f t="shared" si="7"/>
        <v>0.60933307036247331</v>
      </c>
    </row>
    <row r="13" spans="1:20" s="5" customFormat="1" x14ac:dyDescent="0.35">
      <c r="A13" s="8">
        <v>3325</v>
      </c>
      <c r="B13" s="5">
        <v>6</v>
      </c>
      <c r="C13" s="5">
        <v>46.5</v>
      </c>
      <c r="D13" s="5">
        <v>1.8</v>
      </c>
      <c r="E13" s="5">
        <f t="shared" si="0"/>
        <v>50.1</v>
      </c>
      <c r="F13" s="5">
        <f t="shared" si="1"/>
        <v>146.083935</v>
      </c>
      <c r="G13" s="5">
        <v>115</v>
      </c>
      <c r="H13" s="5">
        <v>37.5</v>
      </c>
      <c r="I13" s="5">
        <f t="shared" si="2"/>
        <v>157.39365899999999</v>
      </c>
      <c r="J13" s="5">
        <f t="shared" si="3"/>
        <v>0.73065205250740128</v>
      </c>
      <c r="K13" s="5">
        <f t="shared" si="4"/>
        <v>23.25</v>
      </c>
      <c r="L13" s="5">
        <f t="shared" si="5"/>
        <v>25.05</v>
      </c>
      <c r="O13" s="5">
        <v>289.8</v>
      </c>
      <c r="P13" s="5">
        <f t="shared" si="8"/>
        <v>8874.5990512499993</v>
      </c>
      <c r="Q13" s="5">
        <v>161</v>
      </c>
      <c r="S13" s="5">
        <f t="shared" si="6"/>
        <v>6323.2440119760486</v>
      </c>
      <c r="T13" s="5">
        <f t="shared" si="7"/>
        <v>0.6323244011976048</v>
      </c>
    </row>
    <row r="14" spans="1:20" s="5" customFormat="1" x14ac:dyDescent="0.35">
      <c r="A14" s="8">
        <v>3354</v>
      </c>
      <c r="B14" s="5">
        <v>5</v>
      </c>
      <c r="C14" s="5">
        <v>59.5</v>
      </c>
      <c r="D14" s="5">
        <v>1.8</v>
      </c>
      <c r="E14" s="5">
        <f t="shared" si="0"/>
        <v>63.1</v>
      </c>
      <c r="F14" s="5">
        <f t="shared" si="1"/>
        <v>186.92460499999999</v>
      </c>
      <c r="G14" s="5">
        <v>114</v>
      </c>
      <c r="H14" s="5">
        <v>38</v>
      </c>
      <c r="I14" s="5">
        <f t="shared" si="2"/>
        <v>198.234329</v>
      </c>
      <c r="J14" s="5">
        <f t="shared" si="3"/>
        <v>0.57507698376500671</v>
      </c>
      <c r="K14" s="5">
        <f t="shared" si="4"/>
        <v>29.75</v>
      </c>
      <c r="L14" s="5">
        <f t="shared" si="5"/>
        <v>31.55</v>
      </c>
      <c r="O14" s="5">
        <v>332.64</v>
      </c>
      <c r="P14" s="5">
        <f t="shared" si="8"/>
        <v>12664.14198875</v>
      </c>
      <c r="Q14" s="5">
        <v>184.8</v>
      </c>
      <c r="S14" s="5">
        <f t="shared" si="6"/>
        <v>7098.0565768621236</v>
      </c>
      <c r="T14" s="5">
        <f t="shared" si="7"/>
        <v>0.7098056576862124</v>
      </c>
    </row>
    <row r="15" spans="1:20" s="5" customFormat="1" x14ac:dyDescent="0.35">
      <c r="A15" s="8">
        <v>3355</v>
      </c>
      <c r="B15" s="5">
        <v>6</v>
      </c>
      <c r="C15" s="5">
        <v>29.8</v>
      </c>
      <c r="D15" s="5">
        <v>1.8</v>
      </c>
      <c r="E15" s="5">
        <f t="shared" si="0"/>
        <v>33.4</v>
      </c>
      <c r="F15" s="5">
        <f t="shared" si="1"/>
        <v>93.619382000000002</v>
      </c>
      <c r="G15" s="5">
        <v>115</v>
      </c>
      <c r="H15" s="5">
        <v>37.5</v>
      </c>
      <c r="I15" s="5">
        <f t="shared" si="2"/>
        <v>104.92910599999999</v>
      </c>
      <c r="J15" s="5">
        <f t="shared" si="3"/>
        <v>1.095978078761102</v>
      </c>
      <c r="K15" s="5">
        <f t="shared" si="4"/>
        <v>14.9</v>
      </c>
      <c r="L15" s="5">
        <f t="shared" si="5"/>
        <v>16.7</v>
      </c>
      <c r="O15" s="5">
        <v>289.8</v>
      </c>
      <c r="P15" s="5">
        <f t="shared" si="8"/>
        <v>4905.6556168000006</v>
      </c>
      <c r="Q15" s="5">
        <v>161</v>
      </c>
      <c r="S15" s="5">
        <f t="shared" si="6"/>
        <v>5215.4910179640738</v>
      </c>
      <c r="T15" s="5">
        <f t="shared" si="7"/>
        <v>0.52154910179640734</v>
      </c>
    </row>
    <row r="16" spans="1:20" s="5" customFormat="1" x14ac:dyDescent="0.35">
      <c r="A16" s="8">
        <v>3359</v>
      </c>
      <c r="B16" s="5">
        <v>5</v>
      </c>
      <c r="C16" s="5">
        <v>30</v>
      </c>
      <c r="D16" s="5">
        <v>1.8</v>
      </c>
      <c r="E16" s="5">
        <f t="shared" si="0"/>
        <v>33.6</v>
      </c>
      <c r="F16" s="5">
        <f t="shared" si="1"/>
        <v>94.247699999999995</v>
      </c>
      <c r="G16" s="5">
        <v>114</v>
      </c>
      <c r="H16" s="5">
        <v>38</v>
      </c>
      <c r="I16" s="5">
        <f t="shared" si="2"/>
        <v>105.557424</v>
      </c>
      <c r="J16" s="5">
        <f t="shared" si="3"/>
        <v>1.0799808832015454</v>
      </c>
      <c r="K16" s="5">
        <f t="shared" si="4"/>
        <v>15</v>
      </c>
      <c r="L16" s="5">
        <f t="shared" si="5"/>
        <v>16.8</v>
      </c>
      <c r="O16" s="5">
        <v>332.64</v>
      </c>
      <c r="P16" s="5">
        <f t="shared" si="8"/>
        <v>4995.1280999999999</v>
      </c>
      <c r="Q16" s="5">
        <v>184.8</v>
      </c>
      <c r="S16" s="5">
        <f t="shared" si="6"/>
        <v>5209.8428571428567</v>
      </c>
      <c r="T16" s="5">
        <f t="shared" si="7"/>
        <v>0.52098428571428568</v>
      </c>
    </row>
    <row r="17" spans="1:20" s="5" customFormat="1" x14ac:dyDescent="0.35">
      <c r="A17" s="8">
        <v>3533</v>
      </c>
      <c r="B17" s="5">
        <v>6</v>
      </c>
      <c r="C17" s="5">
        <v>39.6</v>
      </c>
      <c r="D17" s="5">
        <v>1.8</v>
      </c>
      <c r="E17" s="5">
        <f t="shared" si="0"/>
        <v>43.2</v>
      </c>
      <c r="F17" s="5">
        <f t="shared" si="1"/>
        <v>124.406964</v>
      </c>
      <c r="G17" s="5">
        <v>115</v>
      </c>
      <c r="H17" s="5">
        <v>37.5</v>
      </c>
      <c r="I17" s="5">
        <f t="shared" si="2"/>
        <v>135.716688</v>
      </c>
      <c r="J17" s="5">
        <f t="shared" si="3"/>
        <v>0.8473534220051111</v>
      </c>
      <c r="K17" s="5">
        <f t="shared" si="4"/>
        <v>19.8</v>
      </c>
      <c r="L17" s="5">
        <f t="shared" si="5"/>
        <v>21.6</v>
      </c>
      <c r="O17" s="5">
        <v>289.8</v>
      </c>
      <c r="P17" s="5">
        <f t="shared" si="8"/>
        <v>7128.5190371999997</v>
      </c>
      <c r="Q17" s="5">
        <v>161</v>
      </c>
      <c r="S17" s="5">
        <f t="shared" si="6"/>
        <v>5879.375</v>
      </c>
      <c r="T17" s="5">
        <f t="shared" si="7"/>
        <v>0.5879375</v>
      </c>
    </row>
    <row r="18" spans="1:20" s="5" customFormat="1" x14ac:dyDescent="0.35">
      <c r="A18" s="8">
        <v>3564</v>
      </c>
      <c r="B18" s="5">
        <v>5</v>
      </c>
      <c r="C18" s="5">
        <v>52.1</v>
      </c>
      <c r="D18" s="5">
        <v>1.8</v>
      </c>
      <c r="E18" s="5">
        <v>42.4</v>
      </c>
      <c r="F18" s="5">
        <f t="shared" si="1"/>
        <v>163.676839</v>
      </c>
      <c r="G18" s="5">
        <v>114</v>
      </c>
      <c r="H18" s="5">
        <v>38</v>
      </c>
      <c r="I18" s="5">
        <f t="shared" si="2"/>
        <v>174.98656299999999</v>
      </c>
      <c r="J18" s="5">
        <f t="shared" si="3"/>
        <v>0.65147859381637208</v>
      </c>
      <c r="K18" s="5">
        <f t="shared" si="4"/>
        <v>26.05</v>
      </c>
      <c r="L18" s="5">
        <f t="shared" si="5"/>
        <v>21.2</v>
      </c>
      <c r="O18" s="5">
        <f>2*23.1*4*1.8</f>
        <v>332.64000000000004</v>
      </c>
      <c r="P18" s="5">
        <f>2*3.14159*K18*H18+(2*3.14159*(K18^2))</f>
        <v>10483.50153795</v>
      </c>
      <c r="Q18" s="5">
        <f>2*23.1*4</f>
        <v>184.8</v>
      </c>
      <c r="S18" s="5">
        <f>(J18*P18)-Q18</f>
        <v>6644.9768402154396</v>
      </c>
      <c r="T18" s="5">
        <f>S18/10000</f>
        <v>0.66449768402154397</v>
      </c>
    </row>
    <row r="19" spans="1:20" s="5" customFormat="1" x14ac:dyDescent="0.35">
      <c r="A19" s="8">
        <v>3589</v>
      </c>
      <c r="B19" s="5">
        <v>6</v>
      </c>
      <c r="C19" s="5">
        <v>48</v>
      </c>
      <c r="D19" s="5">
        <v>1.8</v>
      </c>
      <c r="E19" s="5">
        <f t="shared" si="0"/>
        <v>51.6</v>
      </c>
      <c r="F19" s="5">
        <f t="shared" si="1"/>
        <v>150.79631999999998</v>
      </c>
      <c r="G19" s="5">
        <v>115</v>
      </c>
      <c r="H19" s="5">
        <v>37.5</v>
      </c>
      <c r="I19" s="5">
        <f t="shared" si="2"/>
        <v>162.106044</v>
      </c>
      <c r="J19" s="5">
        <f t="shared" si="3"/>
        <v>0.70941216726009304</v>
      </c>
      <c r="K19" s="5">
        <f t="shared" si="4"/>
        <v>24</v>
      </c>
      <c r="L19" s="5">
        <f t="shared" si="5"/>
        <v>25.8</v>
      </c>
      <c r="O19" s="5">
        <f>2*23*3.5*1.8</f>
        <v>289.8</v>
      </c>
      <c r="P19" s="5">
        <f>2*3.14159*K19*H19+(2*3.14159*(K19^2))</f>
        <v>9273.9736799999991</v>
      </c>
      <c r="Q19" s="5">
        <f>2*23*3.5</f>
        <v>161</v>
      </c>
      <c r="S19" s="5">
        <f>(J19*P19)-Q19</f>
        <v>6418.0697674418598</v>
      </c>
      <c r="T19" s="5">
        <f>S19/10000</f>
        <v>0.64180697674418596</v>
      </c>
    </row>
    <row r="20" spans="1:20" s="5" customFormat="1" x14ac:dyDescent="0.35">
      <c r="A20" s="7">
        <v>4103</v>
      </c>
      <c r="B20" s="5">
        <v>5</v>
      </c>
      <c r="C20" s="5">
        <v>34</v>
      </c>
      <c r="D20" s="5">
        <v>1.8</v>
      </c>
      <c r="E20" s="5">
        <f t="shared" si="0"/>
        <v>37.6</v>
      </c>
      <c r="F20" s="5">
        <f t="shared" si="1"/>
        <v>106.81406</v>
      </c>
      <c r="G20" s="5">
        <v>114</v>
      </c>
      <c r="H20" s="5">
        <v>38</v>
      </c>
      <c r="I20" s="5">
        <f t="shared" si="2"/>
        <v>118.123784</v>
      </c>
      <c r="J20" s="5">
        <f t="shared" si="3"/>
        <v>0.96508929988223202</v>
      </c>
      <c r="K20" s="5">
        <f t="shared" si="4"/>
        <v>17</v>
      </c>
      <c r="L20" s="5">
        <f t="shared" si="5"/>
        <v>18.8</v>
      </c>
      <c r="O20" s="5">
        <v>332.64</v>
      </c>
      <c r="P20" s="5">
        <f t="shared" si="8"/>
        <v>5874.7732999999998</v>
      </c>
      <c r="Q20" s="5">
        <v>184.8</v>
      </c>
      <c r="S20" s="5">
        <f t="shared" si="6"/>
        <v>5484.8808510638291</v>
      </c>
      <c r="T20" s="5">
        <f t="shared" si="7"/>
        <v>0.54848808510638292</v>
      </c>
    </row>
    <row r="21" spans="1:20" s="5" customFormat="1" x14ac:dyDescent="0.35">
      <c r="A21" s="8">
        <v>4156</v>
      </c>
      <c r="B21" s="5">
        <v>5</v>
      </c>
      <c r="C21" s="5">
        <v>35.5</v>
      </c>
      <c r="D21" s="5">
        <v>1.8</v>
      </c>
      <c r="E21" s="5">
        <f t="shared" si="0"/>
        <v>39.1</v>
      </c>
      <c r="F21" s="5">
        <f t="shared" si="1"/>
        <v>111.526445</v>
      </c>
      <c r="G21" s="5">
        <v>114</v>
      </c>
      <c r="H21" s="5">
        <v>38</v>
      </c>
      <c r="I21" s="5">
        <f t="shared" si="2"/>
        <v>122.836169</v>
      </c>
      <c r="J21" s="5">
        <f t="shared" si="3"/>
        <v>0.92806541369749163</v>
      </c>
      <c r="K21" s="5">
        <f t="shared" si="4"/>
        <v>17.75</v>
      </c>
      <c r="L21" s="5">
        <f t="shared" si="5"/>
        <v>19.55</v>
      </c>
      <c r="M21" s="5">
        <v>41769.480000000003</v>
      </c>
      <c r="N21" s="5">
        <v>48618.31</v>
      </c>
      <c r="O21" s="5">
        <v>332.64</v>
      </c>
      <c r="P21" s="5">
        <f t="shared" si="8"/>
        <v>6217.5993087499992</v>
      </c>
      <c r="Q21" s="5">
        <v>184.8</v>
      </c>
      <c r="R21" s="5">
        <f>(J21*(N21-M21)) - O23</f>
        <v>6066.3622472937859</v>
      </c>
      <c r="S21" s="5">
        <f t="shared" si="6"/>
        <v>5585.5388746803055</v>
      </c>
      <c r="T21" s="5">
        <f t="shared" si="7"/>
        <v>0.55855388746803059</v>
      </c>
    </row>
    <row r="22" spans="1:20" s="5" customFormat="1" x14ac:dyDescent="0.35">
      <c r="A22" s="7">
        <v>4181</v>
      </c>
      <c r="B22" s="5">
        <v>6</v>
      </c>
      <c r="C22" s="5">
        <v>26</v>
      </c>
      <c r="D22" s="5">
        <v>1.8</v>
      </c>
      <c r="E22" s="5">
        <f t="shared" si="0"/>
        <v>29.6</v>
      </c>
      <c r="F22" s="5">
        <f t="shared" si="1"/>
        <v>81.681339999999992</v>
      </c>
      <c r="G22" s="5">
        <v>115</v>
      </c>
      <c r="H22" s="5">
        <v>37.5</v>
      </c>
      <c r="I22" s="5">
        <f t="shared" si="2"/>
        <v>92.991063999999994</v>
      </c>
      <c r="J22" s="5">
        <f t="shared" si="3"/>
        <v>1.2366779672507029</v>
      </c>
      <c r="K22" s="5">
        <f t="shared" si="4"/>
        <v>13</v>
      </c>
      <c r="L22" s="5">
        <f t="shared" si="5"/>
        <v>14.8</v>
      </c>
      <c r="O22" s="5">
        <v>289.8</v>
      </c>
      <c r="P22" s="5">
        <f t="shared" si="8"/>
        <v>4124.9076699999996</v>
      </c>
      <c r="Q22" s="5">
        <v>161</v>
      </c>
      <c r="S22" s="5">
        <f t="shared" si="6"/>
        <v>4940.1824324324325</v>
      </c>
      <c r="T22" s="5">
        <f t="shared" si="7"/>
        <v>0.49401824324324323</v>
      </c>
    </row>
    <row r="23" spans="1:20" s="5" customFormat="1" x14ac:dyDescent="0.35">
      <c r="A23" s="7">
        <v>4190</v>
      </c>
      <c r="B23" s="5">
        <v>6</v>
      </c>
      <c r="C23" s="5">
        <v>25</v>
      </c>
      <c r="D23" s="5">
        <v>1.8</v>
      </c>
      <c r="E23" s="5">
        <f t="shared" si="0"/>
        <v>28.6</v>
      </c>
      <c r="F23" s="5">
        <f t="shared" si="1"/>
        <v>78.539749999999998</v>
      </c>
      <c r="G23" s="5">
        <v>115</v>
      </c>
      <c r="H23" s="5">
        <v>37.5</v>
      </c>
      <c r="I23" s="5">
        <f t="shared" si="2"/>
        <v>89.849474000000001</v>
      </c>
      <c r="J23" s="5">
        <f t="shared" si="3"/>
        <v>1.2799184556161118</v>
      </c>
      <c r="K23" s="5">
        <f t="shared" si="4"/>
        <v>12.5</v>
      </c>
      <c r="L23" s="5">
        <f t="shared" si="5"/>
        <v>14.3</v>
      </c>
      <c r="O23" s="5">
        <v>289.8</v>
      </c>
      <c r="P23" s="5">
        <f t="shared" si="8"/>
        <v>3926.9874999999997</v>
      </c>
      <c r="Q23" s="5">
        <v>161</v>
      </c>
      <c r="S23" s="5">
        <f t="shared" si="6"/>
        <v>4865.2237762237755</v>
      </c>
      <c r="T23" s="5">
        <f t="shared" si="7"/>
        <v>0.48652237762237754</v>
      </c>
    </row>
    <row r="24" spans="1:20" s="5" customFormat="1" ht="13.5" customHeight="1" x14ac:dyDescent="0.35">
      <c r="A24" s="7">
        <v>4246</v>
      </c>
      <c r="B24" s="5">
        <v>6</v>
      </c>
      <c r="C24" s="5">
        <v>59.3</v>
      </c>
      <c r="D24" s="5">
        <v>1.8</v>
      </c>
      <c r="E24" s="5">
        <f t="shared" si="0"/>
        <v>62.9</v>
      </c>
      <c r="F24" s="5">
        <f t="shared" si="1"/>
        <v>186.29628699999998</v>
      </c>
      <c r="G24" s="5">
        <v>115</v>
      </c>
      <c r="H24" s="5">
        <v>37.5</v>
      </c>
      <c r="I24" s="5">
        <f t="shared" si="2"/>
        <v>197.606011</v>
      </c>
      <c r="J24" s="5">
        <f t="shared" si="3"/>
        <v>0.58196610223562484</v>
      </c>
      <c r="K24" s="5">
        <f t="shared" si="4"/>
        <v>29.65</v>
      </c>
      <c r="L24" s="5">
        <f t="shared" si="5"/>
        <v>31.45</v>
      </c>
      <c r="O24" s="5">
        <v>289.8</v>
      </c>
      <c r="P24" s="5">
        <f t="shared" si="8"/>
        <v>12509.795672049999</v>
      </c>
      <c r="Q24" s="5">
        <v>161</v>
      </c>
      <c r="S24" s="5">
        <f t="shared" si="6"/>
        <v>7119.2770270270266</v>
      </c>
      <c r="T24" s="5">
        <f t="shared" si="7"/>
        <v>0.71192770270270267</v>
      </c>
    </row>
    <row r="25" spans="1:20" s="5" customFormat="1" x14ac:dyDescent="0.35">
      <c r="A25" s="8">
        <v>4261</v>
      </c>
      <c r="B25" s="5">
        <v>5</v>
      </c>
      <c r="C25" s="5">
        <v>43.2</v>
      </c>
      <c r="D25" s="5">
        <v>1.8</v>
      </c>
      <c r="E25" s="5">
        <f t="shared" si="0"/>
        <v>46.800000000000004</v>
      </c>
      <c r="F25" s="5">
        <f t="shared" si="1"/>
        <v>135.716688</v>
      </c>
      <c r="G25" s="5">
        <v>114</v>
      </c>
      <c r="H25" s="5">
        <v>38</v>
      </c>
      <c r="I25" s="5">
        <f t="shared" si="2"/>
        <v>147.02641200000002</v>
      </c>
      <c r="J25" s="5">
        <f t="shared" si="3"/>
        <v>0.77537089050367347</v>
      </c>
      <c r="K25" s="5">
        <f t="shared" si="4"/>
        <v>21.6</v>
      </c>
      <c r="L25" s="5">
        <f t="shared" si="5"/>
        <v>23.400000000000002</v>
      </c>
      <c r="O25" s="5">
        <v>332.64</v>
      </c>
      <c r="P25" s="5">
        <f t="shared" si="8"/>
        <v>8088.7146048000004</v>
      </c>
      <c r="Q25" s="5">
        <v>184.8</v>
      </c>
      <c r="S25" s="5">
        <f t="shared" si="6"/>
        <v>6086.953846153845</v>
      </c>
      <c r="T25" s="5">
        <f t="shared" si="7"/>
        <v>0.60869538461538453</v>
      </c>
    </row>
    <row r="26" spans="1:20" s="5" customFormat="1" x14ac:dyDescent="0.35">
      <c r="A26" s="7">
        <v>4295</v>
      </c>
      <c r="B26" s="5">
        <v>5</v>
      </c>
      <c r="C26" s="5">
        <v>33.799999999999997</v>
      </c>
      <c r="D26" s="5">
        <v>1.8</v>
      </c>
      <c r="E26" s="5">
        <f t="shared" si="0"/>
        <v>37.4</v>
      </c>
      <c r="F26" s="5">
        <f t="shared" si="1"/>
        <v>106.18574199999999</v>
      </c>
      <c r="G26" s="5">
        <v>114</v>
      </c>
      <c r="H26" s="5">
        <v>38</v>
      </c>
      <c r="I26" s="5">
        <f t="shared" si="2"/>
        <v>117.49546599999999</v>
      </c>
      <c r="J26" s="5">
        <f t="shared" si="3"/>
        <v>0.97025020522919592</v>
      </c>
      <c r="K26" s="5">
        <f t="shared" si="4"/>
        <v>16.899999999999999</v>
      </c>
      <c r="L26" s="5">
        <f t="shared" si="5"/>
        <v>18.7</v>
      </c>
      <c r="O26" s="5">
        <v>332.64</v>
      </c>
      <c r="P26" s="5">
        <f t="shared" si="8"/>
        <v>5829.597235799999</v>
      </c>
      <c r="Q26" s="5">
        <v>184.8</v>
      </c>
      <c r="S26" s="5">
        <f t="shared" si="6"/>
        <v>5471.3679144385023</v>
      </c>
      <c r="T26" s="5">
        <f t="shared" si="7"/>
        <v>0.54713679144385019</v>
      </c>
    </row>
    <row r="27" spans="1:20" s="5" customFormat="1" x14ac:dyDescent="0.35">
      <c r="A27" s="8">
        <v>4783</v>
      </c>
      <c r="B27" s="5">
        <v>6</v>
      </c>
      <c r="C27" s="5">
        <v>55</v>
      </c>
      <c r="D27" s="5">
        <v>1.8</v>
      </c>
      <c r="E27" s="5">
        <f t="shared" si="0"/>
        <v>58.6</v>
      </c>
      <c r="F27" s="5">
        <f t="shared" si="1"/>
        <v>172.78745000000001</v>
      </c>
      <c r="G27" s="5">
        <v>115</v>
      </c>
      <c r="H27" s="5">
        <v>37.5</v>
      </c>
      <c r="I27" s="5">
        <f t="shared" si="2"/>
        <v>184.097174</v>
      </c>
      <c r="J27" s="5">
        <f t="shared" si="3"/>
        <v>0.62467009949864849</v>
      </c>
      <c r="K27" s="5">
        <f t="shared" si="4"/>
        <v>27.5</v>
      </c>
      <c r="L27" s="5">
        <f t="shared" si="5"/>
        <v>29.3</v>
      </c>
      <c r="O27" s="5">
        <v>289.8</v>
      </c>
      <c r="P27" s="5">
        <f t="shared" si="8"/>
        <v>11231.18425</v>
      </c>
      <c r="Q27" s="5">
        <v>161</v>
      </c>
      <c r="S27" s="5">
        <f t="shared" si="6"/>
        <v>6854.7849829351544</v>
      </c>
      <c r="T27" s="5">
        <f t="shared" si="7"/>
        <v>0.68547849829351548</v>
      </c>
    </row>
    <row r="28" spans="1:20" s="5" customFormat="1" x14ac:dyDescent="0.35">
      <c r="A28" s="7">
        <v>4797</v>
      </c>
      <c r="B28" s="5">
        <v>5</v>
      </c>
      <c r="C28" s="5">
        <v>32.1</v>
      </c>
      <c r="D28" s="5">
        <v>1.8</v>
      </c>
      <c r="E28" s="5">
        <f t="shared" si="0"/>
        <v>35.700000000000003</v>
      </c>
      <c r="F28" s="5">
        <f t="shared" si="1"/>
        <v>100.845039</v>
      </c>
      <c r="G28" s="5">
        <v>114</v>
      </c>
      <c r="H28" s="5">
        <v>38</v>
      </c>
      <c r="I28" s="5">
        <f t="shared" si="2"/>
        <v>112.154763</v>
      </c>
      <c r="J28" s="5">
        <f t="shared" si="3"/>
        <v>1.0164525959543955</v>
      </c>
      <c r="K28" s="5">
        <f t="shared" si="4"/>
        <v>16.05</v>
      </c>
      <c r="L28" s="5">
        <f t="shared" si="5"/>
        <v>17.850000000000001</v>
      </c>
      <c r="O28" s="5">
        <v>332.64</v>
      </c>
      <c r="P28" s="5">
        <f t="shared" si="8"/>
        <v>5450.6743579499998</v>
      </c>
      <c r="Q28" s="5">
        <v>184.8</v>
      </c>
      <c r="S28" s="5">
        <f t="shared" si="6"/>
        <v>5355.5521008403348</v>
      </c>
      <c r="T28" s="5">
        <f t="shared" si="7"/>
        <v>0.53555521008403351</v>
      </c>
    </row>
    <row r="29" spans="1:20" s="5" customFormat="1" x14ac:dyDescent="0.35">
      <c r="A29" s="7">
        <v>5078</v>
      </c>
      <c r="B29" s="5">
        <v>5</v>
      </c>
      <c r="C29" s="5">
        <v>37</v>
      </c>
      <c r="D29" s="5">
        <v>1.8</v>
      </c>
      <c r="E29" s="5">
        <f t="shared" si="0"/>
        <v>40.6</v>
      </c>
      <c r="F29" s="5">
        <f t="shared" si="1"/>
        <v>116.23882999999999</v>
      </c>
      <c r="G29" s="5">
        <v>114</v>
      </c>
      <c r="H29" s="5">
        <v>38</v>
      </c>
      <c r="I29" s="5">
        <f t="shared" si="2"/>
        <v>127.548554</v>
      </c>
      <c r="J29" s="5">
        <f t="shared" si="3"/>
        <v>0.89377728264955481</v>
      </c>
      <c r="K29" s="5">
        <f t="shared" si="4"/>
        <v>18.5</v>
      </c>
      <c r="L29" s="5">
        <f t="shared" si="5"/>
        <v>20.3</v>
      </c>
      <c r="O29" s="5">
        <v>332.64</v>
      </c>
      <c r="P29" s="5">
        <f t="shared" si="8"/>
        <v>6567.4938949999996</v>
      </c>
      <c r="Q29" s="5">
        <v>184.8</v>
      </c>
      <c r="S29" s="5">
        <f t="shared" si="6"/>
        <v>5685.0768472906402</v>
      </c>
      <c r="T29" s="5">
        <f t="shared" si="7"/>
        <v>0.56850768472906399</v>
      </c>
    </row>
    <row r="30" spans="1:20" s="5" customFormat="1" x14ac:dyDescent="0.35">
      <c r="A30" s="7">
        <v>5086</v>
      </c>
      <c r="B30" s="5">
        <v>6</v>
      </c>
      <c r="C30" s="5">
        <v>42.5</v>
      </c>
      <c r="D30" s="5">
        <v>1.8</v>
      </c>
      <c r="E30" s="5">
        <f t="shared" ref="E30:E48" si="9">C30+(2*D30)</f>
        <v>46.1</v>
      </c>
      <c r="F30" s="5">
        <f t="shared" ref="F30:F48" si="10">3.14159*C30</f>
        <v>133.51757499999999</v>
      </c>
      <c r="G30" s="5">
        <v>115</v>
      </c>
      <c r="H30" s="5">
        <v>37.5</v>
      </c>
      <c r="I30" s="5">
        <f t="shared" ref="I30:I48" si="11">3.14159*(C30+(2*D30))</f>
        <v>144.82729900000001</v>
      </c>
      <c r="J30" s="5">
        <f t="shared" ref="J30:J48" si="12">G30/I30</f>
        <v>0.79404919372279392</v>
      </c>
      <c r="K30" s="5">
        <f t="shared" ref="K30:K48" si="13">C30*0.5</f>
        <v>21.25</v>
      </c>
      <c r="L30" s="5">
        <f t="shared" ref="L30:L48" si="14">E30*0.5</f>
        <v>23.05</v>
      </c>
      <c r="O30" s="5">
        <v>289.8</v>
      </c>
      <c r="P30" s="5">
        <f t="shared" ref="P30:P48" si="15">2*3.14159*K30*H30+(2*3.14159*(K30^2))</f>
        <v>7844.1575312499999</v>
      </c>
      <c r="Q30" s="5">
        <v>161</v>
      </c>
      <c r="S30" s="5">
        <f t="shared" ref="S30:S47" si="16">(J30*P30)-Q30</f>
        <v>6067.6469631236441</v>
      </c>
      <c r="T30" s="5">
        <f t="shared" ref="T30:T48" si="17">S30/10000</f>
        <v>0.6067646963123644</v>
      </c>
    </row>
    <row r="31" spans="1:20" s="5" customFormat="1" x14ac:dyDescent="0.35">
      <c r="A31" s="7">
        <v>5091</v>
      </c>
      <c r="B31" s="5">
        <v>5</v>
      </c>
      <c r="C31" s="5">
        <v>29.7</v>
      </c>
      <c r="D31" s="5">
        <v>1.8</v>
      </c>
      <c r="E31" s="5">
        <f t="shared" si="9"/>
        <v>33.299999999999997</v>
      </c>
      <c r="F31" s="5">
        <f t="shared" si="10"/>
        <v>93.305222999999998</v>
      </c>
      <c r="G31" s="5">
        <v>114</v>
      </c>
      <c r="H31" s="5">
        <v>38</v>
      </c>
      <c r="I31" s="5">
        <f t="shared" si="11"/>
        <v>104.61494699999999</v>
      </c>
      <c r="J31" s="5">
        <f t="shared" si="12"/>
        <v>1.0897104407078657</v>
      </c>
      <c r="K31" s="5">
        <f t="shared" si="13"/>
        <v>14.85</v>
      </c>
      <c r="L31" s="5">
        <f t="shared" si="14"/>
        <v>16.649999999999999</v>
      </c>
      <c r="O31" s="5">
        <v>332.64</v>
      </c>
      <c r="P31" s="5">
        <f t="shared" si="15"/>
        <v>4931.1810355500002</v>
      </c>
      <c r="Q31" s="5">
        <v>184.8</v>
      </c>
      <c r="S31" s="5">
        <f t="shared" si="16"/>
        <v>5188.7594594594602</v>
      </c>
      <c r="T31" s="5">
        <f t="shared" si="17"/>
        <v>0.51887594594594599</v>
      </c>
    </row>
    <row r="32" spans="1:20" s="5" customFormat="1" x14ac:dyDescent="0.35">
      <c r="A32" s="7">
        <v>5092</v>
      </c>
      <c r="B32" s="5">
        <v>6</v>
      </c>
      <c r="C32" s="5">
        <v>36</v>
      </c>
      <c r="D32" s="5">
        <v>1.8</v>
      </c>
      <c r="E32" s="5">
        <f t="shared" si="9"/>
        <v>39.6</v>
      </c>
      <c r="F32" s="5">
        <f t="shared" si="10"/>
        <v>113.09724</v>
      </c>
      <c r="G32" s="5">
        <v>115</v>
      </c>
      <c r="H32" s="5">
        <v>37.5</v>
      </c>
      <c r="I32" s="5">
        <f t="shared" si="11"/>
        <v>124.406964</v>
      </c>
      <c r="J32" s="5">
        <f t="shared" si="12"/>
        <v>0.92438555127830302</v>
      </c>
      <c r="K32" s="5">
        <f t="shared" si="13"/>
        <v>18</v>
      </c>
      <c r="L32" s="5">
        <f t="shared" si="14"/>
        <v>19.8</v>
      </c>
      <c r="O32" s="5">
        <v>289.8</v>
      </c>
      <c r="P32" s="5">
        <f t="shared" si="15"/>
        <v>6276.8968199999999</v>
      </c>
      <c r="Q32" s="5">
        <v>161</v>
      </c>
      <c r="S32" s="5">
        <f t="shared" si="16"/>
        <v>5641.272727272727</v>
      </c>
      <c r="T32" s="5">
        <f t="shared" si="17"/>
        <v>0.5641272727272727</v>
      </c>
    </row>
    <row r="33" spans="1:20" s="5" customFormat="1" x14ac:dyDescent="0.35">
      <c r="A33" s="7">
        <v>5099</v>
      </c>
      <c r="B33" s="5">
        <v>5</v>
      </c>
      <c r="C33" s="5">
        <v>33.799999999999997</v>
      </c>
      <c r="D33" s="5">
        <v>1.8</v>
      </c>
      <c r="E33" s="5">
        <f t="shared" si="9"/>
        <v>37.4</v>
      </c>
      <c r="F33" s="5">
        <f t="shared" si="10"/>
        <v>106.18574199999999</v>
      </c>
      <c r="G33" s="5">
        <v>114</v>
      </c>
      <c r="H33" s="5">
        <v>38</v>
      </c>
      <c r="I33" s="5">
        <f t="shared" si="11"/>
        <v>117.49546599999999</v>
      </c>
      <c r="J33" s="5">
        <f t="shared" si="12"/>
        <v>0.97025020522919592</v>
      </c>
      <c r="K33" s="5">
        <f t="shared" si="13"/>
        <v>16.899999999999999</v>
      </c>
      <c r="L33" s="5">
        <f t="shared" si="14"/>
        <v>18.7</v>
      </c>
      <c r="O33" s="5">
        <v>332.64</v>
      </c>
      <c r="P33" s="5">
        <f t="shared" si="15"/>
        <v>5829.597235799999</v>
      </c>
      <c r="Q33" s="5">
        <v>184.8</v>
      </c>
      <c r="S33" s="5">
        <f t="shared" si="16"/>
        <v>5471.3679144385023</v>
      </c>
      <c r="T33" s="5">
        <f t="shared" si="17"/>
        <v>0.54713679144385019</v>
      </c>
    </row>
    <row r="34" spans="1:20" s="5" customFormat="1" x14ac:dyDescent="0.35">
      <c r="A34" s="8">
        <v>6326</v>
      </c>
      <c r="B34" s="5">
        <v>5</v>
      </c>
      <c r="C34" s="5">
        <v>35</v>
      </c>
      <c r="D34" s="5">
        <v>1.8</v>
      </c>
      <c r="E34" s="5">
        <f t="shared" si="9"/>
        <v>38.6</v>
      </c>
      <c r="F34" s="5">
        <f t="shared" si="10"/>
        <v>109.95564999999999</v>
      </c>
      <c r="G34" s="5">
        <v>114</v>
      </c>
      <c r="H34" s="5">
        <v>38</v>
      </c>
      <c r="I34" s="5">
        <f t="shared" si="11"/>
        <v>121.26537399999999</v>
      </c>
      <c r="J34" s="5">
        <f t="shared" si="12"/>
        <v>0.94008698641378041</v>
      </c>
      <c r="K34" s="5">
        <f t="shared" si="13"/>
        <v>17.5</v>
      </c>
      <c r="L34" s="5">
        <f t="shared" si="14"/>
        <v>19.3</v>
      </c>
      <c r="O34" s="5">
        <v>332.64</v>
      </c>
      <c r="P34" s="5">
        <f t="shared" si="15"/>
        <v>6102.5385749999996</v>
      </c>
      <c r="Q34" s="5">
        <v>184.8</v>
      </c>
      <c r="S34" s="5">
        <f t="shared" si="16"/>
        <v>5552.1170984455957</v>
      </c>
      <c r="T34" s="5">
        <f t="shared" si="17"/>
        <v>0.55521170984455959</v>
      </c>
    </row>
    <row r="35" spans="1:20" s="5" customFormat="1" x14ac:dyDescent="0.35">
      <c r="A35" s="7">
        <v>6371</v>
      </c>
      <c r="B35" s="5">
        <v>6</v>
      </c>
      <c r="C35" s="5">
        <v>45.3</v>
      </c>
      <c r="D35" s="5">
        <v>1.8</v>
      </c>
      <c r="E35" s="5">
        <f t="shared" si="9"/>
        <v>48.9</v>
      </c>
      <c r="F35" s="5">
        <f t="shared" si="10"/>
        <v>142.31402699999998</v>
      </c>
      <c r="G35" s="5">
        <v>115</v>
      </c>
      <c r="H35" s="5">
        <v>37.5</v>
      </c>
      <c r="I35" s="5">
        <f t="shared" si="11"/>
        <v>153.623751</v>
      </c>
      <c r="J35" s="5">
        <f t="shared" si="12"/>
        <v>0.74858216422537427</v>
      </c>
      <c r="K35" s="5">
        <f t="shared" si="13"/>
        <v>22.65</v>
      </c>
      <c r="L35" s="5">
        <f t="shared" si="14"/>
        <v>24.45</v>
      </c>
      <c r="O35" s="5">
        <v>289.8</v>
      </c>
      <c r="P35" s="5">
        <f t="shared" si="15"/>
        <v>8560.18872405</v>
      </c>
      <c r="Q35" s="5">
        <v>161</v>
      </c>
      <c r="S35" s="5">
        <f t="shared" si="16"/>
        <v>6247.0046012269941</v>
      </c>
      <c r="T35" s="5">
        <f t="shared" si="17"/>
        <v>0.62470046012269942</v>
      </c>
    </row>
    <row r="36" spans="1:20" s="5" customFormat="1" x14ac:dyDescent="0.35">
      <c r="A36" s="7">
        <v>6393</v>
      </c>
      <c r="B36" s="5">
        <v>5</v>
      </c>
      <c r="C36" s="5">
        <v>37.6</v>
      </c>
      <c r="D36" s="5">
        <v>1.8</v>
      </c>
      <c r="E36" s="5">
        <f t="shared" si="9"/>
        <v>41.2</v>
      </c>
      <c r="F36" s="5">
        <f t="shared" si="10"/>
        <v>118.123784</v>
      </c>
      <c r="G36" s="5">
        <v>114</v>
      </c>
      <c r="H36" s="5">
        <v>38</v>
      </c>
      <c r="I36" s="5">
        <f t="shared" si="11"/>
        <v>129.43350800000002</v>
      </c>
      <c r="J36" s="5">
        <f t="shared" si="12"/>
        <v>0.88076110863038637</v>
      </c>
      <c r="K36" s="5">
        <f t="shared" si="13"/>
        <v>18.8</v>
      </c>
      <c r="L36" s="5">
        <f t="shared" si="14"/>
        <v>20.6</v>
      </c>
      <c r="O36" s="5">
        <v>332.64</v>
      </c>
      <c r="P36" s="5">
        <f t="shared" si="15"/>
        <v>6709.4309312000005</v>
      </c>
      <c r="Q36" s="5">
        <v>184.8</v>
      </c>
      <c r="S36" s="5">
        <f t="shared" si="16"/>
        <v>5724.6058252427174</v>
      </c>
      <c r="T36" s="5">
        <f t="shared" si="17"/>
        <v>0.57246058252427179</v>
      </c>
    </row>
    <row r="37" spans="1:20" s="5" customFormat="1" x14ac:dyDescent="0.35">
      <c r="A37" s="8">
        <v>7361</v>
      </c>
      <c r="B37" s="5">
        <v>5</v>
      </c>
      <c r="C37" s="5">
        <v>34.200000000000003</v>
      </c>
      <c r="D37" s="5">
        <v>1.8</v>
      </c>
      <c r="E37" s="5">
        <f t="shared" si="9"/>
        <v>37.800000000000004</v>
      </c>
      <c r="F37" s="5">
        <f t="shared" si="10"/>
        <v>107.44237800000001</v>
      </c>
      <c r="G37" s="5">
        <v>114</v>
      </c>
      <c r="H37" s="5">
        <v>38</v>
      </c>
      <c r="I37" s="5">
        <f t="shared" si="11"/>
        <v>118.75210200000001</v>
      </c>
      <c r="J37" s="5">
        <f t="shared" si="12"/>
        <v>0.95998300729026242</v>
      </c>
      <c r="K37" s="5">
        <f t="shared" si="13"/>
        <v>17.100000000000001</v>
      </c>
      <c r="L37" s="5">
        <f t="shared" si="14"/>
        <v>18.900000000000002</v>
      </c>
      <c r="O37" s="5">
        <v>332.64</v>
      </c>
      <c r="P37" s="5">
        <f t="shared" si="15"/>
        <v>5920.0750278000005</v>
      </c>
      <c r="Q37" s="5">
        <v>184.8</v>
      </c>
      <c r="S37" s="5">
        <f t="shared" si="16"/>
        <v>5498.3714285714286</v>
      </c>
      <c r="T37" s="5">
        <f t="shared" si="17"/>
        <v>0.54983714285714291</v>
      </c>
    </row>
    <row r="38" spans="1:20" s="5" customFormat="1" x14ac:dyDescent="0.35">
      <c r="A38" s="8">
        <v>7397</v>
      </c>
      <c r="B38" s="5">
        <v>5</v>
      </c>
      <c r="C38" s="5">
        <v>39.200000000000003</v>
      </c>
      <c r="D38" s="5">
        <v>1.8</v>
      </c>
      <c r="E38" s="5">
        <f t="shared" si="9"/>
        <v>42.800000000000004</v>
      </c>
      <c r="F38" s="5">
        <f t="shared" si="10"/>
        <v>123.150328</v>
      </c>
      <c r="G38" s="5">
        <v>114</v>
      </c>
      <c r="H38" s="5">
        <v>38</v>
      </c>
      <c r="I38" s="5">
        <f t="shared" si="11"/>
        <v>134.46005200000002</v>
      </c>
      <c r="J38" s="5">
        <f t="shared" si="12"/>
        <v>0.84783545970962426</v>
      </c>
      <c r="K38" s="5">
        <f t="shared" si="13"/>
        <v>19.600000000000001</v>
      </c>
      <c r="L38" s="5">
        <f t="shared" si="14"/>
        <v>21.400000000000002</v>
      </c>
      <c r="O38" s="5">
        <v>332.64</v>
      </c>
      <c r="P38" s="5">
        <f t="shared" si="15"/>
        <v>7093.4588928000012</v>
      </c>
      <c r="Q38" s="5">
        <v>184.8</v>
      </c>
      <c r="S38" s="5">
        <f t="shared" si="16"/>
        <v>5829.2859813084115</v>
      </c>
      <c r="T38" s="5">
        <f t="shared" si="17"/>
        <v>0.58292859813084119</v>
      </c>
    </row>
    <row r="39" spans="1:20" s="5" customFormat="1" x14ac:dyDescent="0.35">
      <c r="A39" s="8">
        <v>7447</v>
      </c>
      <c r="B39" s="5">
        <v>6</v>
      </c>
      <c r="C39" s="5">
        <v>37</v>
      </c>
      <c r="D39" s="5">
        <v>1.8</v>
      </c>
      <c r="E39" s="5">
        <f t="shared" si="9"/>
        <v>40.6</v>
      </c>
      <c r="F39" s="5">
        <f t="shared" si="10"/>
        <v>116.23882999999999</v>
      </c>
      <c r="G39" s="5">
        <v>115</v>
      </c>
      <c r="H39" s="5">
        <v>37.5</v>
      </c>
      <c r="I39" s="5">
        <f t="shared" si="11"/>
        <v>127.548554</v>
      </c>
      <c r="J39" s="5">
        <f t="shared" si="12"/>
        <v>0.9016174342517439</v>
      </c>
      <c r="K39" s="5">
        <f t="shared" si="13"/>
        <v>18.5</v>
      </c>
      <c r="L39" s="5">
        <f t="shared" si="14"/>
        <v>20.3</v>
      </c>
      <c r="O39" s="5">
        <v>289.8</v>
      </c>
      <c r="P39" s="5">
        <f t="shared" si="15"/>
        <v>6509.3744799999995</v>
      </c>
      <c r="Q39" s="5">
        <v>161</v>
      </c>
      <c r="S39" s="5">
        <f t="shared" si="16"/>
        <v>5707.9655172413795</v>
      </c>
      <c r="T39" s="5">
        <f t="shared" si="17"/>
        <v>0.5707965517241379</v>
      </c>
    </row>
    <row r="40" spans="1:20" s="5" customFormat="1" x14ac:dyDescent="0.35">
      <c r="A40" s="8">
        <v>8833</v>
      </c>
      <c r="B40" s="5">
        <v>5</v>
      </c>
      <c r="C40" s="5">
        <v>55</v>
      </c>
      <c r="D40" s="5">
        <v>1.8</v>
      </c>
      <c r="E40" s="5">
        <f t="shared" si="9"/>
        <v>58.6</v>
      </c>
      <c r="F40" s="5">
        <f t="shared" si="10"/>
        <v>172.78745000000001</v>
      </c>
      <c r="G40" s="5">
        <v>114</v>
      </c>
      <c r="H40" s="5">
        <v>38</v>
      </c>
      <c r="I40" s="5">
        <f t="shared" si="11"/>
        <v>184.097174</v>
      </c>
      <c r="J40" s="5">
        <f t="shared" si="12"/>
        <v>0.61923818558996457</v>
      </c>
      <c r="K40" s="5">
        <f t="shared" si="13"/>
        <v>27.5</v>
      </c>
      <c r="L40" s="5">
        <f t="shared" si="14"/>
        <v>29.3</v>
      </c>
      <c r="O40" s="5">
        <v>332.64</v>
      </c>
      <c r="P40" s="5">
        <f t="shared" si="15"/>
        <v>11317.577975</v>
      </c>
      <c r="Q40" s="5">
        <v>184.8</v>
      </c>
      <c r="S40" s="5">
        <f t="shared" si="16"/>
        <v>6823.4764505119456</v>
      </c>
      <c r="T40" s="5">
        <f t="shared" si="17"/>
        <v>0.68234764505119461</v>
      </c>
    </row>
    <row r="41" spans="1:20" s="5" customFormat="1" x14ac:dyDescent="0.35">
      <c r="A41" s="8">
        <v>8835</v>
      </c>
      <c r="B41" s="5">
        <v>6</v>
      </c>
      <c r="C41" s="5">
        <v>48.7</v>
      </c>
      <c r="D41" s="5">
        <v>1.8</v>
      </c>
      <c r="E41" s="5">
        <f t="shared" si="9"/>
        <v>52.300000000000004</v>
      </c>
      <c r="F41" s="5">
        <f t="shared" si="10"/>
        <v>152.99543299999999</v>
      </c>
      <c r="G41" s="5">
        <v>115</v>
      </c>
      <c r="H41" s="5">
        <v>37.5</v>
      </c>
      <c r="I41" s="5">
        <f t="shared" si="11"/>
        <v>164.30515700000001</v>
      </c>
      <c r="J41" s="5">
        <f t="shared" si="12"/>
        <v>0.69991716693347605</v>
      </c>
      <c r="K41" s="5">
        <f t="shared" si="13"/>
        <v>24.35</v>
      </c>
      <c r="L41" s="5">
        <f t="shared" si="14"/>
        <v>26.150000000000002</v>
      </c>
      <c r="O41" s="5">
        <v>289.8</v>
      </c>
      <c r="P41" s="5">
        <f t="shared" si="15"/>
        <v>9462.7675310499999</v>
      </c>
      <c r="Q41" s="5">
        <v>161</v>
      </c>
      <c r="S41" s="5">
        <f t="shared" si="16"/>
        <v>6462.1534416825998</v>
      </c>
      <c r="T41" s="5">
        <f t="shared" si="17"/>
        <v>0.64621534416825999</v>
      </c>
    </row>
    <row r="42" spans="1:20" s="5" customFormat="1" ht="15.5" x14ac:dyDescent="0.35">
      <c r="A42" s="9" t="s">
        <v>20</v>
      </c>
      <c r="B42" s="5">
        <v>6</v>
      </c>
      <c r="C42" s="5">
        <v>29.4</v>
      </c>
      <c r="D42" s="5">
        <v>1.8</v>
      </c>
      <c r="E42" s="5">
        <f t="shared" si="9"/>
        <v>33</v>
      </c>
      <c r="F42" s="5">
        <f t="shared" si="10"/>
        <v>92.362745999999987</v>
      </c>
      <c r="G42" s="5">
        <v>115</v>
      </c>
      <c r="H42" s="5">
        <v>37.5</v>
      </c>
      <c r="I42" s="5">
        <f t="shared" si="11"/>
        <v>103.67246999999999</v>
      </c>
      <c r="J42" s="5">
        <f t="shared" si="12"/>
        <v>1.1092626615339638</v>
      </c>
      <c r="K42" s="5">
        <f t="shared" si="13"/>
        <v>14.7</v>
      </c>
      <c r="L42" s="5">
        <f t="shared" si="14"/>
        <v>16.5</v>
      </c>
      <c r="O42" s="5">
        <v>289.8</v>
      </c>
      <c r="P42" s="5">
        <f t="shared" si="15"/>
        <v>4821.3353411999997</v>
      </c>
      <c r="Q42" s="5">
        <v>161</v>
      </c>
      <c r="S42" s="5">
        <f t="shared" si="16"/>
        <v>5187.1272727272735</v>
      </c>
      <c r="T42" s="5">
        <f t="shared" si="17"/>
        <v>0.51871272727272733</v>
      </c>
    </row>
    <row r="43" spans="1:20" s="5" customFormat="1" x14ac:dyDescent="0.35">
      <c r="A43" s="8" t="s">
        <v>25</v>
      </c>
      <c r="B43" s="5">
        <v>6</v>
      </c>
      <c r="C43" s="5">
        <v>37</v>
      </c>
      <c r="D43" s="5">
        <v>1.8</v>
      </c>
      <c r="E43" s="5">
        <f t="shared" si="9"/>
        <v>40.6</v>
      </c>
      <c r="F43" s="5">
        <f t="shared" si="10"/>
        <v>116.23882999999999</v>
      </c>
      <c r="G43" s="5">
        <v>115</v>
      </c>
      <c r="H43" s="5">
        <v>37.5</v>
      </c>
      <c r="I43" s="5">
        <f t="shared" si="11"/>
        <v>127.548554</v>
      </c>
      <c r="J43" s="5">
        <f t="shared" si="12"/>
        <v>0.9016174342517439</v>
      </c>
      <c r="K43" s="5">
        <f t="shared" si="13"/>
        <v>18.5</v>
      </c>
      <c r="L43" s="5">
        <f t="shared" si="14"/>
        <v>20.3</v>
      </c>
      <c r="O43" s="5">
        <v>289.8</v>
      </c>
      <c r="P43" s="5">
        <f t="shared" si="15"/>
        <v>6509.3744799999995</v>
      </c>
      <c r="Q43" s="5">
        <v>161</v>
      </c>
      <c r="S43" s="5">
        <f t="shared" si="16"/>
        <v>5707.9655172413795</v>
      </c>
      <c r="T43" s="5">
        <f t="shared" si="17"/>
        <v>0.5707965517241379</v>
      </c>
    </row>
    <row r="44" spans="1:20" s="5" customFormat="1" x14ac:dyDescent="0.35">
      <c r="A44" s="7" t="s">
        <v>19</v>
      </c>
      <c r="B44" s="5">
        <v>5</v>
      </c>
      <c r="C44" s="5">
        <v>32.9</v>
      </c>
      <c r="D44" s="5">
        <v>1.8</v>
      </c>
      <c r="E44" s="5">
        <f t="shared" si="9"/>
        <v>36.5</v>
      </c>
      <c r="F44" s="5">
        <f t="shared" si="10"/>
        <v>103.35831099999999</v>
      </c>
      <c r="G44" s="5">
        <v>114</v>
      </c>
      <c r="H44" s="5">
        <v>38</v>
      </c>
      <c r="I44" s="5">
        <f t="shared" si="11"/>
        <v>114.66803499999999</v>
      </c>
      <c r="J44" s="5">
        <f t="shared" si="12"/>
        <v>0.99417418289238157</v>
      </c>
      <c r="K44" s="5">
        <f t="shared" si="13"/>
        <v>16.45</v>
      </c>
      <c r="L44" s="5">
        <f t="shared" si="14"/>
        <v>18.25</v>
      </c>
      <c r="O44" s="5">
        <v>332.64</v>
      </c>
      <c r="P44" s="5">
        <f t="shared" si="15"/>
        <v>5627.860033949999</v>
      </c>
      <c r="Q44" s="5">
        <v>184.8</v>
      </c>
      <c r="S44" s="5">
        <f t="shared" si="16"/>
        <v>5410.2731506849304</v>
      </c>
      <c r="T44" s="5">
        <f t="shared" si="17"/>
        <v>0.541027315068493</v>
      </c>
    </row>
    <row r="45" spans="1:20" s="5" customFormat="1" x14ac:dyDescent="0.35">
      <c r="A45" s="8" t="s">
        <v>23</v>
      </c>
      <c r="B45" s="5">
        <v>5</v>
      </c>
      <c r="C45" s="5">
        <v>34.1</v>
      </c>
      <c r="D45" s="5">
        <v>1.8</v>
      </c>
      <c r="E45" s="5">
        <f t="shared" si="9"/>
        <v>37.700000000000003</v>
      </c>
      <c r="F45" s="5">
        <f t="shared" si="10"/>
        <v>107.128219</v>
      </c>
      <c r="G45" s="5">
        <v>114</v>
      </c>
      <c r="H45" s="5">
        <v>38</v>
      </c>
      <c r="I45" s="5">
        <f t="shared" si="11"/>
        <v>118.437943</v>
      </c>
      <c r="J45" s="5">
        <f t="shared" si="12"/>
        <v>0.96252938131490506</v>
      </c>
      <c r="K45" s="5">
        <f t="shared" si="13"/>
        <v>17.05</v>
      </c>
      <c r="L45" s="5">
        <f t="shared" si="14"/>
        <v>18.850000000000001</v>
      </c>
      <c r="O45" s="5">
        <v>332.64</v>
      </c>
      <c r="P45" s="5">
        <f t="shared" si="15"/>
        <v>5897.4084559500006</v>
      </c>
      <c r="Q45" s="5">
        <v>184.8</v>
      </c>
      <c r="S45" s="5">
        <f t="shared" si="16"/>
        <v>5491.6289124668438</v>
      </c>
      <c r="T45" s="5">
        <f t="shared" si="17"/>
        <v>0.54916289124668438</v>
      </c>
    </row>
    <row r="46" spans="1:20" s="5" customFormat="1" x14ac:dyDescent="0.35">
      <c r="A46" s="8" t="s">
        <v>21</v>
      </c>
      <c r="B46" s="5">
        <v>6</v>
      </c>
      <c r="C46" s="5">
        <v>32.200000000000003</v>
      </c>
      <c r="D46" s="5">
        <v>1.8</v>
      </c>
      <c r="E46" s="5">
        <f t="shared" si="9"/>
        <v>35.800000000000004</v>
      </c>
      <c r="F46" s="5">
        <f t="shared" si="10"/>
        <v>101.159198</v>
      </c>
      <c r="G46" s="5">
        <v>115</v>
      </c>
      <c r="H46" s="5">
        <v>37.5</v>
      </c>
      <c r="I46" s="5">
        <f t="shared" si="11"/>
        <v>112.46892200000001</v>
      </c>
      <c r="J46" s="5">
        <f t="shared" si="12"/>
        <v>1.0225046880061675</v>
      </c>
      <c r="K46" s="5">
        <f t="shared" si="13"/>
        <v>16.100000000000001</v>
      </c>
      <c r="L46" s="5">
        <f t="shared" si="14"/>
        <v>17.900000000000002</v>
      </c>
      <c r="O46" s="5">
        <v>289.8</v>
      </c>
      <c r="P46" s="5">
        <f t="shared" si="15"/>
        <v>5422.1330128000009</v>
      </c>
      <c r="Q46" s="5">
        <v>161</v>
      </c>
      <c r="S46" s="5">
        <f t="shared" si="16"/>
        <v>5383.1564245810059</v>
      </c>
      <c r="T46" s="5">
        <f t="shared" si="17"/>
        <v>0.5383156424581006</v>
      </c>
    </row>
    <row r="47" spans="1:20" s="5" customFormat="1" x14ac:dyDescent="0.35">
      <c r="A47" s="8" t="s">
        <v>22</v>
      </c>
      <c r="B47" s="5">
        <v>6</v>
      </c>
      <c r="C47" s="5">
        <v>30.3</v>
      </c>
      <c r="D47" s="5">
        <v>1.8</v>
      </c>
      <c r="E47" s="5">
        <f t="shared" si="9"/>
        <v>33.9</v>
      </c>
      <c r="F47" s="5">
        <f t="shared" si="10"/>
        <v>95.190177000000006</v>
      </c>
      <c r="G47" s="5">
        <v>115</v>
      </c>
      <c r="H47" s="5">
        <v>37.5</v>
      </c>
      <c r="I47" s="5">
        <f t="shared" si="11"/>
        <v>106.49990099999999</v>
      </c>
      <c r="J47" s="5">
        <f t="shared" si="12"/>
        <v>1.0798132103427964</v>
      </c>
      <c r="K47" s="5">
        <f t="shared" si="13"/>
        <v>15.15</v>
      </c>
      <c r="L47" s="5">
        <f t="shared" si="14"/>
        <v>16.95</v>
      </c>
      <c r="O47" s="5">
        <v>289.8</v>
      </c>
      <c r="P47" s="5">
        <f t="shared" si="15"/>
        <v>5011.76281905</v>
      </c>
      <c r="Q47" s="5">
        <v>161</v>
      </c>
      <c r="S47" s="5">
        <f t="shared" si="16"/>
        <v>5250.7676991150438</v>
      </c>
      <c r="T47" s="5">
        <f t="shared" si="17"/>
        <v>0.52507676991150443</v>
      </c>
    </row>
    <row r="48" spans="1:20" s="5" customFormat="1" x14ac:dyDescent="0.35">
      <c r="A48" s="8">
        <v>4774</v>
      </c>
      <c r="B48" s="5">
        <v>6</v>
      </c>
      <c r="C48" s="5">
        <v>47.1</v>
      </c>
      <c r="D48" s="5">
        <v>1.8</v>
      </c>
      <c r="E48" s="5">
        <f t="shared" si="9"/>
        <v>50.7</v>
      </c>
      <c r="F48" s="5">
        <f t="shared" si="10"/>
        <v>147.96888899999999</v>
      </c>
      <c r="G48" s="5">
        <v>115</v>
      </c>
      <c r="H48" s="5">
        <v>37.5</v>
      </c>
      <c r="I48" s="5">
        <f t="shared" si="11"/>
        <v>159.27861300000001</v>
      </c>
      <c r="J48" s="5">
        <f t="shared" si="12"/>
        <v>0.72200528265524255</v>
      </c>
      <c r="K48" s="5">
        <f t="shared" si="13"/>
        <v>23.55</v>
      </c>
      <c r="L48" s="5">
        <f t="shared" si="14"/>
        <v>25.35</v>
      </c>
      <c r="O48" s="5">
        <v>289.8</v>
      </c>
      <c r="P48" s="5">
        <f t="shared" si="15"/>
        <v>9033.5006734500002</v>
      </c>
      <c r="Q48" s="5">
        <v>161</v>
      </c>
      <c r="S48" s="5">
        <f t="shared" ref="S48" si="18">(J48*P48)-Q48</f>
        <v>6361.2352071005917</v>
      </c>
      <c r="T48" s="5">
        <f t="shared" si="17"/>
        <v>0.63612352071005918</v>
      </c>
    </row>
  </sheetData>
  <sortState ref="A2:T53">
    <sortCondition ref="A2:A53"/>
  </sortState>
  <pageMargins left="0.7" right="0.7" top="0.75" bottom="0.75" header="0.3" footer="0.3"/>
  <pageSetup orientation="portrait" horizontalDpi="4294967293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C7693FB-9387-4504-9036-C9166FA5F49E}"/>
</file>

<file path=customXml/itemProps2.xml><?xml version="1.0" encoding="utf-8"?>
<ds:datastoreItem xmlns:ds="http://schemas.openxmlformats.org/officeDocument/2006/customXml" ds:itemID="{97599CDC-A639-4A5D-A2E0-A992A7926C39}"/>
</file>

<file path=customXml/itemProps3.xml><?xml version="1.0" encoding="utf-8"?>
<ds:datastoreItem xmlns:ds="http://schemas.openxmlformats.org/officeDocument/2006/customXml" ds:itemID="{FE7E1B45-3C4D-45C5-B463-5C77C3CC4C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2020-06-24T17:32:35Z</dcterms:created>
  <dcterms:modified xsi:type="dcterms:W3CDTF">2020-11-19T21:16:03Z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