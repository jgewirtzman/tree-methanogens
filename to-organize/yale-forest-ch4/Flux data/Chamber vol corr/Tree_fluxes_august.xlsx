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ggregate and site data\"/>
    </mc:Choice>
  </mc:AlternateContent>
  <bookViews>
    <workbookView xWindow="0" yWindow="0" windowWidth="22910" windowHeight="9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1" l="1"/>
  <c r="L48" i="1" s="1"/>
  <c r="I48" i="1"/>
  <c r="J48" i="1" s="1"/>
  <c r="F48" i="1"/>
  <c r="K48" i="1"/>
  <c r="P48" i="1" s="1"/>
  <c r="S48" i="1" l="1"/>
  <c r="T48" i="1" s="1"/>
  <c r="Q33" i="1"/>
  <c r="O33" i="1"/>
  <c r="Q2" i="1" l="1"/>
  <c r="O2" i="1"/>
  <c r="K2" i="1"/>
  <c r="P2" i="1" s="1"/>
  <c r="I2" i="1"/>
  <c r="J2" i="1" s="1"/>
  <c r="F2" i="1"/>
  <c r="E2" i="1"/>
  <c r="L2" i="1" s="1"/>
  <c r="I14" i="1"/>
  <c r="J14" i="1" s="1"/>
  <c r="I24" i="1"/>
  <c r="J24" i="1" s="1"/>
  <c r="I27" i="1"/>
  <c r="J27" i="1" s="1"/>
  <c r="I41" i="1"/>
  <c r="J41" i="1" s="1"/>
  <c r="I40" i="1"/>
  <c r="J40" i="1" s="1"/>
  <c r="I13" i="1"/>
  <c r="J13" i="1" s="1"/>
  <c r="I18" i="1"/>
  <c r="I19" i="1"/>
  <c r="J19" i="1" s="1"/>
  <c r="I38" i="1"/>
  <c r="J38" i="1" s="1"/>
  <c r="I34" i="1"/>
  <c r="J34" i="1" s="1"/>
  <c r="I16" i="1"/>
  <c r="J16" i="1" s="1"/>
  <c r="I17" i="1"/>
  <c r="J17" i="1" s="1"/>
  <c r="I45" i="1"/>
  <c r="I46" i="1"/>
  <c r="J46" i="1" s="1"/>
  <c r="I8" i="1"/>
  <c r="J8" i="1" s="1"/>
  <c r="I7" i="1"/>
  <c r="J7" i="1" s="1"/>
  <c r="I23" i="1"/>
  <c r="J23" i="1" s="1"/>
  <c r="I32" i="1"/>
  <c r="J32" i="1" s="1"/>
  <c r="I29" i="1"/>
  <c r="J29" i="1" s="1"/>
  <c r="I25" i="1"/>
  <c r="J25" i="1" s="1"/>
  <c r="I42" i="1"/>
  <c r="J42" i="1" s="1"/>
  <c r="I31" i="1"/>
  <c r="J31" i="1" s="1"/>
  <c r="I22" i="1"/>
  <c r="J22" i="1" s="1"/>
  <c r="I26" i="1"/>
  <c r="J26" i="1" s="1"/>
  <c r="I37" i="1"/>
  <c r="J37" i="1" s="1"/>
  <c r="I39" i="1"/>
  <c r="J39" i="1" s="1"/>
  <c r="I43" i="1"/>
  <c r="J43" i="1" s="1"/>
  <c r="I6" i="1"/>
  <c r="J6" i="1" s="1"/>
  <c r="I15" i="1"/>
  <c r="J15" i="1" s="1"/>
  <c r="I5" i="1"/>
  <c r="J5" i="1" s="1"/>
  <c r="I4" i="1"/>
  <c r="J4" i="1" s="1"/>
  <c r="I3" i="1"/>
  <c r="J3" i="1" s="1"/>
  <c r="I47" i="1"/>
  <c r="J47" i="1" s="1"/>
  <c r="I28" i="1"/>
  <c r="J28" i="1" s="1"/>
  <c r="I10" i="1"/>
  <c r="J10" i="1" s="1"/>
  <c r="I9" i="1"/>
  <c r="J9" i="1" s="1"/>
  <c r="I12" i="1"/>
  <c r="J12" i="1" s="1"/>
  <c r="I35" i="1"/>
  <c r="J35" i="1" s="1"/>
  <c r="I36" i="1"/>
  <c r="J36" i="1" s="1"/>
  <c r="I30" i="1"/>
  <c r="J30" i="1" s="1"/>
  <c r="I11" i="1"/>
  <c r="J11" i="1" s="1"/>
  <c r="I33" i="1"/>
  <c r="J33" i="1" s="1"/>
  <c r="I20" i="1"/>
  <c r="J20" i="1" s="1"/>
  <c r="I44" i="1"/>
  <c r="J44" i="1" s="1"/>
  <c r="F14" i="1"/>
  <c r="F24" i="1"/>
  <c r="F27" i="1"/>
  <c r="F41" i="1"/>
  <c r="F40" i="1"/>
  <c r="F13" i="1"/>
  <c r="F18" i="1"/>
  <c r="F19" i="1"/>
  <c r="F38" i="1"/>
  <c r="F34" i="1"/>
  <c r="F16" i="1"/>
  <c r="F17" i="1"/>
  <c r="F45" i="1"/>
  <c r="F46" i="1"/>
  <c r="F8" i="1"/>
  <c r="F7" i="1"/>
  <c r="F23" i="1"/>
  <c r="F32" i="1"/>
  <c r="F29" i="1"/>
  <c r="F25" i="1"/>
  <c r="F42" i="1"/>
  <c r="F31" i="1"/>
  <c r="F22" i="1"/>
  <c r="F26" i="1"/>
  <c r="F37" i="1"/>
  <c r="F39" i="1"/>
  <c r="F43" i="1"/>
  <c r="F6" i="1"/>
  <c r="F15" i="1"/>
  <c r="F5" i="1"/>
  <c r="F4" i="1"/>
  <c r="F3" i="1"/>
  <c r="F47" i="1"/>
  <c r="F28" i="1"/>
  <c r="F10" i="1"/>
  <c r="F9" i="1"/>
  <c r="F12" i="1"/>
  <c r="F35" i="1"/>
  <c r="F36" i="1"/>
  <c r="F30" i="1"/>
  <c r="F11" i="1"/>
  <c r="F33" i="1"/>
  <c r="F20" i="1"/>
  <c r="F44" i="1"/>
  <c r="F21" i="1"/>
  <c r="I21" i="1"/>
  <c r="Q34" i="1"/>
  <c r="Q17" i="1"/>
  <c r="Q23" i="1"/>
  <c r="Q22" i="1"/>
  <c r="O34" i="1"/>
  <c r="O17" i="1"/>
  <c r="O23" i="1"/>
  <c r="O22" i="1"/>
  <c r="Q43" i="1"/>
  <c r="Q5" i="1"/>
  <c r="Q12" i="1"/>
  <c r="O43" i="1"/>
  <c r="O5" i="1"/>
  <c r="O12" i="1"/>
  <c r="K14" i="1"/>
  <c r="P14" i="1" s="1"/>
  <c r="K24" i="1"/>
  <c r="P24" i="1" s="1"/>
  <c r="K27" i="1"/>
  <c r="P27" i="1" s="1"/>
  <c r="K41" i="1"/>
  <c r="P41" i="1" s="1"/>
  <c r="K40" i="1"/>
  <c r="P40" i="1" s="1"/>
  <c r="K13" i="1"/>
  <c r="P13" i="1" s="1"/>
  <c r="K18" i="1"/>
  <c r="P18" i="1" s="1"/>
  <c r="K19" i="1"/>
  <c r="P19" i="1" s="1"/>
  <c r="K38" i="1"/>
  <c r="P38" i="1" s="1"/>
  <c r="K34" i="1"/>
  <c r="P34" i="1" s="1"/>
  <c r="K16" i="1"/>
  <c r="P16" i="1" s="1"/>
  <c r="K17" i="1"/>
  <c r="P17" i="1" s="1"/>
  <c r="K45" i="1"/>
  <c r="P45" i="1" s="1"/>
  <c r="K46" i="1"/>
  <c r="P46" i="1" s="1"/>
  <c r="K8" i="1"/>
  <c r="P8" i="1" s="1"/>
  <c r="K7" i="1"/>
  <c r="P7" i="1" s="1"/>
  <c r="K23" i="1"/>
  <c r="P23" i="1" s="1"/>
  <c r="K32" i="1"/>
  <c r="P32" i="1" s="1"/>
  <c r="K29" i="1"/>
  <c r="P29" i="1" s="1"/>
  <c r="K25" i="1"/>
  <c r="P25" i="1" s="1"/>
  <c r="K42" i="1"/>
  <c r="P42" i="1" s="1"/>
  <c r="K31" i="1"/>
  <c r="P31" i="1" s="1"/>
  <c r="K22" i="1"/>
  <c r="P22" i="1" s="1"/>
  <c r="K26" i="1"/>
  <c r="P26" i="1" s="1"/>
  <c r="J18" i="1"/>
  <c r="J45" i="1"/>
  <c r="E14" i="1"/>
  <c r="L14" i="1" s="1"/>
  <c r="E24" i="1"/>
  <c r="L24" i="1" s="1"/>
  <c r="E27" i="1"/>
  <c r="L27" i="1" s="1"/>
  <c r="E41" i="1"/>
  <c r="L41" i="1" s="1"/>
  <c r="E40" i="1"/>
  <c r="L40" i="1" s="1"/>
  <c r="E13" i="1"/>
  <c r="L13" i="1" s="1"/>
  <c r="L18" i="1"/>
  <c r="E19" i="1"/>
  <c r="L19" i="1" s="1"/>
  <c r="E38" i="1"/>
  <c r="L38" i="1" s="1"/>
  <c r="E34" i="1"/>
  <c r="L34" i="1" s="1"/>
  <c r="E16" i="1"/>
  <c r="L16" i="1" s="1"/>
  <c r="E17" i="1"/>
  <c r="L17" i="1" s="1"/>
  <c r="E45" i="1"/>
  <c r="L45" i="1" s="1"/>
  <c r="E46" i="1"/>
  <c r="L46" i="1" s="1"/>
  <c r="E8" i="1"/>
  <c r="L8" i="1" s="1"/>
  <c r="E7" i="1"/>
  <c r="L7" i="1" s="1"/>
  <c r="E23" i="1"/>
  <c r="L23" i="1" s="1"/>
  <c r="E32" i="1"/>
  <c r="L32" i="1" s="1"/>
  <c r="E29" i="1"/>
  <c r="L29" i="1" s="1"/>
  <c r="E25" i="1"/>
  <c r="L25" i="1" s="1"/>
  <c r="E42" i="1"/>
  <c r="L42" i="1" s="1"/>
  <c r="E31" i="1"/>
  <c r="L31" i="1" s="1"/>
  <c r="E22" i="1"/>
  <c r="L22" i="1" s="1"/>
  <c r="E26" i="1"/>
  <c r="L26" i="1" s="1"/>
  <c r="K37" i="1"/>
  <c r="P37" i="1" s="1"/>
  <c r="E37" i="1"/>
  <c r="L37" i="1" s="1"/>
  <c r="K39" i="1"/>
  <c r="P39" i="1" s="1"/>
  <c r="E39" i="1"/>
  <c r="L39" i="1" s="1"/>
  <c r="K43" i="1"/>
  <c r="P43" i="1" s="1"/>
  <c r="E43" i="1"/>
  <c r="L43" i="1" s="1"/>
  <c r="K6" i="1"/>
  <c r="P6" i="1" s="1"/>
  <c r="E6" i="1"/>
  <c r="L6" i="1" s="1"/>
  <c r="K15" i="1"/>
  <c r="P15" i="1" s="1"/>
  <c r="E15" i="1"/>
  <c r="L15" i="1" s="1"/>
  <c r="K5" i="1"/>
  <c r="P5" i="1" s="1"/>
  <c r="E5" i="1"/>
  <c r="L5" i="1" s="1"/>
  <c r="K4" i="1"/>
  <c r="P4" i="1" s="1"/>
  <c r="E4" i="1"/>
  <c r="L4" i="1" s="1"/>
  <c r="K3" i="1"/>
  <c r="P3" i="1" s="1"/>
  <c r="E3" i="1"/>
  <c r="L3" i="1" s="1"/>
  <c r="K47" i="1"/>
  <c r="P47" i="1" s="1"/>
  <c r="E47" i="1"/>
  <c r="L47" i="1" s="1"/>
  <c r="K28" i="1"/>
  <c r="P28" i="1" s="1"/>
  <c r="E28" i="1"/>
  <c r="L28" i="1" s="1"/>
  <c r="K10" i="1"/>
  <c r="P10" i="1" s="1"/>
  <c r="E10" i="1"/>
  <c r="L10" i="1" s="1"/>
  <c r="K9" i="1"/>
  <c r="P9" i="1" s="1"/>
  <c r="E9" i="1"/>
  <c r="L9" i="1" s="1"/>
  <c r="K12" i="1"/>
  <c r="P12" i="1" s="1"/>
  <c r="E12" i="1"/>
  <c r="L12" i="1" s="1"/>
  <c r="K35" i="1"/>
  <c r="P35" i="1" s="1"/>
  <c r="E35" i="1"/>
  <c r="L35" i="1" s="1"/>
  <c r="K36" i="1"/>
  <c r="P36" i="1" s="1"/>
  <c r="E36" i="1"/>
  <c r="L36" i="1" s="1"/>
  <c r="K30" i="1"/>
  <c r="P30" i="1" s="1"/>
  <c r="E30" i="1"/>
  <c r="L30" i="1" s="1"/>
  <c r="K11" i="1"/>
  <c r="P11" i="1" s="1"/>
  <c r="E11" i="1"/>
  <c r="L11" i="1" s="1"/>
  <c r="K33" i="1"/>
  <c r="P33" i="1" s="1"/>
  <c r="E33" i="1"/>
  <c r="L33" i="1" s="1"/>
  <c r="K20" i="1"/>
  <c r="P20" i="1" s="1"/>
  <c r="E20" i="1"/>
  <c r="L20" i="1" s="1"/>
  <c r="K44" i="1"/>
  <c r="P44" i="1" s="1"/>
  <c r="E44" i="1"/>
  <c r="L44" i="1" s="1"/>
  <c r="S34" i="1" l="1"/>
  <c r="T34" i="1" s="1"/>
  <c r="S9" i="1"/>
  <c r="T9" i="1" s="1"/>
  <c r="S27" i="1"/>
  <c r="T27" i="1" s="1"/>
  <c r="S22" i="1"/>
  <c r="T22" i="1" s="1"/>
  <c r="S42" i="1"/>
  <c r="T42" i="1" s="1"/>
  <c r="S38" i="1"/>
  <c r="T38" i="1" s="1"/>
  <c r="S14" i="1"/>
  <c r="T14" i="1" s="1"/>
  <c r="S24" i="1"/>
  <c r="T24" i="1" s="1"/>
  <c r="S18" i="1"/>
  <c r="T18" i="1" s="1"/>
  <c r="S15" i="1"/>
  <c r="T15" i="1" s="1"/>
  <c r="S31" i="1"/>
  <c r="T31" i="1" s="1"/>
  <c r="S44" i="1"/>
  <c r="T44" i="1" s="1"/>
  <c r="S8" i="1"/>
  <c r="T8" i="1" s="1"/>
  <c r="S2" i="1"/>
  <c r="T2" i="1" s="1"/>
  <c r="S26" i="1"/>
  <c r="T26" i="1" s="1"/>
  <c r="S12" i="1"/>
  <c r="T12" i="1" s="1"/>
  <c r="S3" i="1"/>
  <c r="T3" i="1" s="1"/>
  <c r="S46" i="1"/>
  <c r="T46" i="1" s="1"/>
  <c r="S11" i="1"/>
  <c r="T11" i="1" s="1"/>
  <c r="S25" i="1"/>
  <c r="T25" i="1" s="1"/>
  <c r="S41" i="1"/>
  <c r="T41" i="1" s="1"/>
  <c r="S33" i="1"/>
  <c r="T33" i="1" s="1"/>
  <c r="S43" i="1"/>
  <c r="T43" i="1" s="1"/>
  <c r="S29" i="1"/>
  <c r="T29" i="1" s="1"/>
  <c r="S36" i="1"/>
  <c r="T36" i="1" s="1"/>
  <c r="S30" i="1"/>
  <c r="T30" i="1" s="1"/>
  <c r="S37" i="1"/>
  <c r="T37" i="1" s="1"/>
  <c r="S32" i="1"/>
  <c r="T32" i="1" s="1"/>
  <c r="S16" i="1"/>
  <c r="T16" i="1" s="1"/>
  <c r="S47" i="1"/>
  <c r="T47" i="1" s="1"/>
  <c r="S17" i="1"/>
  <c r="T17" i="1" s="1"/>
  <c r="S7" i="1"/>
  <c r="T7" i="1" s="1"/>
  <c r="S19" i="1"/>
  <c r="T19" i="1" s="1"/>
  <c r="S40" i="1"/>
  <c r="T40" i="1" s="1"/>
  <c r="S39" i="1"/>
  <c r="T39" i="1" s="1"/>
  <c r="S23" i="1"/>
  <c r="T23" i="1" s="1"/>
  <c r="S13" i="1"/>
  <c r="T13" i="1" s="1"/>
  <c r="S45" i="1"/>
  <c r="T45" i="1" s="1"/>
  <c r="S28" i="1"/>
  <c r="T28" i="1" s="1"/>
  <c r="S4" i="1"/>
  <c r="T4" i="1" s="1"/>
  <c r="S35" i="1"/>
  <c r="T35" i="1" s="1"/>
  <c r="S5" i="1"/>
  <c r="T5" i="1" s="1"/>
  <c r="S20" i="1"/>
  <c r="T20" i="1" s="1"/>
  <c r="S10" i="1"/>
  <c r="T10" i="1" s="1"/>
  <c r="S6" i="1"/>
  <c r="T6" i="1" s="1"/>
  <c r="K21" i="1"/>
  <c r="P21" i="1" s="1"/>
  <c r="J21" i="1"/>
  <c r="E21" i="1"/>
  <c r="L21" i="1" s="1"/>
  <c r="S21" i="1" l="1"/>
  <c r="T21" i="1" s="1"/>
  <c r="R21" i="1"/>
</calcChain>
</file>

<file path=xl/sharedStrings.xml><?xml version="1.0" encoding="utf-8"?>
<sst xmlns="http://schemas.openxmlformats.org/spreadsheetml/2006/main" count="26" uniqueCount="26">
  <si>
    <t>Sample</t>
  </si>
  <si>
    <t>Chamber used</t>
  </si>
  <si>
    <t>T (sleeve thickness, cm)</t>
  </si>
  <si>
    <t>D exterior (cm)</t>
  </si>
  <si>
    <t>Chamber length (cm)</t>
  </si>
  <si>
    <t>D stem (cm)</t>
  </si>
  <si>
    <t>Circumference tree (cm)</t>
  </si>
  <si>
    <t>Stem periphery</t>
  </si>
  <si>
    <t>K</t>
  </si>
  <si>
    <t>R stem (cm)</t>
  </si>
  <si>
    <t>R ext (cm)</t>
  </si>
  <si>
    <t>V stem (cm3)</t>
  </si>
  <si>
    <t>V ext (cm3)</t>
  </si>
  <si>
    <t>Two V wedges (cm3)</t>
  </si>
  <si>
    <t>Vc</t>
  </si>
  <si>
    <t>Swedges (cm2)</t>
  </si>
  <si>
    <t>Sstem (cm2)</t>
  </si>
  <si>
    <t>Sc (m2)</t>
  </si>
  <si>
    <t>Sc (cm2)</t>
  </si>
  <si>
    <t>Upland dead ACRU</t>
  </si>
  <si>
    <t>Intermediate dead BELE</t>
  </si>
  <si>
    <t>Wetland dead BEAL</t>
  </si>
  <si>
    <t>Wetland dead FRAM</t>
  </si>
  <si>
    <t>Wetland dead ACRU</t>
  </si>
  <si>
    <t>Chamber height (cm)</t>
  </si>
  <si>
    <t>No tag 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</si>
</sst>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>
      <alignment horizontal="left"/>
    </xf>
    <xf numFmtId="0" fontId="0" fillId="0" borderId="2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workbookViewId="0">
      <pane ySplit="1170" topLeftCell="A44" activePane="bottomLeft"/>
      <selection sqref="A1:A1048576"/>
      <selection pane="bottomLeft" activeCell="T47" sqref="T47"/>
    </sheetView>
  </sheetViews>
  <sheetFormatPr defaultRowHeight="14.5" x14ac:dyDescent="0.35"/>
  <cols>
    <col min="1" max="1" width="14.81640625" style="4" customWidth="1"/>
    <col min="2" max="2" width="7.90625" customWidth="1"/>
    <col min="3" max="3" width="6.6328125" customWidth="1"/>
    <col min="5" max="5" width="7.26953125" customWidth="1"/>
    <col min="10" max="10" width="4" customWidth="1"/>
    <col min="11" max="11" width="6.7265625" customWidth="1"/>
    <col min="12" max="12" width="5.7265625" customWidth="1"/>
    <col min="13" max="13" width="6.90625" customWidth="1"/>
    <col min="14" max="14" width="6.54296875" customWidth="1"/>
    <col min="15" max="15" width="7.26953125" customWidth="1"/>
    <col min="16" max="16" width="7.54296875" customWidth="1"/>
    <col min="17" max="17" width="7.7265625" customWidth="1"/>
    <col min="18" max="18" width="3.453125" customWidth="1"/>
    <col min="19" max="19" width="6.54296875" customWidth="1"/>
    <col min="20" max="20" width="4.81640625" customWidth="1"/>
  </cols>
  <sheetData>
    <row r="1" spans="1:20" s="2" customFormat="1" ht="44" thickBot="1" x14ac:dyDescent="0.4">
      <c r="A1" s="3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6</v>
      </c>
      <c r="G1" s="2" t="s">
        <v>4</v>
      </c>
      <c r="H1" s="2" t="s">
        <v>24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16</v>
      </c>
      <c r="Q1" s="2" t="s">
        <v>15</v>
      </c>
      <c r="R1" s="2" t="s">
        <v>14</v>
      </c>
      <c r="S1" s="2" t="s">
        <v>18</v>
      </c>
      <c r="T1" s="2" t="s">
        <v>17</v>
      </c>
    </row>
    <row r="2" spans="1:20" x14ac:dyDescent="0.35">
      <c r="A2" s="5">
        <v>853</v>
      </c>
      <c r="B2">
        <v>3</v>
      </c>
      <c r="C2">
        <v>50.1</v>
      </c>
      <c r="D2">
        <v>1.4</v>
      </c>
      <c r="E2">
        <f t="shared" ref="E2:E29" si="0">C2+(2*D2)</f>
        <v>52.9</v>
      </c>
      <c r="F2">
        <f t="shared" ref="F2:F29" si="1">3.14159*C2</f>
        <v>157.39365899999999</v>
      </c>
      <c r="G2">
        <v>160</v>
      </c>
      <c r="H2">
        <v>39.799999999999997</v>
      </c>
      <c r="I2">
        <f t="shared" ref="I2:I29" si="2">3.14159*(C2+(2*D2))</f>
        <v>166.190111</v>
      </c>
      <c r="J2">
        <f t="shared" ref="J2:J29" si="3">G2/I2</f>
        <v>0.96275283190586469</v>
      </c>
      <c r="K2">
        <f t="shared" ref="K2:K29" si="4">C2*0.5</f>
        <v>25.05</v>
      </c>
      <c r="L2">
        <f t="shared" ref="L2:L29" si="5">E2*0.5</f>
        <v>26.45</v>
      </c>
      <c r="O2">
        <f>2*30.9*3.5*1.4</f>
        <v>302.81999999999994</v>
      </c>
      <c r="P2">
        <f t="shared" ref="P2:P29" si="6">2*3.14159*K2*H2+(2*3.14159*(K2^2))</f>
        <v>10206.978786149999</v>
      </c>
      <c r="Q2">
        <f>(2*30.9*3.5)</f>
        <v>216.29999999999998</v>
      </c>
      <c r="S2">
        <f t="shared" ref="S2:S29" si="7">(J2*P2)-Q2</f>
        <v>9610.4977315689976</v>
      </c>
      <c r="T2">
        <f t="shared" ref="T2:T29" si="8">S2/10000</f>
        <v>0.96104977315689977</v>
      </c>
    </row>
    <row r="3" spans="1:20" x14ac:dyDescent="0.35">
      <c r="A3" s="5">
        <v>970</v>
      </c>
      <c r="B3">
        <v>1</v>
      </c>
      <c r="C3">
        <v>27.6</v>
      </c>
      <c r="D3">
        <v>1.4</v>
      </c>
      <c r="E3">
        <f t="shared" si="0"/>
        <v>30.400000000000002</v>
      </c>
      <c r="F3">
        <f t="shared" si="1"/>
        <v>86.707884000000007</v>
      </c>
      <c r="G3">
        <v>122.5</v>
      </c>
      <c r="H3">
        <v>42.4</v>
      </c>
      <c r="I3">
        <f t="shared" si="2"/>
        <v>95.504336000000009</v>
      </c>
      <c r="J3">
        <f t="shared" si="3"/>
        <v>1.2826642761015583</v>
      </c>
      <c r="K3">
        <f t="shared" si="4"/>
        <v>13.8</v>
      </c>
      <c r="L3">
        <f t="shared" si="5"/>
        <v>15.200000000000001</v>
      </c>
      <c r="O3">
        <v>392</v>
      </c>
      <c r="P3">
        <f t="shared" si="6"/>
        <v>4872.9830808000006</v>
      </c>
      <c r="Q3">
        <v>280</v>
      </c>
      <c r="S3">
        <f t="shared" si="7"/>
        <v>5970.4013157894742</v>
      </c>
      <c r="T3">
        <f t="shared" si="8"/>
        <v>0.59704013157894742</v>
      </c>
    </row>
    <row r="4" spans="1:20" x14ac:dyDescent="0.35">
      <c r="A4" s="5">
        <v>1133</v>
      </c>
      <c r="B4">
        <v>1</v>
      </c>
      <c r="C4">
        <v>31</v>
      </c>
      <c r="D4">
        <v>1.4</v>
      </c>
      <c r="E4">
        <f t="shared" si="0"/>
        <v>33.799999999999997</v>
      </c>
      <c r="F4">
        <f t="shared" si="1"/>
        <v>97.389290000000003</v>
      </c>
      <c r="G4">
        <v>122.5</v>
      </c>
      <c r="H4">
        <v>42.4</v>
      </c>
      <c r="I4">
        <f t="shared" si="2"/>
        <v>106.18574199999999</v>
      </c>
      <c r="J4">
        <f t="shared" si="3"/>
        <v>1.1536388755469638</v>
      </c>
      <c r="K4">
        <f t="shared" si="4"/>
        <v>15.5</v>
      </c>
      <c r="L4">
        <f t="shared" si="5"/>
        <v>16.899999999999999</v>
      </c>
      <c r="O4">
        <v>392</v>
      </c>
      <c r="P4">
        <f t="shared" si="6"/>
        <v>5638.8398909999996</v>
      </c>
      <c r="Q4">
        <v>280</v>
      </c>
      <c r="S4">
        <f t="shared" si="7"/>
        <v>6225.1849112426034</v>
      </c>
      <c r="T4">
        <f t="shared" si="8"/>
        <v>0.62251849112426039</v>
      </c>
    </row>
    <row r="5" spans="1:20" x14ac:dyDescent="0.35">
      <c r="A5" s="5">
        <v>1134</v>
      </c>
      <c r="B5">
        <v>1</v>
      </c>
      <c r="C5">
        <v>44.7</v>
      </c>
      <c r="D5">
        <v>1.4</v>
      </c>
      <c r="E5">
        <f t="shared" si="0"/>
        <v>47.5</v>
      </c>
      <c r="F5">
        <f t="shared" si="1"/>
        <v>140.42907300000002</v>
      </c>
      <c r="G5">
        <v>122.5</v>
      </c>
      <c r="H5">
        <v>42.4</v>
      </c>
      <c r="I5">
        <f t="shared" si="2"/>
        <v>149.225525</v>
      </c>
      <c r="J5">
        <f t="shared" si="3"/>
        <v>0.82090513670499732</v>
      </c>
      <c r="K5">
        <f t="shared" si="4"/>
        <v>22.35</v>
      </c>
      <c r="L5">
        <f t="shared" si="5"/>
        <v>23.75</v>
      </c>
      <c r="O5">
        <f>(1.4*4*35)*2</f>
        <v>392</v>
      </c>
      <c r="P5">
        <f t="shared" si="6"/>
        <v>9092.7824767500006</v>
      </c>
      <c r="Q5">
        <f>(2*35*4)</f>
        <v>280</v>
      </c>
      <c r="S5">
        <f t="shared" si="7"/>
        <v>7184.3118421052632</v>
      </c>
      <c r="T5">
        <f t="shared" si="8"/>
        <v>0.71843118421052632</v>
      </c>
    </row>
    <row r="6" spans="1:20" x14ac:dyDescent="0.35">
      <c r="A6" s="5">
        <v>1550</v>
      </c>
      <c r="B6">
        <v>2</v>
      </c>
      <c r="C6">
        <v>32.200000000000003</v>
      </c>
      <c r="D6">
        <v>1.4</v>
      </c>
      <c r="E6">
        <f t="shared" si="0"/>
        <v>35</v>
      </c>
      <c r="F6">
        <f t="shared" si="1"/>
        <v>101.159198</v>
      </c>
      <c r="G6">
        <v>119.8</v>
      </c>
      <c r="H6">
        <v>44</v>
      </c>
      <c r="I6">
        <f t="shared" si="2"/>
        <v>109.95564999999999</v>
      </c>
      <c r="J6">
        <f t="shared" si="3"/>
        <v>1.0895301878530117</v>
      </c>
      <c r="K6">
        <f t="shared" si="4"/>
        <v>16.100000000000001</v>
      </c>
      <c r="L6">
        <f t="shared" si="5"/>
        <v>17.5</v>
      </c>
      <c r="O6">
        <v>282.24</v>
      </c>
      <c r="P6">
        <f t="shared" si="6"/>
        <v>6079.6677997999996</v>
      </c>
      <c r="Q6">
        <v>201.6</v>
      </c>
      <c r="S6">
        <f t="shared" si="7"/>
        <v>6422.3815999999997</v>
      </c>
      <c r="T6">
        <f t="shared" si="8"/>
        <v>0.64223816</v>
      </c>
    </row>
    <row r="7" spans="1:20" x14ac:dyDescent="0.35">
      <c r="A7" s="1">
        <v>1637</v>
      </c>
      <c r="B7">
        <v>2</v>
      </c>
      <c r="C7">
        <v>35.799999999999997</v>
      </c>
      <c r="D7">
        <v>1.4</v>
      </c>
      <c r="E7">
        <f t="shared" si="0"/>
        <v>38.599999999999994</v>
      </c>
      <c r="F7">
        <f t="shared" si="1"/>
        <v>112.46892199999999</v>
      </c>
      <c r="G7">
        <v>119.8</v>
      </c>
      <c r="H7">
        <v>44</v>
      </c>
      <c r="I7">
        <f t="shared" si="2"/>
        <v>121.26537399999998</v>
      </c>
      <c r="J7">
        <f t="shared" si="3"/>
        <v>0.98791597344185011</v>
      </c>
      <c r="K7">
        <f t="shared" si="4"/>
        <v>17.899999999999999</v>
      </c>
      <c r="L7">
        <f t="shared" si="5"/>
        <v>19.299999999999997</v>
      </c>
      <c r="O7">
        <v>282.24</v>
      </c>
      <c r="P7">
        <f t="shared" si="6"/>
        <v>6961.8262717999996</v>
      </c>
      <c r="Q7">
        <v>201.6</v>
      </c>
      <c r="S7">
        <f t="shared" si="7"/>
        <v>6676.0993782383421</v>
      </c>
      <c r="T7">
        <f t="shared" si="8"/>
        <v>0.66760993782383415</v>
      </c>
    </row>
    <row r="8" spans="1:20" x14ac:dyDescent="0.35">
      <c r="A8" s="1">
        <v>1640</v>
      </c>
      <c r="B8">
        <v>1</v>
      </c>
      <c r="C8">
        <v>39</v>
      </c>
      <c r="D8">
        <v>1.4</v>
      </c>
      <c r="E8">
        <f t="shared" si="0"/>
        <v>41.8</v>
      </c>
      <c r="F8">
        <f t="shared" si="1"/>
        <v>122.52200999999999</v>
      </c>
      <c r="G8">
        <v>122.5</v>
      </c>
      <c r="H8">
        <v>42.4</v>
      </c>
      <c r="I8">
        <f t="shared" si="2"/>
        <v>131.31846199999998</v>
      </c>
      <c r="J8">
        <f t="shared" si="3"/>
        <v>0.93284674625567898</v>
      </c>
      <c r="K8">
        <f t="shared" si="4"/>
        <v>19.5</v>
      </c>
      <c r="L8">
        <f t="shared" si="5"/>
        <v>20.9</v>
      </c>
      <c r="O8">
        <v>392</v>
      </c>
      <c r="P8">
        <f t="shared" si="6"/>
        <v>7584.1124189999991</v>
      </c>
      <c r="Q8">
        <v>280</v>
      </c>
      <c r="S8">
        <f t="shared" si="7"/>
        <v>6794.8145933014357</v>
      </c>
      <c r="T8">
        <f t="shared" si="8"/>
        <v>0.67948145933014359</v>
      </c>
    </row>
    <row r="9" spans="1:20" x14ac:dyDescent="0.35">
      <c r="A9" s="1">
        <v>1641</v>
      </c>
      <c r="B9">
        <v>1</v>
      </c>
      <c r="C9">
        <v>41.3</v>
      </c>
      <c r="D9">
        <v>1.4</v>
      </c>
      <c r="E9">
        <f t="shared" si="0"/>
        <v>44.099999999999994</v>
      </c>
      <c r="F9">
        <f t="shared" si="1"/>
        <v>129.74766699999998</v>
      </c>
      <c r="G9">
        <v>122.5</v>
      </c>
      <c r="H9">
        <v>42.4</v>
      </c>
      <c r="I9">
        <f t="shared" si="2"/>
        <v>138.54411899999997</v>
      </c>
      <c r="J9">
        <f t="shared" si="3"/>
        <v>0.88419487513576833</v>
      </c>
      <c r="K9">
        <f t="shared" si="4"/>
        <v>20.65</v>
      </c>
      <c r="L9">
        <f t="shared" si="5"/>
        <v>22.049999999999997</v>
      </c>
      <c r="O9">
        <v>392</v>
      </c>
      <c r="P9">
        <f t="shared" si="6"/>
        <v>8180.5904043499986</v>
      </c>
      <c r="Q9">
        <v>280</v>
      </c>
      <c r="S9">
        <f t="shared" si="7"/>
        <v>6953.2361111111113</v>
      </c>
      <c r="T9">
        <f t="shared" si="8"/>
        <v>0.69532361111111118</v>
      </c>
    </row>
    <row r="10" spans="1:20" x14ac:dyDescent="0.35">
      <c r="A10" s="1">
        <v>1830</v>
      </c>
      <c r="B10">
        <v>2</v>
      </c>
      <c r="C10">
        <v>35</v>
      </c>
      <c r="D10">
        <v>1.4</v>
      </c>
      <c r="E10">
        <f t="shared" si="0"/>
        <v>37.799999999999997</v>
      </c>
      <c r="F10">
        <f t="shared" si="1"/>
        <v>109.95564999999999</v>
      </c>
      <c r="G10">
        <v>119.8</v>
      </c>
      <c r="H10">
        <v>44</v>
      </c>
      <c r="I10">
        <f t="shared" si="2"/>
        <v>118.75210199999999</v>
      </c>
      <c r="J10">
        <f t="shared" si="3"/>
        <v>1.008824248012048</v>
      </c>
      <c r="K10">
        <f t="shared" si="4"/>
        <v>17.5</v>
      </c>
      <c r="L10">
        <f t="shared" si="5"/>
        <v>18.899999999999999</v>
      </c>
      <c r="O10">
        <v>282.24</v>
      </c>
      <c r="P10">
        <f t="shared" si="6"/>
        <v>6762.2724749999998</v>
      </c>
      <c r="Q10">
        <v>201.6</v>
      </c>
      <c r="S10">
        <f t="shared" si="7"/>
        <v>6620.3444444444449</v>
      </c>
      <c r="T10">
        <f t="shared" si="8"/>
        <v>0.66203444444444448</v>
      </c>
    </row>
    <row r="11" spans="1:20" x14ac:dyDescent="0.35">
      <c r="A11" s="1">
        <v>1885</v>
      </c>
      <c r="B11">
        <v>2</v>
      </c>
      <c r="C11">
        <v>34.700000000000003</v>
      </c>
      <c r="D11">
        <v>1.4</v>
      </c>
      <c r="E11">
        <f t="shared" si="0"/>
        <v>37.5</v>
      </c>
      <c r="F11">
        <f t="shared" si="1"/>
        <v>109.01317300000001</v>
      </c>
      <c r="G11">
        <v>119.8</v>
      </c>
      <c r="H11">
        <v>44</v>
      </c>
      <c r="I11">
        <f t="shared" si="2"/>
        <v>117.809625</v>
      </c>
      <c r="J11">
        <f t="shared" si="3"/>
        <v>1.0168948419961441</v>
      </c>
      <c r="K11">
        <f t="shared" si="4"/>
        <v>17.350000000000001</v>
      </c>
      <c r="L11">
        <f t="shared" si="5"/>
        <v>18.75</v>
      </c>
      <c r="O11">
        <v>282.24</v>
      </c>
      <c r="P11">
        <f t="shared" si="6"/>
        <v>6687.9581635500008</v>
      </c>
      <c r="Q11">
        <v>201.6</v>
      </c>
      <c r="S11">
        <f t="shared" si="7"/>
        <v>6599.35016</v>
      </c>
      <c r="T11">
        <f t="shared" si="8"/>
        <v>0.65993501600000004</v>
      </c>
    </row>
    <row r="12" spans="1:20" x14ac:dyDescent="0.35">
      <c r="A12" s="1">
        <v>1926</v>
      </c>
      <c r="B12">
        <v>1</v>
      </c>
      <c r="C12">
        <v>43.3</v>
      </c>
      <c r="D12">
        <v>1.4</v>
      </c>
      <c r="E12">
        <f t="shared" si="0"/>
        <v>46.099999999999994</v>
      </c>
      <c r="F12">
        <f t="shared" si="1"/>
        <v>136.03084699999999</v>
      </c>
      <c r="G12">
        <v>122.5</v>
      </c>
      <c r="H12">
        <v>42.4</v>
      </c>
      <c r="I12">
        <f t="shared" si="2"/>
        <v>144.82729899999998</v>
      </c>
      <c r="J12">
        <f t="shared" si="3"/>
        <v>0.84583501070471534</v>
      </c>
      <c r="K12">
        <f t="shared" si="4"/>
        <v>21.65</v>
      </c>
      <c r="L12">
        <f t="shared" si="5"/>
        <v>23.049999999999997</v>
      </c>
      <c r="O12">
        <f>(1.4*4*35)*2</f>
        <v>392</v>
      </c>
      <c r="P12">
        <f t="shared" si="6"/>
        <v>8712.7757503499997</v>
      </c>
      <c r="Q12">
        <f>(2*35*4)</f>
        <v>280</v>
      </c>
      <c r="S12">
        <f t="shared" si="7"/>
        <v>7089.5707700650764</v>
      </c>
      <c r="T12">
        <f t="shared" si="8"/>
        <v>0.70895707700650767</v>
      </c>
    </row>
    <row r="13" spans="1:20" x14ac:dyDescent="0.35">
      <c r="A13" s="5">
        <v>3325</v>
      </c>
      <c r="B13">
        <v>2</v>
      </c>
      <c r="C13">
        <v>46.5</v>
      </c>
      <c r="D13">
        <v>1.4</v>
      </c>
      <c r="E13">
        <f t="shared" si="0"/>
        <v>49.3</v>
      </c>
      <c r="F13">
        <f t="shared" si="1"/>
        <v>146.083935</v>
      </c>
      <c r="G13">
        <v>119.8</v>
      </c>
      <c r="H13">
        <v>44</v>
      </c>
      <c r="I13">
        <f t="shared" si="2"/>
        <v>154.88038699999998</v>
      </c>
      <c r="J13">
        <f t="shared" si="3"/>
        <v>0.77350013336420709</v>
      </c>
      <c r="K13">
        <f t="shared" si="4"/>
        <v>23.25</v>
      </c>
      <c r="L13">
        <f t="shared" si="5"/>
        <v>24.65</v>
      </c>
      <c r="O13">
        <v>282.24</v>
      </c>
      <c r="P13">
        <f t="shared" si="6"/>
        <v>9824.1446287500003</v>
      </c>
      <c r="Q13">
        <v>201.6</v>
      </c>
      <c r="S13">
        <f t="shared" si="7"/>
        <v>7397.3771805273836</v>
      </c>
      <c r="T13">
        <f t="shared" si="8"/>
        <v>0.73973771805273836</v>
      </c>
    </row>
    <row r="14" spans="1:20" x14ac:dyDescent="0.35">
      <c r="A14" s="5">
        <v>3354</v>
      </c>
      <c r="B14">
        <v>2</v>
      </c>
      <c r="C14">
        <v>59.5</v>
      </c>
      <c r="D14">
        <v>1.4</v>
      </c>
      <c r="E14">
        <f t="shared" si="0"/>
        <v>62.3</v>
      </c>
      <c r="F14">
        <f t="shared" si="1"/>
        <v>186.92460499999999</v>
      </c>
      <c r="G14">
        <v>119.8</v>
      </c>
      <c r="H14">
        <v>44</v>
      </c>
      <c r="I14">
        <f t="shared" si="2"/>
        <v>195.72105699999997</v>
      </c>
      <c r="J14">
        <f t="shared" si="3"/>
        <v>0.61209561115337741</v>
      </c>
      <c r="K14">
        <f t="shared" si="4"/>
        <v>29.75</v>
      </c>
      <c r="L14">
        <f t="shared" si="5"/>
        <v>31.15</v>
      </c>
      <c r="O14">
        <v>282.24</v>
      </c>
      <c r="P14">
        <f t="shared" si="6"/>
        <v>13785.689618749999</v>
      </c>
      <c r="Q14">
        <v>201.6</v>
      </c>
      <c r="S14">
        <f t="shared" si="7"/>
        <v>8236.5601123595497</v>
      </c>
      <c r="T14">
        <f t="shared" si="8"/>
        <v>0.823656011235955</v>
      </c>
    </row>
    <row r="15" spans="1:20" x14ac:dyDescent="0.35">
      <c r="A15" s="5">
        <v>3355</v>
      </c>
      <c r="B15">
        <v>1</v>
      </c>
      <c r="C15">
        <v>29.8</v>
      </c>
      <c r="D15">
        <v>1.4</v>
      </c>
      <c r="E15">
        <f t="shared" si="0"/>
        <v>32.6</v>
      </c>
      <c r="F15">
        <f t="shared" si="1"/>
        <v>93.619382000000002</v>
      </c>
      <c r="G15">
        <v>122.5</v>
      </c>
      <c r="H15">
        <v>42.4</v>
      </c>
      <c r="I15">
        <f t="shared" si="2"/>
        <v>102.415834</v>
      </c>
      <c r="J15">
        <f t="shared" si="3"/>
        <v>1.1961041102296741</v>
      </c>
      <c r="K15">
        <f t="shared" si="4"/>
        <v>14.9</v>
      </c>
      <c r="L15">
        <f t="shared" si="5"/>
        <v>16.3</v>
      </c>
      <c r="O15">
        <v>392</v>
      </c>
      <c r="P15">
        <f t="shared" si="6"/>
        <v>5364.3905885999993</v>
      </c>
      <c r="Q15">
        <v>280</v>
      </c>
      <c r="S15">
        <f t="shared" si="7"/>
        <v>6136.36963190184</v>
      </c>
      <c r="T15">
        <f t="shared" si="8"/>
        <v>0.61363696319018401</v>
      </c>
    </row>
    <row r="16" spans="1:20" x14ac:dyDescent="0.35">
      <c r="A16" s="5">
        <v>3359</v>
      </c>
      <c r="B16">
        <v>1</v>
      </c>
      <c r="C16">
        <v>30</v>
      </c>
      <c r="D16">
        <v>1.4</v>
      </c>
      <c r="E16">
        <f t="shared" si="0"/>
        <v>32.799999999999997</v>
      </c>
      <c r="F16">
        <f t="shared" si="1"/>
        <v>94.247699999999995</v>
      </c>
      <c r="G16">
        <v>122.5</v>
      </c>
      <c r="H16">
        <v>42.4</v>
      </c>
      <c r="I16">
        <f t="shared" si="2"/>
        <v>103.04415199999998</v>
      </c>
      <c r="J16">
        <f t="shared" si="3"/>
        <v>1.1888107924843714</v>
      </c>
      <c r="K16">
        <f t="shared" si="4"/>
        <v>15</v>
      </c>
      <c r="L16">
        <f t="shared" si="5"/>
        <v>16.399999999999999</v>
      </c>
      <c r="O16">
        <v>392</v>
      </c>
      <c r="P16">
        <f t="shared" si="6"/>
        <v>5409.8179799999998</v>
      </c>
      <c r="Q16">
        <v>280</v>
      </c>
      <c r="S16">
        <f t="shared" si="7"/>
        <v>6151.2500000000009</v>
      </c>
      <c r="T16">
        <f t="shared" si="8"/>
        <v>0.61512500000000014</v>
      </c>
    </row>
    <row r="17" spans="1:20" x14ac:dyDescent="0.35">
      <c r="A17" s="5">
        <v>3533</v>
      </c>
      <c r="B17">
        <v>2</v>
      </c>
      <c r="C17">
        <v>39.6</v>
      </c>
      <c r="D17">
        <v>1.4</v>
      </c>
      <c r="E17">
        <f t="shared" si="0"/>
        <v>42.4</v>
      </c>
      <c r="F17">
        <f t="shared" si="1"/>
        <v>124.406964</v>
      </c>
      <c r="G17">
        <v>119.8</v>
      </c>
      <c r="H17">
        <v>44</v>
      </c>
      <c r="I17">
        <f t="shared" si="2"/>
        <v>133.203416</v>
      </c>
      <c r="J17">
        <f t="shared" si="3"/>
        <v>0.89937633431262753</v>
      </c>
      <c r="K17">
        <f t="shared" si="4"/>
        <v>19.8</v>
      </c>
      <c r="L17">
        <f t="shared" si="5"/>
        <v>21.2</v>
      </c>
      <c r="O17">
        <f>2*36*2.8*1.4</f>
        <v>282.23999999999995</v>
      </c>
      <c r="P17">
        <f t="shared" si="6"/>
        <v>7937.1643031999993</v>
      </c>
      <c r="Q17">
        <f>(2*36*2.8)</f>
        <v>201.6</v>
      </c>
      <c r="S17">
        <f t="shared" si="7"/>
        <v>6936.8977358490556</v>
      </c>
      <c r="T17">
        <f t="shared" si="8"/>
        <v>0.69368977358490558</v>
      </c>
    </row>
    <row r="18" spans="1:20" x14ac:dyDescent="0.35">
      <c r="A18" s="5">
        <v>3564</v>
      </c>
      <c r="B18">
        <v>2</v>
      </c>
      <c r="C18">
        <v>52.1</v>
      </c>
      <c r="D18">
        <v>1.4</v>
      </c>
      <c r="E18">
        <v>42.4</v>
      </c>
      <c r="F18">
        <f t="shared" si="1"/>
        <v>163.676839</v>
      </c>
      <c r="G18">
        <v>119.8</v>
      </c>
      <c r="H18">
        <v>44</v>
      </c>
      <c r="I18">
        <f t="shared" si="2"/>
        <v>172.47329099999999</v>
      </c>
      <c r="J18">
        <f t="shared" si="3"/>
        <v>0.6946003019099346</v>
      </c>
      <c r="K18">
        <f t="shared" si="4"/>
        <v>26.05</v>
      </c>
      <c r="L18">
        <f t="shared" si="5"/>
        <v>21.2</v>
      </c>
      <c r="O18">
        <v>282.24</v>
      </c>
      <c r="P18">
        <f t="shared" si="6"/>
        <v>11465.56257195</v>
      </c>
      <c r="Q18">
        <v>201.6</v>
      </c>
      <c r="S18">
        <f t="shared" si="7"/>
        <v>7762.3832240437159</v>
      </c>
      <c r="T18">
        <f t="shared" si="8"/>
        <v>0.77623832240437163</v>
      </c>
    </row>
    <row r="19" spans="1:20" x14ac:dyDescent="0.35">
      <c r="A19" s="5">
        <v>3589</v>
      </c>
      <c r="B19">
        <v>1</v>
      </c>
      <c r="C19">
        <v>48</v>
      </c>
      <c r="D19">
        <v>1.4</v>
      </c>
      <c r="E19">
        <f t="shared" si="0"/>
        <v>50.8</v>
      </c>
      <c r="F19">
        <f t="shared" si="1"/>
        <v>150.79631999999998</v>
      </c>
      <c r="G19">
        <v>122.5</v>
      </c>
      <c r="H19">
        <v>42.4</v>
      </c>
      <c r="I19">
        <f t="shared" si="2"/>
        <v>159.592772</v>
      </c>
      <c r="J19">
        <f t="shared" si="3"/>
        <v>0.7675786219190428</v>
      </c>
      <c r="K19">
        <f t="shared" si="4"/>
        <v>24</v>
      </c>
      <c r="L19">
        <f t="shared" si="5"/>
        <v>25.4</v>
      </c>
      <c r="O19">
        <v>392</v>
      </c>
      <c r="P19">
        <f t="shared" si="6"/>
        <v>10012.875647999999</v>
      </c>
      <c r="Q19">
        <v>280</v>
      </c>
      <c r="S19">
        <f t="shared" si="7"/>
        <v>7405.6692913385823</v>
      </c>
      <c r="T19">
        <f t="shared" si="8"/>
        <v>0.74056692913385824</v>
      </c>
    </row>
    <row r="20" spans="1:20" x14ac:dyDescent="0.35">
      <c r="A20" s="1">
        <v>4103</v>
      </c>
      <c r="B20">
        <v>2</v>
      </c>
      <c r="C20">
        <v>34</v>
      </c>
      <c r="D20">
        <v>1.4</v>
      </c>
      <c r="E20">
        <f t="shared" si="0"/>
        <v>36.799999999999997</v>
      </c>
      <c r="F20">
        <f t="shared" si="1"/>
        <v>106.81406</v>
      </c>
      <c r="G20">
        <v>119.8</v>
      </c>
      <c r="H20">
        <v>44</v>
      </c>
      <c r="I20">
        <f t="shared" si="2"/>
        <v>115.61051199999999</v>
      </c>
      <c r="J20">
        <f t="shared" si="3"/>
        <v>1.0362379504036796</v>
      </c>
      <c r="K20">
        <f t="shared" si="4"/>
        <v>17</v>
      </c>
      <c r="L20">
        <f t="shared" si="5"/>
        <v>18.399999999999999</v>
      </c>
      <c r="O20">
        <v>282.24</v>
      </c>
      <c r="P20">
        <f t="shared" si="6"/>
        <v>6515.6576599999989</v>
      </c>
      <c r="Q20">
        <v>201.6</v>
      </c>
      <c r="S20">
        <f t="shared" si="7"/>
        <v>6550.1717391304337</v>
      </c>
      <c r="T20">
        <f t="shared" si="8"/>
        <v>0.65501717391304337</v>
      </c>
    </row>
    <row r="21" spans="1:20" x14ac:dyDescent="0.35">
      <c r="A21" s="5">
        <v>4156</v>
      </c>
      <c r="B21">
        <v>2</v>
      </c>
      <c r="C21">
        <v>35.5</v>
      </c>
      <c r="D21">
        <v>1.4</v>
      </c>
      <c r="E21">
        <f t="shared" si="0"/>
        <v>38.299999999999997</v>
      </c>
      <c r="F21">
        <f t="shared" si="1"/>
        <v>111.526445</v>
      </c>
      <c r="G21">
        <v>119.8</v>
      </c>
      <c r="H21">
        <v>44</v>
      </c>
      <c r="I21">
        <f t="shared" si="2"/>
        <v>120.32289699999998</v>
      </c>
      <c r="J21">
        <f t="shared" si="3"/>
        <v>0.99565421866463222</v>
      </c>
      <c r="K21">
        <f t="shared" si="4"/>
        <v>17.75</v>
      </c>
      <c r="L21">
        <f t="shared" si="5"/>
        <v>19.149999999999999</v>
      </c>
      <c r="M21">
        <v>41769.480000000003</v>
      </c>
      <c r="N21">
        <v>48618.31</v>
      </c>
      <c r="O21">
        <v>282.24</v>
      </c>
      <c r="P21">
        <f t="shared" si="6"/>
        <v>6886.7579787499999</v>
      </c>
      <c r="Q21">
        <v>201.6</v>
      </c>
      <c r="R21">
        <f>(J21*(N21-M21)) - O23</f>
        <v>6536.8264824168882</v>
      </c>
      <c r="S21">
        <f t="shared" si="7"/>
        <v>6655.229634464753</v>
      </c>
      <c r="T21">
        <f t="shared" si="8"/>
        <v>0.66552296344647532</v>
      </c>
    </row>
    <row r="22" spans="1:20" x14ac:dyDescent="0.35">
      <c r="A22" s="1">
        <v>4181</v>
      </c>
      <c r="B22">
        <v>2</v>
      </c>
      <c r="C22">
        <v>26</v>
      </c>
      <c r="D22">
        <v>1.4</v>
      </c>
      <c r="E22">
        <f t="shared" si="0"/>
        <v>28.8</v>
      </c>
      <c r="F22">
        <f t="shared" si="1"/>
        <v>81.681339999999992</v>
      </c>
      <c r="G22">
        <v>119.8</v>
      </c>
      <c r="H22">
        <v>44</v>
      </c>
      <c r="I22">
        <f t="shared" si="2"/>
        <v>90.477791999999994</v>
      </c>
      <c r="J22">
        <f t="shared" si="3"/>
        <v>1.3240818255158129</v>
      </c>
      <c r="K22">
        <f t="shared" si="4"/>
        <v>13</v>
      </c>
      <c r="L22">
        <f t="shared" si="5"/>
        <v>14.4</v>
      </c>
      <c r="O22">
        <f>2*36*2.8*1.4</f>
        <v>282.23999999999995</v>
      </c>
      <c r="P22">
        <f t="shared" si="6"/>
        <v>4655.8363799999997</v>
      </c>
      <c r="Q22">
        <f>(2*36*2.8)</f>
        <v>201.6</v>
      </c>
      <c r="S22">
        <f t="shared" si="7"/>
        <v>5963.1083333333336</v>
      </c>
      <c r="T22">
        <f t="shared" si="8"/>
        <v>0.59631083333333335</v>
      </c>
    </row>
    <row r="23" spans="1:20" x14ac:dyDescent="0.35">
      <c r="A23" s="1">
        <v>4190</v>
      </c>
      <c r="B23">
        <v>2</v>
      </c>
      <c r="C23">
        <v>25</v>
      </c>
      <c r="D23">
        <v>1.4</v>
      </c>
      <c r="E23">
        <f t="shared" si="0"/>
        <v>27.8</v>
      </c>
      <c r="F23">
        <f t="shared" si="1"/>
        <v>78.539749999999998</v>
      </c>
      <c r="G23">
        <v>119.8</v>
      </c>
      <c r="H23">
        <v>44</v>
      </c>
      <c r="I23">
        <f t="shared" si="2"/>
        <v>87.336202</v>
      </c>
      <c r="J23">
        <f t="shared" si="3"/>
        <v>1.3717106681602664</v>
      </c>
      <c r="K23">
        <f t="shared" si="4"/>
        <v>12.5</v>
      </c>
      <c r="L23">
        <f t="shared" si="5"/>
        <v>13.9</v>
      </c>
      <c r="O23">
        <f>2*36*2.8*1.4</f>
        <v>282.23999999999995</v>
      </c>
      <c r="P23">
        <f t="shared" si="6"/>
        <v>4437.4958749999996</v>
      </c>
      <c r="Q23">
        <f>(2*36*2.8)</f>
        <v>201.6</v>
      </c>
      <c r="S23">
        <f t="shared" si="7"/>
        <v>5885.3604316546753</v>
      </c>
      <c r="T23">
        <f t="shared" si="8"/>
        <v>0.58853604316546748</v>
      </c>
    </row>
    <row r="24" spans="1:20" ht="13.5" customHeight="1" x14ac:dyDescent="0.35">
      <c r="A24" s="1">
        <v>4246</v>
      </c>
      <c r="B24">
        <v>1</v>
      </c>
      <c r="C24">
        <v>59.3</v>
      </c>
      <c r="D24">
        <v>1.4</v>
      </c>
      <c r="E24">
        <f t="shared" si="0"/>
        <v>62.099999999999994</v>
      </c>
      <c r="F24">
        <f t="shared" si="1"/>
        <v>186.29628699999998</v>
      </c>
      <c r="G24">
        <v>122.5</v>
      </c>
      <c r="H24">
        <v>42.4</v>
      </c>
      <c r="I24">
        <f t="shared" si="2"/>
        <v>195.09273899999997</v>
      </c>
      <c r="J24">
        <f t="shared" si="3"/>
        <v>0.62790650553119776</v>
      </c>
      <c r="K24">
        <f t="shared" si="4"/>
        <v>29.65</v>
      </c>
      <c r="L24">
        <f t="shared" si="5"/>
        <v>31.049999999999997</v>
      </c>
      <c r="O24">
        <v>392</v>
      </c>
      <c r="P24">
        <f t="shared" si="6"/>
        <v>13422.647478349998</v>
      </c>
      <c r="Q24">
        <v>280</v>
      </c>
      <c r="S24">
        <f t="shared" si="7"/>
        <v>8148.1676731078915</v>
      </c>
      <c r="T24">
        <f t="shared" si="8"/>
        <v>0.81481676731078911</v>
      </c>
    </row>
    <row r="25" spans="1:20" ht="15.5" x14ac:dyDescent="0.35">
      <c r="A25" s="6">
        <v>4261</v>
      </c>
      <c r="B25">
        <v>1</v>
      </c>
      <c r="C25">
        <v>43.2</v>
      </c>
      <c r="D25">
        <v>1.4</v>
      </c>
      <c r="E25">
        <f t="shared" si="0"/>
        <v>46</v>
      </c>
      <c r="F25">
        <f t="shared" si="1"/>
        <v>135.716688</v>
      </c>
      <c r="G25">
        <v>122.5</v>
      </c>
      <c r="H25">
        <v>42.4</v>
      </c>
      <c r="I25">
        <f t="shared" si="2"/>
        <v>144.51313999999999</v>
      </c>
      <c r="J25">
        <f t="shared" si="3"/>
        <v>0.84767378246711689</v>
      </c>
      <c r="K25">
        <f t="shared" si="4"/>
        <v>21.6</v>
      </c>
      <c r="L25">
        <f t="shared" si="5"/>
        <v>23</v>
      </c>
      <c r="O25">
        <v>392</v>
      </c>
      <c r="P25">
        <f t="shared" si="6"/>
        <v>8685.8680320000003</v>
      </c>
      <c r="Q25">
        <v>280</v>
      </c>
      <c r="S25">
        <f t="shared" si="7"/>
        <v>7082.7826086956529</v>
      </c>
      <c r="T25">
        <f t="shared" si="8"/>
        <v>0.70827826086956525</v>
      </c>
    </row>
    <row r="26" spans="1:20" x14ac:dyDescent="0.35">
      <c r="A26" s="1">
        <v>4295</v>
      </c>
      <c r="B26">
        <v>1</v>
      </c>
      <c r="C26">
        <v>33.799999999999997</v>
      </c>
      <c r="D26">
        <v>1.4</v>
      </c>
      <c r="E26">
        <f t="shared" si="0"/>
        <v>36.599999999999994</v>
      </c>
      <c r="F26">
        <f t="shared" si="1"/>
        <v>106.18574199999999</v>
      </c>
      <c r="G26">
        <v>122.5</v>
      </c>
      <c r="H26">
        <v>42.4</v>
      </c>
      <c r="I26">
        <f t="shared" si="2"/>
        <v>114.98219399999998</v>
      </c>
      <c r="J26">
        <f t="shared" si="3"/>
        <v>1.0653823495488355</v>
      </c>
      <c r="K26">
        <f t="shared" si="4"/>
        <v>16.899999999999999</v>
      </c>
      <c r="L26">
        <f t="shared" si="5"/>
        <v>18.299999999999997</v>
      </c>
      <c r="O26">
        <v>392</v>
      </c>
      <c r="P26">
        <f t="shared" si="6"/>
        <v>6296.8145005999995</v>
      </c>
      <c r="Q26">
        <v>280</v>
      </c>
      <c r="S26">
        <f t="shared" si="7"/>
        <v>6428.5150273224044</v>
      </c>
      <c r="T26">
        <f t="shared" si="8"/>
        <v>0.64285150273224045</v>
      </c>
    </row>
    <row r="27" spans="1:20" x14ac:dyDescent="0.35">
      <c r="A27" s="5">
        <v>4783</v>
      </c>
      <c r="B27">
        <v>1</v>
      </c>
      <c r="C27">
        <v>55</v>
      </c>
      <c r="D27">
        <v>1.4</v>
      </c>
      <c r="E27">
        <f t="shared" si="0"/>
        <v>57.8</v>
      </c>
      <c r="F27">
        <f t="shared" si="1"/>
        <v>172.78745000000001</v>
      </c>
      <c r="G27">
        <v>122.5</v>
      </c>
      <c r="H27">
        <v>42.4</v>
      </c>
      <c r="I27">
        <f t="shared" si="2"/>
        <v>181.58390199999999</v>
      </c>
      <c r="J27">
        <f t="shared" si="3"/>
        <v>0.67461927324372617</v>
      </c>
      <c r="K27">
        <f t="shared" si="4"/>
        <v>27.5</v>
      </c>
      <c r="L27">
        <f t="shared" si="5"/>
        <v>28.9</v>
      </c>
      <c r="O27">
        <v>392</v>
      </c>
      <c r="P27">
        <f t="shared" si="6"/>
        <v>12077.842755000001</v>
      </c>
      <c r="Q27">
        <v>280</v>
      </c>
      <c r="S27">
        <f t="shared" si="7"/>
        <v>7867.9455017301043</v>
      </c>
      <c r="T27">
        <f t="shared" si="8"/>
        <v>0.78679455017301048</v>
      </c>
    </row>
    <row r="28" spans="1:20" x14ac:dyDescent="0.35">
      <c r="A28" s="1">
        <v>4797</v>
      </c>
      <c r="B28">
        <v>2</v>
      </c>
      <c r="C28">
        <v>32.1</v>
      </c>
      <c r="D28">
        <v>1.4</v>
      </c>
      <c r="E28">
        <f t="shared" si="0"/>
        <v>34.9</v>
      </c>
      <c r="F28">
        <f t="shared" si="1"/>
        <v>100.845039</v>
      </c>
      <c r="G28">
        <v>199.8</v>
      </c>
      <c r="H28">
        <v>44</v>
      </c>
      <c r="I28">
        <f t="shared" si="2"/>
        <v>109.64149099999999</v>
      </c>
      <c r="J28">
        <f t="shared" si="3"/>
        <v>1.8223028360677804</v>
      </c>
      <c r="K28">
        <f t="shared" si="4"/>
        <v>16.05</v>
      </c>
      <c r="L28">
        <f t="shared" si="5"/>
        <v>17.45</v>
      </c>
      <c r="O28">
        <v>282.24</v>
      </c>
      <c r="P28">
        <f t="shared" si="6"/>
        <v>6055.7445919500005</v>
      </c>
      <c r="Q28">
        <v>201.6</v>
      </c>
      <c r="S28">
        <f t="shared" si="7"/>
        <v>10833.80054441261</v>
      </c>
      <c r="T28">
        <f t="shared" si="8"/>
        <v>1.0833800544412611</v>
      </c>
    </row>
    <row r="29" spans="1:20" x14ac:dyDescent="0.35">
      <c r="A29" s="1">
        <v>5078</v>
      </c>
      <c r="B29">
        <v>2</v>
      </c>
      <c r="C29">
        <v>37</v>
      </c>
      <c r="D29">
        <v>1.4</v>
      </c>
      <c r="E29">
        <f t="shared" si="0"/>
        <v>39.799999999999997</v>
      </c>
      <c r="F29">
        <f t="shared" si="1"/>
        <v>116.23882999999999</v>
      </c>
      <c r="G29">
        <v>122.5</v>
      </c>
      <c r="H29">
        <v>42.4</v>
      </c>
      <c r="I29">
        <f t="shared" si="2"/>
        <v>125.03528199999998</v>
      </c>
      <c r="J29">
        <f t="shared" si="3"/>
        <v>0.9797234671730497</v>
      </c>
      <c r="K29">
        <f t="shared" si="4"/>
        <v>18.5</v>
      </c>
      <c r="L29">
        <f t="shared" si="5"/>
        <v>19.899999999999999</v>
      </c>
      <c r="O29">
        <v>392</v>
      </c>
      <c r="P29">
        <f t="shared" si="6"/>
        <v>7078.9447469999996</v>
      </c>
      <c r="Q29">
        <v>280</v>
      </c>
      <c r="S29">
        <f t="shared" si="7"/>
        <v>6655.4082914572864</v>
      </c>
      <c r="T29">
        <f t="shared" si="8"/>
        <v>0.66554082914572865</v>
      </c>
    </row>
    <row r="30" spans="1:20" x14ac:dyDescent="0.35">
      <c r="A30" s="1">
        <v>5086</v>
      </c>
      <c r="B30">
        <v>1</v>
      </c>
      <c r="C30">
        <v>42.5</v>
      </c>
      <c r="D30">
        <v>1.4</v>
      </c>
      <c r="E30">
        <f t="shared" ref="E30:E48" si="9">C30+(2*D30)</f>
        <v>45.3</v>
      </c>
      <c r="F30">
        <f t="shared" ref="F30:F48" si="10">3.14159*C30</f>
        <v>133.51757499999999</v>
      </c>
      <c r="G30">
        <v>119.8</v>
      </c>
      <c r="H30">
        <v>44</v>
      </c>
      <c r="I30">
        <f t="shared" ref="I30:I48" si="11">3.14159*(C30+(2*D30))</f>
        <v>142.31402699999998</v>
      </c>
      <c r="J30">
        <f t="shared" ref="J30:J48" si="12">G30/I30</f>
        <v>0.84180036589084795</v>
      </c>
      <c r="K30">
        <f t="shared" ref="K30:K48" si="13">C30*0.5</f>
        <v>21.25</v>
      </c>
      <c r="L30">
        <f t="shared" ref="L30:L48" si="14">E30*0.5</f>
        <v>22.65</v>
      </c>
      <c r="O30">
        <v>282.24</v>
      </c>
      <c r="P30">
        <f t="shared" ref="P30:P48" si="15">2*3.14159*K30*H30+(2*3.14159*(K30^2))</f>
        <v>8712.0217687500008</v>
      </c>
      <c r="Q30">
        <v>201.6</v>
      </c>
      <c r="S30">
        <f t="shared" ref="S30:S47" si="16">(J30*P30)-Q30</f>
        <v>7132.183112582783</v>
      </c>
      <c r="T30">
        <f t="shared" ref="T30:T48" si="17">S30/10000</f>
        <v>0.71321831125827828</v>
      </c>
    </row>
    <row r="31" spans="1:20" x14ac:dyDescent="0.35">
      <c r="A31" s="1">
        <v>5091</v>
      </c>
      <c r="B31">
        <v>1</v>
      </c>
      <c r="C31">
        <v>29.7</v>
      </c>
      <c r="D31">
        <v>1.4</v>
      </c>
      <c r="E31">
        <f t="shared" si="9"/>
        <v>32.5</v>
      </c>
      <c r="F31">
        <f t="shared" si="10"/>
        <v>93.305222999999998</v>
      </c>
      <c r="G31">
        <v>122.5</v>
      </c>
      <c r="H31">
        <v>42.4</v>
      </c>
      <c r="I31">
        <f t="shared" si="11"/>
        <v>102.101675</v>
      </c>
      <c r="J31">
        <f t="shared" si="12"/>
        <v>1.1997844305688423</v>
      </c>
      <c r="K31">
        <f t="shared" si="13"/>
        <v>14.85</v>
      </c>
      <c r="L31">
        <f t="shared" si="14"/>
        <v>16.25</v>
      </c>
      <c r="O31">
        <v>392</v>
      </c>
      <c r="P31">
        <f t="shared" si="15"/>
        <v>5341.7240167499995</v>
      </c>
      <c r="Q31">
        <v>280</v>
      </c>
      <c r="S31">
        <f t="shared" si="16"/>
        <v>6128.9173076923071</v>
      </c>
      <c r="T31">
        <f t="shared" si="17"/>
        <v>0.61289173076923076</v>
      </c>
    </row>
    <row r="32" spans="1:20" x14ac:dyDescent="0.35">
      <c r="A32" s="1">
        <v>5092</v>
      </c>
      <c r="B32">
        <v>1</v>
      </c>
      <c r="C32">
        <v>36</v>
      </c>
      <c r="D32">
        <v>1.4</v>
      </c>
      <c r="E32">
        <f t="shared" si="9"/>
        <v>38.799999999999997</v>
      </c>
      <c r="F32">
        <f t="shared" si="10"/>
        <v>113.09724</v>
      </c>
      <c r="G32">
        <v>122.5</v>
      </c>
      <c r="H32">
        <v>42.4</v>
      </c>
      <c r="I32">
        <f t="shared" si="11"/>
        <v>121.89369199999999</v>
      </c>
      <c r="J32">
        <f t="shared" si="12"/>
        <v>1.0049740719970974</v>
      </c>
      <c r="K32">
        <f t="shared" si="13"/>
        <v>18</v>
      </c>
      <c r="L32">
        <f t="shared" si="14"/>
        <v>19.399999999999999</v>
      </c>
      <c r="O32">
        <v>392</v>
      </c>
      <c r="P32">
        <f t="shared" si="15"/>
        <v>6831.0732959999996</v>
      </c>
      <c r="Q32">
        <v>280</v>
      </c>
      <c r="S32">
        <f t="shared" si="16"/>
        <v>6585.0515463917536</v>
      </c>
      <c r="T32">
        <f t="shared" si="17"/>
        <v>0.65850515463917536</v>
      </c>
    </row>
    <row r="33" spans="1:20" x14ac:dyDescent="0.35">
      <c r="A33" s="1">
        <v>5099</v>
      </c>
      <c r="B33">
        <v>2</v>
      </c>
      <c r="C33">
        <v>33.799999999999997</v>
      </c>
      <c r="D33">
        <v>1.4</v>
      </c>
      <c r="E33">
        <f t="shared" si="9"/>
        <v>36.599999999999994</v>
      </c>
      <c r="F33">
        <f t="shared" si="10"/>
        <v>106.18574199999999</v>
      </c>
      <c r="G33">
        <v>119.8</v>
      </c>
      <c r="H33">
        <v>44</v>
      </c>
      <c r="I33">
        <f t="shared" si="11"/>
        <v>114.98219399999998</v>
      </c>
      <c r="J33">
        <f t="shared" si="12"/>
        <v>1.0419004528649021</v>
      </c>
      <c r="K33">
        <f t="shared" si="13"/>
        <v>16.899999999999999</v>
      </c>
      <c r="L33">
        <f t="shared" si="14"/>
        <v>18.299999999999997</v>
      </c>
      <c r="O33">
        <f>2*36*2.8*1.4</f>
        <v>282.23999999999995</v>
      </c>
      <c r="P33">
        <f t="shared" si="15"/>
        <v>6466.7116877999997</v>
      </c>
      <c r="Q33">
        <f>(2*36*2.8)</f>
        <v>201.6</v>
      </c>
      <c r="S33">
        <f t="shared" si="16"/>
        <v>6536.0698360655742</v>
      </c>
      <c r="T33">
        <f t="shared" si="17"/>
        <v>0.65360698360655745</v>
      </c>
    </row>
    <row r="34" spans="1:20" x14ac:dyDescent="0.35">
      <c r="A34" s="5">
        <v>6326</v>
      </c>
      <c r="B34">
        <v>2</v>
      </c>
      <c r="C34">
        <v>35</v>
      </c>
      <c r="D34">
        <v>1.4</v>
      </c>
      <c r="E34">
        <f t="shared" si="9"/>
        <v>37.799999999999997</v>
      </c>
      <c r="F34">
        <f t="shared" si="10"/>
        <v>109.95564999999999</v>
      </c>
      <c r="G34">
        <v>119.8</v>
      </c>
      <c r="H34">
        <v>44</v>
      </c>
      <c r="I34">
        <f t="shared" si="11"/>
        <v>118.75210199999999</v>
      </c>
      <c r="J34">
        <f t="shared" si="12"/>
        <v>1.008824248012048</v>
      </c>
      <c r="K34">
        <f t="shared" si="13"/>
        <v>17.5</v>
      </c>
      <c r="L34">
        <f t="shared" si="14"/>
        <v>18.899999999999999</v>
      </c>
      <c r="O34">
        <f>2*36*2.8*1.4</f>
        <v>282.23999999999995</v>
      </c>
      <c r="P34">
        <f t="shared" si="15"/>
        <v>6762.2724749999998</v>
      </c>
      <c r="Q34">
        <f>(2*36*2.8)</f>
        <v>201.6</v>
      </c>
      <c r="S34">
        <f t="shared" si="16"/>
        <v>6620.3444444444449</v>
      </c>
      <c r="T34">
        <f t="shared" si="17"/>
        <v>0.66203444444444448</v>
      </c>
    </row>
    <row r="35" spans="1:20" x14ac:dyDescent="0.35">
      <c r="A35" s="1">
        <v>6371</v>
      </c>
      <c r="B35">
        <v>1</v>
      </c>
      <c r="C35">
        <v>45.3</v>
      </c>
      <c r="D35">
        <v>1.4</v>
      </c>
      <c r="E35">
        <f t="shared" si="9"/>
        <v>48.099999999999994</v>
      </c>
      <c r="F35">
        <f t="shared" si="10"/>
        <v>142.31402699999998</v>
      </c>
      <c r="G35">
        <v>122.5</v>
      </c>
      <c r="H35">
        <v>42.4</v>
      </c>
      <c r="I35">
        <f t="shared" si="11"/>
        <v>151.11047899999997</v>
      </c>
      <c r="J35">
        <f t="shared" si="12"/>
        <v>0.81066515578975851</v>
      </c>
      <c r="K35">
        <f t="shared" si="13"/>
        <v>22.65</v>
      </c>
      <c r="L35">
        <f t="shared" si="14"/>
        <v>24.049999999999997</v>
      </c>
      <c r="O35">
        <v>392</v>
      </c>
      <c r="P35">
        <f t="shared" si="15"/>
        <v>9257.5274563499988</v>
      </c>
      <c r="Q35">
        <v>280</v>
      </c>
      <c r="S35">
        <f t="shared" si="16"/>
        <v>7224.7549376299385</v>
      </c>
      <c r="T35">
        <f t="shared" si="17"/>
        <v>0.7224754937629938</v>
      </c>
    </row>
    <row r="36" spans="1:20" x14ac:dyDescent="0.35">
      <c r="A36" s="1">
        <v>6393</v>
      </c>
      <c r="B36">
        <v>2</v>
      </c>
      <c r="C36">
        <v>37.6</v>
      </c>
      <c r="D36">
        <v>1.4</v>
      </c>
      <c r="E36">
        <f t="shared" si="9"/>
        <v>40.4</v>
      </c>
      <c r="F36">
        <f t="shared" si="10"/>
        <v>118.123784</v>
      </c>
      <c r="G36">
        <v>119.8</v>
      </c>
      <c r="H36">
        <v>44</v>
      </c>
      <c r="I36">
        <f t="shared" si="11"/>
        <v>126.92023599999999</v>
      </c>
      <c r="J36">
        <f t="shared" si="12"/>
        <v>0.94389991521919336</v>
      </c>
      <c r="K36">
        <f t="shared" si="13"/>
        <v>18.8</v>
      </c>
      <c r="L36">
        <f t="shared" si="14"/>
        <v>20.2</v>
      </c>
      <c r="O36">
        <v>282.24</v>
      </c>
      <c r="P36">
        <f t="shared" si="15"/>
        <v>7418.1736352000007</v>
      </c>
      <c r="Q36">
        <v>201.6</v>
      </c>
      <c r="S36">
        <f t="shared" si="16"/>
        <v>6800.4134653465353</v>
      </c>
      <c r="T36">
        <f t="shared" si="17"/>
        <v>0.68004134653465353</v>
      </c>
    </row>
    <row r="37" spans="1:20" x14ac:dyDescent="0.35">
      <c r="A37" s="5">
        <v>7361</v>
      </c>
      <c r="B37">
        <v>2</v>
      </c>
      <c r="C37">
        <v>34.200000000000003</v>
      </c>
      <c r="D37">
        <v>1.4</v>
      </c>
      <c r="E37">
        <f t="shared" si="9"/>
        <v>37</v>
      </c>
      <c r="F37">
        <f t="shared" si="10"/>
        <v>107.44237800000001</v>
      </c>
      <c r="G37">
        <v>119.8</v>
      </c>
      <c r="H37">
        <v>44</v>
      </c>
      <c r="I37">
        <f t="shared" si="11"/>
        <v>116.23882999999999</v>
      </c>
      <c r="J37">
        <f t="shared" si="12"/>
        <v>1.0306366641852813</v>
      </c>
      <c r="K37">
        <f t="shared" si="13"/>
        <v>17.100000000000001</v>
      </c>
      <c r="L37">
        <f t="shared" si="14"/>
        <v>18.5</v>
      </c>
      <c r="O37">
        <v>282.24</v>
      </c>
      <c r="P37">
        <f t="shared" si="15"/>
        <v>6564.7292957999998</v>
      </c>
      <c r="Q37">
        <v>201.6</v>
      </c>
      <c r="S37">
        <f t="shared" si="16"/>
        <v>6564.2507027027023</v>
      </c>
      <c r="T37">
        <f t="shared" si="17"/>
        <v>0.65642507027027019</v>
      </c>
    </row>
    <row r="38" spans="1:20" x14ac:dyDescent="0.35">
      <c r="A38" s="5">
        <v>7397</v>
      </c>
      <c r="B38">
        <v>1</v>
      </c>
      <c r="C38">
        <v>39.200000000000003</v>
      </c>
      <c r="D38">
        <v>1.4</v>
      </c>
      <c r="E38">
        <f t="shared" si="9"/>
        <v>42</v>
      </c>
      <c r="F38">
        <f t="shared" si="10"/>
        <v>123.150328</v>
      </c>
      <c r="G38">
        <v>122.5</v>
      </c>
      <c r="H38">
        <v>42.4</v>
      </c>
      <c r="I38">
        <f t="shared" si="11"/>
        <v>131.94677999999999</v>
      </c>
      <c r="J38">
        <f t="shared" si="12"/>
        <v>0.92840461889255665</v>
      </c>
      <c r="K38">
        <f t="shared" si="13"/>
        <v>19.600000000000001</v>
      </c>
      <c r="L38">
        <f t="shared" si="14"/>
        <v>21</v>
      </c>
      <c r="O38">
        <v>392</v>
      </c>
      <c r="P38">
        <f t="shared" si="15"/>
        <v>7635.3203360000007</v>
      </c>
      <c r="Q38">
        <v>280</v>
      </c>
      <c r="S38">
        <f t="shared" si="16"/>
        <v>6808.6666666666679</v>
      </c>
      <c r="T38">
        <f t="shared" si="17"/>
        <v>0.68086666666666684</v>
      </c>
    </row>
    <row r="39" spans="1:20" x14ac:dyDescent="0.35">
      <c r="A39" s="5">
        <v>7447</v>
      </c>
      <c r="B39">
        <v>2</v>
      </c>
      <c r="C39">
        <v>37</v>
      </c>
      <c r="D39">
        <v>1.4</v>
      </c>
      <c r="E39">
        <f t="shared" si="9"/>
        <v>39.799999999999997</v>
      </c>
      <c r="F39">
        <f t="shared" si="10"/>
        <v>116.23882999999999</v>
      </c>
      <c r="G39">
        <v>119.8</v>
      </c>
      <c r="H39">
        <v>44</v>
      </c>
      <c r="I39">
        <f t="shared" si="11"/>
        <v>125.03528199999998</v>
      </c>
      <c r="J39">
        <f t="shared" si="12"/>
        <v>0.95812956218229683</v>
      </c>
      <c r="K39">
        <f t="shared" si="13"/>
        <v>18.5</v>
      </c>
      <c r="L39">
        <f t="shared" si="14"/>
        <v>19.899999999999999</v>
      </c>
      <c r="O39">
        <v>282.24</v>
      </c>
      <c r="P39">
        <f t="shared" si="15"/>
        <v>7264.9268749999992</v>
      </c>
      <c r="Q39">
        <v>201.6</v>
      </c>
      <c r="S39">
        <f t="shared" si="16"/>
        <v>6759.1412060301509</v>
      </c>
      <c r="T39">
        <f t="shared" si="17"/>
        <v>0.67591412060301514</v>
      </c>
    </row>
    <row r="40" spans="1:20" x14ac:dyDescent="0.35">
      <c r="A40" s="5">
        <v>8833</v>
      </c>
      <c r="B40">
        <v>1</v>
      </c>
      <c r="C40">
        <v>55</v>
      </c>
      <c r="D40">
        <v>1.4</v>
      </c>
      <c r="E40">
        <f t="shared" si="9"/>
        <v>57.8</v>
      </c>
      <c r="F40">
        <f t="shared" si="10"/>
        <v>172.78745000000001</v>
      </c>
      <c r="G40">
        <v>122.5</v>
      </c>
      <c r="H40">
        <v>42.4</v>
      </c>
      <c r="I40">
        <f t="shared" si="11"/>
        <v>181.58390199999999</v>
      </c>
      <c r="J40">
        <f t="shared" si="12"/>
        <v>0.67461927324372617</v>
      </c>
      <c r="K40">
        <f t="shared" si="13"/>
        <v>27.5</v>
      </c>
      <c r="L40">
        <f t="shared" si="14"/>
        <v>28.9</v>
      </c>
      <c r="O40">
        <v>392</v>
      </c>
      <c r="P40">
        <f t="shared" si="15"/>
        <v>12077.842755000001</v>
      </c>
      <c r="Q40">
        <v>280</v>
      </c>
      <c r="S40">
        <f t="shared" si="16"/>
        <v>7867.9455017301043</v>
      </c>
      <c r="T40">
        <f t="shared" si="17"/>
        <v>0.78679455017301048</v>
      </c>
    </row>
    <row r="41" spans="1:20" x14ac:dyDescent="0.35">
      <c r="A41" s="5">
        <v>8835</v>
      </c>
      <c r="B41">
        <v>1</v>
      </c>
      <c r="C41">
        <v>48.7</v>
      </c>
      <c r="D41">
        <v>1.4</v>
      </c>
      <c r="E41">
        <f t="shared" si="9"/>
        <v>51.5</v>
      </c>
      <c r="F41">
        <f t="shared" si="10"/>
        <v>152.99543299999999</v>
      </c>
      <c r="G41">
        <v>122.5</v>
      </c>
      <c r="H41">
        <v>42.4</v>
      </c>
      <c r="I41">
        <f t="shared" si="11"/>
        <v>161.79188500000001</v>
      </c>
      <c r="J41">
        <f t="shared" si="12"/>
        <v>0.75714551443664801</v>
      </c>
      <c r="K41">
        <f t="shared" si="13"/>
        <v>24.35</v>
      </c>
      <c r="L41">
        <f t="shared" si="14"/>
        <v>25.75</v>
      </c>
      <c r="O41">
        <v>392</v>
      </c>
      <c r="P41">
        <f t="shared" si="15"/>
        <v>10212.445152749999</v>
      </c>
      <c r="Q41">
        <v>280</v>
      </c>
      <c r="S41">
        <f t="shared" si="16"/>
        <v>7452.3070388349497</v>
      </c>
      <c r="T41">
        <f t="shared" si="17"/>
        <v>0.74523070388349499</v>
      </c>
    </row>
    <row r="42" spans="1:20" ht="15.5" x14ac:dyDescent="0.35">
      <c r="A42" s="6" t="s">
        <v>20</v>
      </c>
      <c r="B42">
        <v>1</v>
      </c>
      <c r="C42">
        <v>29.4</v>
      </c>
      <c r="D42">
        <v>1.4</v>
      </c>
      <c r="E42">
        <f t="shared" si="9"/>
        <v>32.199999999999996</v>
      </c>
      <c r="F42">
        <f t="shared" si="10"/>
        <v>92.362745999999987</v>
      </c>
      <c r="G42">
        <v>122.5</v>
      </c>
      <c r="H42">
        <v>42.4</v>
      </c>
      <c r="I42">
        <f t="shared" si="11"/>
        <v>101.15919799999999</v>
      </c>
      <c r="J42">
        <f t="shared" si="12"/>
        <v>1.2109625463815956</v>
      </c>
      <c r="K42">
        <f t="shared" si="13"/>
        <v>14.7</v>
      </c>
      <c r="L42">
        <f t="shared" si="14"/>
        <v>16.099999999999998</v>
      </c>
      <c r="O42">
        <v>392</v>
      </c>
      <c r="P42">
        <f t="shared" si="15"/>
        <v>5273.9127965999996</v>
      </c>
      <c r="Q42">
        <v>280</v>
      </c>
      <c r="S42">
        <f t="shared" si="16"/>
        <v>6106.5108695652179</v>
      </c>
      <c r="T42">
        <f t="shared" si="17"/>
        <v>0.61065108695652182</v>
      </c>
    </row>
    <row r="43" spans="1:20" x14ac:dyDescent="0.35">
      <c r="A43" s="5" t="s">
        <v>25</v>
      </c>
      <c r="B43">
        <v>1</v>
      </c>
      <c r="C43">
        <v>37</v>
      </c>
      <c r="D43">
        <v>1.4</v>
      </c>
      <c r="E43">
        <f t="shared" si="9"/>
        <v>39.799999999999997</v>
      </c>
      <c r="F43">
        <f t="shared" si="10"/>
        <v>116.23882999999999</v>
      </c>
      <c r="G43">
        <v>122.5</v>
      </c>
      <c r="H43">
        <v>42.4</v>
      </c>
      <c r="I43">
        <f t="shared" si="11"/>
        <v>125.03528199999998</v>
      </c>
      <c r="J43">
        <f t="shared" si="12"/>
        <v>0.9797234671730497</v>
      </c>
      <c r="K43">
        <f t="shared" si="13"/>
        <v>18.5</v>
      </c>
      <c r="L43">
        <f t="shared" si="14"/>
        <v>19.899999999999999</v>
      </c>
      <c r="O43">
        <f>(1.4*4*35)*2</f>
        <v>392</v>
      </c>
      <c r="P43">
        <f t="shared" si="15"/>
        <v>7078.9447469999996</v>
      </c>
      <c r="Q43">
        <f>(2*35*4)</f>
        <v>280</v>
      </c>
      <c r="S43">
        <f t="shared" si="16"/>
        <v>6655.4082914572864</v>
      </c>
      <c r="T43">
        <f t="shared" si="17"/>
        <v>0.66554082914572865</v>
      </c>
    </row>
    <row r="44" spans="1:20" x14ac:dyDescent="0.35">
      <c r="A44" s="1" t="s">
        <v>19</v>
      </c>
      <c r="B44">
        <v>1</v>
      </c>
      <c r="C44">
        <v>32.9</v>
      </c>
      <c r="D44">
        <v>1.4</v>
      </c>
      <c r="E44">
        <f t="shared" si="9"/>
        <v>35.699999999999996</v>
      </c>
      <c r="F44">
        <f t="shared" si="10"/>
        <v>103.35831099999999</v>
      </c>
      <c r="G44">
        <v>122.5</v>
      </c>
      <c r="H44">
        <v>42.4</v>
      </c>
      <c r="I44">
        <f t="shared" si="11"/>
        <v>112.15476299999999</v>
      </c>
      <c r="J44">
        <f t="shared" si="12"/>
        <v>1.0922407281088902</v>
      </c>
      <c r="K44">
        <f t="shared" si="13"/>
        <v>16.45</v>
      </c>
      <c r="L44">
        <f t="shared" si="14"/>
        <v>17.849999999999998</v>
      </c>
      <c r="O44">
        <v>392</v>
      </c>
      <c r="P44">
        <f t="shared" si="15"/>
        <v>6082.6366023499986</v>
      </c>
      <c r="Q44">
        <v>280</v>
      </c>
      <c r="S44">
        <f t="shared" si="16"/>
        <v>6363.703431372548</v>
      </c>
      <c r="T44">
        <f t="shared" si="17"/>
        <v>0.63637034313725482</v>
      </c>
    </row>
    <row r="45" spans="1:20" x14ac:dyDescent="0.35">
      <c r="A45" s="5" t="s">
        <v>23</v>
      </c>
      <c r="B45">
        <v>1</v>
      </c>
      <c r="C45">
        <v>34.1</v>
      </c>
      <c r="D45">
        <v>1.4</v>
      </c>
      <c r="E45">
        <f t="shared" si="9"/>
        <v>36.9</v>
      </c>
      <c r="F45">
        <f t="shared" si="10"/>
        <v>107.128219</v>
      </c>
      <c r="G45">
        <v>122.5</v>
      </c>
      <c r="H45">
        <v>42.4</v>
      </c>
      <c r="I45">
        <f t="shared" si="11"/>
        <v>115.92467099999999</v>
      </c>
      <c r="J45">
        <f t="shared" si="12"/>
        <v>1.0567207044305522</v>
      </c>
      <c r="K45">
        <f t="shared" si="13"/>
        <v>17.05</v>
      </c>
      <c r="L45">
        <f t="shared" si="14"/>
        <v>18.45</v>
      </c>
      <c r="O45">
        <v>392</v>
      </c>
      <c r="P45">
        <f t="shared" si="15"/>
        <v>6368.7726195499999</v>
      </c>
      <c r="Q45">
        <v>280</v>
      </c>
      <c r="S45">
        <f t="shared" si="16"/>
        <v>6450.0138888888896</v>
      </c>
      <c r="T45">
        <f t="shared" si="17"/>
        <v>0.64500138888888892</v>
      </c>
    </row>
    <row r="46" spans="1:20" x14ac:dyDescent="0.35">
      <c r="A46" s="5" t="s">
        <v>21</v>
      </c>
      <c r="B46">
        <v>1</v>
      </c>
      <c r="C46">
        <v>32.200000000000003</v>
      </c>
      <c r="D46">
        <v>1.4</v>
      </c>
      <c r="E46">
        <f t="shared" si="9"/>
        <v>35</v>
      </c>
      <c r="F46">
        <f t="shared" si="10"/>
        <v>101.159198</v>
      </c>
      <c r="G46">
        <v>122.5</v>
      </c>
      <c r="H46">
        <v>42.4</v>
      </c>
      <c r="I46">
        <f t="shared" si="11"/>
        <v>109.95564999999999</v>
      </c>
      <c r="J46">
        <f t="shared" si="12"/>
        <v>1.1140855426710679</v>
      </c>
      <c r="K46">
        <f t="shared" si="13"/>
        <v>16.100000000000001</v>
      </c>
      <c r="L46">
        <f t="shared" si="14"/>
        <v>17.5</v>
      </c>
      <c r="O46">
        <v>392</v>
      </c>
      <c r="P46">
        <f t="shared" si="15"/>
        <v>5917.8130830000009</v>
      </c>
      <c r="Q46">
        <v>280</v>
      </c>
      <c r="S46">
        <f t="shared" si="16"/>
        <v>6312.9500000000007</v>
      </c>
      <c r="T46">
        <f t="shared" si="17"/>
        <v>0.63129500000000005</v>
      </c>
    </row>
    <row r="47" spans="1:20" x14ac:dyDescent="0.35">
      <c r="A47" s="5" t="s">
        <v>22</v>
      </c>
      <c r="B47">
        <v>2</v>
      </c>
      <c r="C47">
        <v>30.3</v>
      </c>
      <c r="D47">
        <v>1.4</v>
      </c>
      <c r="E47">
        <f t="shared" si="9"/>
        <v>33.1</v>
      </c>
      <c r="F47">
        <f t="shared" si="10"/>
        <v>95.190177000000006</v>
      </c>
      <c r="G47">
        <v>119.8</v>
      </c>
      <c r="H47">
        <v>44</v>
      </c>
      <c r="I47">
        <f t="shared" si="11"/>
        <v>103.98662899999999</v>
      </c>
      <c r="J47">
        <f t="shared" si="12"/>
        <v>1.152071195614967</v>
      </c>
      <c r="K47">
        <f t="shared" si="13"/>
        <v>15.15</v>
      </c>
      <c r="L47">
        <f t="shared" si="14"/>
        <v>16.55</v>
      </c>
      <c r="O47">
        <v>282.24</v>
      </c>
      <c r="P47">
        <f t="shared" si="15"/>
        <v>5630.4989695500008</v>
      </c>
      <c r="Q47">
        <v>201.6</v>
      </c>
      <c r="S47">
        <f t="shared" si="16"/>
        <v>6285.1356797583085</v>
      </c>
      <c r="T47">
        <f t="shared" si="17"/>
        <v>0.6285135679758308</v>
      </c>
    </row>
    <row r="48" spans="1:20" x14ac:dyDescent="0.35">
      <c r="A48" s="5">
        <v>4774</v>
      </c>
      <c r="B48">
        <v>2</v>
      </c>
      <c r="C48">
        <v>47.1</v>
      </c>
      <c r="D48">
        <v>1.4</v>
      </c>
      <c r="E48">
        <f t="shared" si="9"/>
        <v>49.9</v>
      </c>
      <c r="F48">
        <f t="shared" si="10"/>
        <v>147.96888899999999</v>
      </c>
      <c r="G48">
        <v>119.8</v>
      </c>
      <c r="H48">
        <v>44</v>
      </c>
      <c r="I48">
        <f t="shared" si="11"/>
        <v>156.76534099999998</v>
      </c>
      <c r="J48">
        <f t="shared" si="12"/>
        <v>0.76419953055822465</v>
      </c>
      <c r="K48">
        <f t="shared" si="13"/>
        <v>23.55</v>
      </c>
      <c r="L48">
        <f t="shared" si="14"/>
        <v>24.95</v>
      </c>
      <c r="O48">
        <v>282.24</v>
      </c>
      <c r="P48">
        <f t="shared" si="15"/>
        <v>9995.2984519500005</v>
      </c>
      <c r="Q48">
        <v>201.6</v>
      </c>
      <c r="S48">
        <f t="shared" ref="S48" si="18">(J48*P48)-Q48</f>
        <v>7436.8023847695395</v>
      </c>
      <c r="T48">
        <f t="shared" si="17"/>
        <v>0.74368023847695397</v>
      </c>
    </row>
  </sheetData>
  <sortState ref="A2:T53">
    <sortCondition ref="A2:A53"/>
  </sortState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73CAE0F-E1AA-4EEC-AB20-DD984A7AE393}"/>
</file>

<file path=customXml/itemProps2.xml><?xml version="1.0" encoding="utf-8"?>
<ds:datastoreItem xmlns:ds="http://schemas.openxmlformats.org/officeDocument/2006/customXml" ds:itemID="{9A3081AF-F508-4D5B-A459-6CB005BB7BAB}"/>
</file>

<file path=customXml/itemProps3.xml><?xml version="1.0" encoding="utf-8"?>
<ds:datastoreItem xmlns:ds="http://schemas.openxmlformats.org/officeDocument/2006/customXml" ds:itemID="{6029C282-B316-4031-B41E-5E417AA00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2020-06-24T17:32:35Z</dcterms:created>
  <dcterms:modified xsi:type="dcterms:W3CDTF">2020-08-29T18:33:05Z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