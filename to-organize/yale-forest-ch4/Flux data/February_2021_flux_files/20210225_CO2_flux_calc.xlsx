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13_ncr:1_{C86B27EA-7A17-4F25-8A24-80381B972A0E}" xr6:coauthVersionLast="45" xr6:coauthVersionMax="45" xr10:uidLastSave="{00000000-0000-0000-0000-000000000000}"/>
  <bookViews>
    <workbookView xWindow="32895" yWindow="1725" windowWidth="22020" windowHeight="13410" tabRatio="500" xr2:uid="{00000000-000D-0000-FFFF-FFFF00000000}"/>
  </bookViews>
  <sheets>
    <sheet name="Trees" sheetId="1" r:id="rId1"/>
    <sheet name="Chambers" sheetId="7" r:id="rId2"/>
  </sheet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R4" i="1" l="1"/>
  <c r="R5" i="1"/>
  <c r="AQ7" i="1" l="1"/>
  <c r="AQ5" i="1"/>
  <c r="AQ4" i="1"/>
  <c r="AW7" i="1"/>
  <c r="AW5" i="1"/>
  <c r="AW4" i="1"/>
  <c r="J7" i="1"/>
  <c r="J5" i="1"/>
  <c r="J4" i="1"/>
  <c r="N7" i="1"/>
  <c r="N5" i="1"/>
  <c r="N4" i="1"/>
  <c r="M7" i="1"/>
  <c r="M5" i="1"/>
  <c r="M4" i="1"/>
  <c r="V7" i="1"/>
  <c r="V5" i="1"/>
  <c r="V4" i="1"/>
  <c r="W7" i="1"/>
  <c r="W5" i="1"/>
  <c r="W4" i="1"/>
  <c r="U4" i="1"/>
  <c r="U5" i="1"/>
  <c r="U7" i="1"/>
  <c r="T7" i="1"/>
  <c r="T5" i="1"/>
  <c r="T4" i="1"/>
  <c r="S7" i="1" l="1"/>
  <c r="S5" i="1"/>
  <c r="S4" i="1"/>
  <c r="R7" i="1"/>
  <c r="S7" i="7"/>
  <c r="S12" i="7" s="1"/>
  <c r="S13" i="7" s="1"/>
  <c r="S14" i="7" s="1"/>
  <c r="S6" i="7"/>
  <c r="S11" i="7" s="1"/>
  <c r="S5" i="7"/>
  <c r="S4" i="7"/>
  <c r="S8" i="7" l="1"/>
  <c r="S9" i="7" s="1"/>
  <c r="AJ7" i="1"/>
  <c r="AJ5" i="1"/>
  <c r="AJ4" i="1"/>
  <c r="I7" i="1" l="1"/>
  <c r="V12" i="1" l="1"/>
  <c r="U12" i="1"/>
  <c r="E12" i="1"/>
  <c r="AF11" i="1"/>
  <c r="AW12" i="1"/>
  <c r="AV7" i="1"/>
  <c r="AV8" i="1" s="1"/>
  <c r="AV9" i="1" s="1"/>
  <c r="AU7" i="1"/>
  <c r="AU12" i="1" s="1"/>
  <c r="AT7" i="1"/>
  <c r="AT12" i="1" s="1"/>
  <c r="AT14" i="1" s="1"/>
  <c r="AT15" i="1" s="1"/>
  <c r="AS7" i="1"/>
  <c r="AS12" i="1" s="1"/>
  <c r="AR7" i="1"/>
  <c r="AQ12" i="1"/>
  <c r="AP7" i="1"/>
  <c r="AO7" i="1"/>
  <c r="AO12" i="1" s="1"/>
  <c r="AN7" i="1"/>
  <c r="AN8" i="1" s="1"/>
  <c r="AN9" i="1" s="1"/>
  <c r="AM7" i="1"/>
  <c r="AM12" i="1" s="1"/>
  <c r="AL7" i="1"/>
  <c r="AL12" i="1" s="1"/>
  <c r="AK7" i="1"/>
  <c r="AK12" i="1" s="1"/>
  <c r="AI7" i="1"/>
  <c r="AI12" i="1" s="1"/>
  <c r="AH7" i="1"/>
  <c r="AG7" i="1"/>
  <c r="AG12" i="1" s="1"/>
  <c r="AF7" i="1"/>
  <c r="AF8" i="1" s="1"/>
  <c r="AF9" i="1" s="1"/>
  <c r="AE7" i="1"/>
  <c r="AE12" i="1" s="1"/>
  <c r="AD7" i="1"/>
  <c r="AD12" i="1" s="1"/>
  <c r="AD14" i="1" s="1"/>
  <c r="AD15" i="1" s="1"/>
  <c r="AC7" i="1"/>
  <c r="AC12" i="1" s="1"/>
  <c r="AB7" i="1"/>
  <c r="AA7" i="1"/>
  <c r="AA12" i="1" s="1"/>
  <c r="Z7" i="1"/>
  <c r="X7" i="1"/>
  <c r="X12" i="1" s="1"/>
  <c r="W12" i="1"/>
  <c r="T12" i="1"/>
  <c r="R12" i="1"/>
  <c r="Q7" i="1"/>
  <c r="P7" i="1"/>
  <c r="P12" i="1" s="1"/>
  <c r="O7" i="1"/>
  <c r="O8" i="1" s="1"/>
  <c r="O9" i="1" s="1"/>
  <c r="N12" i="1"/>
  <c r="M12" i="1"/>
  <c r="L7" i="1"/>
  <c r="L12" i="1" s="1"/>
  <c r="K7" i="1"/>
  <c r="J12" i="1"/>
  <c r="H7" i="1"/>
  <c r="H12" i="1" s="1"/>
  <c r="G7" i="1"/>
  <c r="G12" i="1" s="1"/>
  <c r="F7" i="1"/>
  <c r="F12" i="1" s="1"/>
  <c r="E7" i="1"/>
  <c r="D7" i="1"/>
  <c r="D12" i="1" s="1"/>
  <c r="C7" i="1"/>
  <c r="B7" i="1"/>
  <c r="B12" i="1" s="1"/>
  <c r="AW6" i="1"/>
  <c r="AW11" i="1" s="1"/>
  <c r="AV6" i="1"/>
  <c r="AV11" i="1" s="1"/>
  <c r="AU6" i="1"/>
  <c r="AU11" i="1" s="1"/>
  <c r="AT6" i="1"/>
  <c r="AT11" i="1" s="1"/>
  <c r="AS6" i="1"/>
  <c r="AS11" i="1" s="1"/>
  <c r="AR6" i="1"/>
  <c r="AR11" i="1" s="1"/>
  <c r="AQ6" i="1"/>
  <c r="AQ8" i="1" s="1"/>
  <c r="AQ9" i="1" s="1"/>
  <c r="AP6" i="1"/>
  <c r="AP11" i="1" s="1"/>
  <c r="AO6" i="1"/>
  <c r="AO11" i="1" s="1"/>
  <c r="AN6" i="1"/>
  <c r="AN11" i="1" s="1"/>
  <c r="AM6" i="1"/>
  <c r="AM11" i="1" s="1"/>
  <c r="AL6" i="1"/>
  <c r="AL11" i="1" s="1"/>
  <c r="AK6" i="1"/>
  <c r="AK11" i="1" s="1"/>
  <c r="AJ6" i="1"/>
  <c r="AJ11" i="1" s="1"/>
  <c r="AI6" i="1"/>
  <c r="AH6" i="1"/>
  <c r="AH11" i="1" s="1"/>
  <c r="AG6" i="1"/>
  <c r="AG11" i="1" s="1"/>
  <c r="AF6" i="1"/>
  <c r="AE6" i="1"/>
  <c r="AE11" i="1" s="1"/>
  <c r="AD6" i="1"/>
  <c r="AD11" i="1" s="1"/>
  <c r="AC6" i="1"/>
  <c r="AC8" i="1" s="1"/>
  <c r="AC9" i="1" s="1"/>
  <c r="AB6" i="1"/>
  <c r="AB11" i="1" s="1"/>
  <c r="AA6" i="1"/>
  <c r="Z6" i="1"/>
  <c r="Z11" i="1" s="1"/>
  <c r="Z14" i="1" s="1"/>
  <c r="Z15" i="1" s="1"/>
  <c r="X6" i="1"/>
  <c r="X11" i="1" s="1"/>
  <c r="W6" i="1"/>
  <c r="W11" i="1" s="1"/>
  <c r="V6" i="1"/>
  <c r="V11" i="1" s="1"/>
  <c r="U6" i="1"/>
  <c r="U11" i="1" s="1"/>
  <c r="T6" i="1"/>
  <c r="T11" i="1" s="1"/>
  <c r="S6" i="1"/>
  <c r="S11" i="1" s="1"/>
  <c r="R6" i="1"/>
  <c r="Q6" i="1"/>
  <c r="Q11" i="1" s="1"/>
  <c r="P6" i="1"/>
  <c r="P11" i="1" s="1"/>
  <c r="O6" i="1"/>
  <c r="O11" i="1" s="1"/>
  <c r="N6" i="1"/>
  <c r="N11" i="1" s="1"/>
  <c r="M6" i="1"/>
  <c r="M11" i="1" s="1"/>
  <c r="L6" i="1"/>
  <c r="L11" i="1" s="1"/>
  <c r="K6" i="1"/>
  <c r="K11" i="1" s="1"/>
  <c r="J6" i="1"/>
  <c r="I6" i="1"/>
  <c r="I11" i="1" s="1"/>
  <c r="H6" i="1"/>
  <c r="H11" i="1" s="1"/>
  <c r="G6" i="1"/>
  <c r="G11" i="1" s="1"/>
  <c r="F6" i="1"/>
  <c r="F11" i="1" s="1"/>
  <c r="E6" i="1"/>
  <c r="E11" i="1" s="1"/>
  <c r="D6" i="1"/>
  <c r="D11" i="1" s="1"/>
  <c r="C6" i="1"/>
  <c r="C11" i="1" s="1"/>
  <c r="B6" i="1"/>
  <c r="B8" i="1" s="1"/>
  <c r="B9" i="1" s="1"/>
  <c r="AC11" i="1" l="1"/>
  <c r="AH8" i="1"/>
  <c r="AH9" i="1" s="1"/>
  <c r="Q8" i="1"/>
  <c r="Q9" i="1" s="1"/>
  <c r="I8" i="1"/>
  <c r="I9" i="1" s="1"/>
  <c r="J8" i="1"/>
  <c r="J9" i="1" s="1"/>
  <c r="Z8" i="1"/>
  <c r="Z9" i="1" s="1"/>
  <c r="D14" i="1"/>
  <c r="D15" i="1" s="1"/>
  <c r="AP8" i="1"/>
  <c r="AP9" i="1" s="1"/>
  <c r="AV12" i="1"/>
  <c r="AV14" i="1" s="1"/>
  <c r="AV15" i="1" s="1"/>
  <c r="AM14" i="1"/>
  <c r="AM15" i="1" s="1"/>
  <c r="AK8" i="1"/>
  <c r="AK9" i="1" s="1"/>
  <c r="AI8" i="1"/>
  <c r="AI9" i="1" s="1"/>
  <c r="AF12" i="1"/>
  <c r="AF14" i="1" s="1"/>
  <c r="AF15" i="1" s="1"/>
  <c r="AW8" i="1"/>
  <c r="AW9" i="1" s="1"/>
  <c r="G8" i="1"/>
  <c r="G9" i="1" s="1"/>
  <c r="P14" i="1"/>
  <c r="P15" i="1" s="1"/>
  <c r="AE14" i="1"/>
  <c r="AE15" i="1" s="1"/>
  <c r="AU14" i="1"/>
  <c r="AU15" i="1" s="1"/>
  <c r="G14" i="1"/>
  <c r="G15" i="1" s="1"/>
  <c r="AN12" i="1"/>
  <c r="AN14" i="1" s="1"/>
  <c r="AN15" i="1" s="1"/>
  <c r="AG8" i="1"/>
  <c r="AG9" i="1" s="1"/>
  <c r="D8" i="1"/>
  <c r="D9" i="1" s="1"/>
  <c r="H14" i="1"/>
  <c r="H15" i="1" s="1"/>
  <c r="AG14" i="1"/>
  <c r="AG15" i="1" s="1"/>
  <c r="AO14" i="1"/>
  <c r="AO15" i="1" s="1"/>
  <c r="AW14" i="1"/>
  <c r="AW15" i="1" s="1"/>
  <c r="AB8" i="1"/>
  <c r="AB9" i="1" s="1"/>
  <c r="AJ8" i="1"/>
  <c r="AJ9" i="1" s="1"/>
  <c r="AR8" i="1"/>
  <c r="AR9" i="1" s="1"/>
  <c r="H8" i="1"/>
  <c r="H9" i="1" s="1"/>
  <c r="AO8" i="1"/>
  <c r="AO9" i="1" s="1"/>
  <c r="AC14" i="1"/>
  <c r="AC15" i="1" s="1"/>
  <c r="AK14" i="1"/>
  <c r="AK15" i="1" s="1"/>
  <c r="AS14" i="1"/>
  <c r="AS15" i="1" s="1"/>
  <c r="P8" i="1"/>
  <c r="P9" i="1" s="1"/>
  <c r="AS8" i="1"/>
  <c r="AS9" i="1" s="1"/>
  <c r="C8" i="1"/>
  <c r="C9" i="1" s="1"/>
  <c r="K8" i="1"/>
  <c r="K9" i="1" s="1"/>
  <c r="X8" i="1"/>
  <c r="X9" i="1" s="1"/>
  <c r="O12" i="1"/>
  <c r="O14" i="1" s="1"/>
  <c r="O15" i="1" s="1"/>
  <c r="N14" i="1"/>
  <c r="N15" i="1" s="1"/>
  <c r="M14" i="1"/>
  <c r="M15" i="1" s="1"/>
  <c r="L8" i="1"/>
  <c r="L9" i="1" s="1"/>
  <c r="L14" i="1"/>
  <c r="L15" i="1" s="1"/>
  <c r="W8" i="1"/>
  <c r="W9" i="1" s="1"/>
  <c r="W14" i="1"/>
  <c r="W15" i="1" s="1"/>
  <c r="V14" i="1"/>
  <c r="V15" i="1" s="1"/>
  <c r="T14" i="1"/>
  <c r="T15" i="1" s="1"/>
  <c r="T8" i="1"/>
  <c r="T9" i="1" s="1"/>
  <c r="X14" i="1"/>
  <c r="X15" i="1" s="1"/>
  <c r="S8" i="1"/>
  <c r="S9" i="1" s="1"/>
  <c r="R8" i="1"/>
  <c r="R9" i="1" s="1"/>
  <c r="AA8" i="1"/>
  <c r="AA9" i="1" s="1"/>
  <c r="F14" i="1"/>
  <c r="F15" i="1" s="1"/>
  <c r="AL14" i="1"/>
  <c r="AL15" i="1" s="1"/>
  <c r="E14" i="1"/>
  <c r="E15" i="1" s="1"/>
  <c r="U14" i="1"/>
  <c r="U15" i="1" s="1"/>
  <c r="E8" i="1"/>
  <c r="E9" i="1" s="1"/>
  <c r="M8" i="1"/>
  <c r="M9" i="1" s="1"/>
  <c r="U8" i="1"/>
  <c r="U9" i="1" s="1"/>
  <c r="AD8" i="1"/>
  <c r="AD9" i="1" s="1"/>
  <c r="AL8" i="1"/>
  <c r="AL9" i="1" s="1"/>
  <c r="AT8" i="1"/>
  <c r="AT9" i="1" s="1"/>
  <c r="F8" i="1"/>
  <c r="F9" i="1" s="1"/>
  <c r="N8" i="1"/>
  <c r="N9" i="1" s="1"/>
  <c r="V8" i="1"/>
  <c r="V9" i="1" s="1"/>
  <c r="AE8" i="1"/>
  <c r="AE9" i="1" s="1"/>
  <c r="AM8" i="1"/>
  <c r="AM9" i="1" s="1"/>
  <c r="AU8" i="1"/>
  <c r="AU9" i="1" s="1"/>
  <c r="I12" i="1"/>
  <c r="I14" i="1" s="1"/>
  <c r="I15" i="1" s="1"/>
  <c r="Q12" i="1"/>
  <c r="Q14" i="1" s="1"/>
  <c r="Q15" i="1" s="1"/>
  <c r="Z12" i="1"/>
  <c r="AH12" i="1"/>
  <c r="AH14" i="1" s="1"/>
  <c r="AH15" i="1" s="1"/>
  <c r="AP12" i="1"/>
  <c r="AP14" i="1" s="1"/>
  <c r="AP15" i="1" s="1"/>
  <c r="B11" i="1"/>
  <c r="B14" i="1" s="1"/>
  <c r="B15" i="1" s="1"/>
  <c r="J11" i="1"/>
  <c r="J14" i="1" s="1"/>
  <c r="J15" i="1" s="1"/>
  <c r="R11" i="1"/>
  <c r="R14" i="1" s="1"/>
  <c r="R15" i="1" s="1"/>
  <c r="AA11" i="1"/>
  <c r="AA14" i="1" s="1"/>
  <c r="AA15" i="1" s="1"/>
  <c r="AI11" i="1"/>
  <c r="AI14" i="1" s="1"/>
  <c r="AI15" i="1" s="1"/>
  <c r="AQ11" i="1"/>
  <c r="AQ14" i="1" s="1"/>
  <c r="AQ15" i="1" s="1"/>
  <c r="C12" i="1"/>
  <c r="C14" i="1" s="1"/>
  <c r="C15" i="1" s="1"/>
  <c r="K12" i="1"/>
  <c r="K14" i="1" s="1"/>
  <c r="K15" i="1" s="1"/>
  <c r="S12" i="1"/>
  <c r="S14" i="1" s="1"/>
  <c r="S15" i="1" s="1"/>
  <c r="AB12" i="1"/>
  <c r="AB14" i="1" s="1"/>
  <c r="AB15" i="1" s="1"/>
  <c r="AJ12" i="1"/>
  <c r="AJ14" i="1" s="1"/>
  <c r="AJ15" i="1" s="1"/>
  <c r="AR12" i="1"/>
  <c r="AR14" i="1" s="1"/>
  <c r="AR15" i="1" s="1"/>
  <c r="K7" i="7"/>
  <c r="K12" i="7" s="1"/>
  <c r="K6" i="7"/>
  <c r="K11" i="7" s="1"/>
  <c r="N7" i="7"/>
  <c r="N12" i="7" s="1"/>
  <c r="N13" i="7" s="1"/>
  <c r="N14" i="7" s="1"/>
  <c r="N6" i="7"/>
  <c r="N11" i="7" s="1"/>
  <c r="B7" i="7"/>
  <c r="B12" i="7" s="1"/>
  <c r="B6" i="7"/>
  <c r="B11" i="7" s="1"/>
  <c r="E7" i="7"/>
  <c r="E12" i="7" s="1"/>
  <c r="E6" i="7"/>
  <c r="E11" i="7" s="1"/>
  <c r="G7" i="7"/>
  <c r="G12" i="7" s="1"/>
  <c r="G13" i="7" s="1"/>
  <c r="G14" i="7" s="1"/>
  <c r="G6" i="7"/>
  <c r="G11" i="7" s="1"/>
  <c r="K13" i="7" l="1"/>
  <c r="K14" i="7" s="1"/>
  <c r="K8" i="7"/>
  <c r="K9" i="7" s="1"/>
  <c r="N8" i="7"/>
  <c r="N9" i="7" s="1"/>
  <c r="B13" i="7"/>
  <c r="B14" i="7" s="1"/>
  <c r="B8" i="7"/>
  <c r="B9" i="7" s="1"/>
  <c r="E13" i="7"/>
  <c r="E14" i="7" s="1"/>
  <c r="E8" i="7"/>
  <c r="E9" i="7" s="1"/>
  <c r="G8" i="7"/>
  <c r="G9" i="7" s="1"/>
  <c r="AE7" i="7" l="1"/>
  <c r="AE12" i="7" s="1"/>
  <c r="AE6" i="7"/>
  <c r="AE11" i="7" s="1"/>
  <c r="AD7" i="7"/>
  <c r="AD12" i="7" s="1"/>
  <c r="AD6" i="7"/>
  <c r="AD11" i="7" s="1"/>
  <c r="AC7" i="7"/>
  <c r="AC12" i="7" s="1"/>
  <c r="AC6" i="7"/>
  <c r="AC11" i="7" s="1"/>
  <c r="AE13" i="7" l="1"/>
  <c r="AE14" i="7" s="1"/>
  <c r="AE8" i="7"/>
  <c r="AE9" i="7" s="1"/>
  <c r="AD13" i="7"/>
  <c r="AD14" i="7" s="1"/>
  <c r="AD8" i="7"/>
  <c r="AD9" i="7" s="1"/>
  <c r="AC13" i="7"/>
  <c r="AC14" i="7" s="1"/>
  <c r="AC8" i="7"/>
  <c r="AC9" i="7" s="1"/>
  <c r="Y7" i="1" l="1"/>
  <c r="Y12" i="1" s="1"/>
  <c r="Y6" i="1"/>
  <c r="Y11" i="1" s="1"/>
  <c r="Y14" i="1" l="1"/>
  <c r="Y15" i="1" s="1"/>
  <c r="Y8" i="1"/>
  <c r="Y9" i="1" s="1"/>
  <c r="P7" i="7"/>
  <c r="P12" i="7" s="1"/>
  <c r="P6" i="7"/>
  <c r="P11" i="7" s="1"/>
  <c r="O7" i="7"/>
  <c r="O12" i="7" s="1"/>
  <c r="O6" i="7"/>
  <c r="O11" i="7" s="1"/>
  <c r="P13" i="7" l="1"/>
  <c r="P14" i="7" s="1"/>
  <c r="O13" i="7"/>
  <c r="O14" i="7" s="1"/>
  <c r="P8" i="7"/>
  <c r="P9" i="7" s="1"/>
  <c r="O8" i="7"/>
  <c r="O9" i="7" s="1"/>
  <c r="AB7" i="7" l="1"/>
  <c r="AB12" i="7" s="1"/>
  <c r="AB6" i="7"/>
  <c r="AB11" i="7" s="1"/>
  <c r="AA7" i="7"/>
  <c r="AA12" i="7" s="1"/>
  <c r="AA6" i="7"/>
  <c r="AA11" i="7" s="1"/>
  <c r="Z7" i="7"/>
  <c r="Z6" i="7"/>
  <c r="Z11" i="7" s="1"/>
  <c r="AB13" i="7" l="1"/>
  <c r="AB14" i="7" s="1"/>
  <c r="Z8" i="7"/>
  <c r="Z9" i="7" s="1"/>
  <c r="Z12" i="7"/>
  <c r="Z13" i="7" s="1"/>
  <c r="Z14" i="7" s="1"/>
  <c r="AB8" i="7"/>
  <c r="AB9" i="7" s="1"/>
  <c r="AA13" i="7"/>
  <c r="AA14" i="7" s="1"/>
  <c r="AA8" i="7"/>
  <c r="AA9" i="7" s="1"/>
  <c r="Y7" i="7"/>
  <c r="Y12" i="7" s="1"/>
  <c r="Y6" i="7"/>
  <c r="Y11" i="7" s="1"/>
  <c r="X7" i="7"/>
  <c r="X12" i="7" s="1"/>
  <c r="X6" i="7"/>
  <c r="W7" i="7"/>
  <c r="W12" i="7" s="1"/>
  <c r="W6" i="7"/>
  <c r="W11" i="7" s="1"/>
  <c r="V7" i="7"/>
  <c r="V12" i="7" s="1"/>
  <c r="V6" i="7"/>
  <c r="V11" i="7" s="1"/>
  <c r="U7" i="7"/>
  <c r="U12" i="7" s="1"/>
  <c r="U6" i="7"/>
  <c r="U11" i="7" s="1"/>
  <c r="T7" i="7"/>
  <c r="T12" i="7" s="1"/>
  <c r="T6" i="7"/>
  <c r="T11" i="7" s="1"/>
  <c r="R7" i="7"/>
  <c r="R12" i="7" s="1"/>
  <c r="R6" i="7"/>
  <c r="Q7" i="7"/>
  <c r="Q12" i="7" s="1"/>
  <c r="Q6" i="7"/>
  <c r="Q11" i="7" s="1"/>
  <c r="M7" i="7"/>
  <c r="M12" i="7" s="1"/>
  <c r="M6" i="7"/>
  <c r="L7" i="7"/>
  <c r="L12" i="7" s="1"/>
  <c r="L6" i="7"/>
  <c r="L11" i="7" s="1"/>
  <c r="J7" i="7"/>
  <c r="J12" i="7" s="1"/>
  <c r="J6" i="7"/>
  <c r="I7" i="7"/>
  <c r="I12" i="7" s="1"/>
  <c r="I6" i="7"/>
  <c r="I11" i="7" s="1"/>
  <c r="H7" i="7"/>
  <c r="H12" i="7" s="1"/>
  <c r="H6" i="7"/>
  <c r="H11" i="7" s="1"/>
  <c r="F7" i="7"/>
  <c r="F12" i="7" s="1"/>
  <c r="F6" i="7"/>
  <c r="F11" i="7" s="1"/>
  <c r="J8" i="7" l="1"/>
  <c r="J9" i="7" s="1"/>
  <c r="I13" i="7"/>
  <c r="I14" i="7" s="1"/>
  <c r="X8" i="7"/>
  <c r="X9" i="7" s="1"/>
  <c r="H13" i="7"/>
  <c r="H14" i="7" s="1"/>
  <c r="L13" i="7"/>
  <c r="L14" i="7" s="1"/>
  <c r="W13" i="7"/>
  <c r="W14" i="7" s="1"/>
  <c r="W8" i="7"/>
  <c r="W9" i="7" s="1"/>
  <c r="Y13" i="7"/>
  <c r="Y14" i="7" s="1"/>
  <c r="U13" i="7"/>
  <c r="U14" i="7" s="1"/>
  <c r="Y8" i="7"/>
  <c r="Y9" i="7" s="1"/>
  <c r="X11" i="7"/>
  <c r="X13" i="7" s="1"/>
  <c r="X14" i="7" s="1"/>
  <c r="V13" i="7"/>
  <c r="V14" i="7" s="1"/>
  <c r="V8" i="7"/>
  <c r="V9" i="7" s="1"/>
  <c r="U8" i="7"/>
  <c r="U9" i="7" s="1"/>
  <c r="T13" i="7"/>
  <c r="T14" i="7" s="1"/>
  <c r="T8" i="7"/>
  <c r="T9" i="7" s="1"/>
  <c r="R8" i="7"/>
  <c r="R9" i="7" s="1"/>
  <c r="M8" i="7"/>
  <c r="M9" i="7" s="1"/>
  <c r="R11" i="7"/>
  <c r="R13" i="7" s="1"/>
  <c r="R14" i="7" s="1"/>
  <c r="Q13" i="7"/>
  <c r="Q14" i="7" s="1"/>
  <c r="Q8" i="7"/>
  <c r="Q9" i="7" s="1"/>
  <c r="M11" i="7"/>
  <c r="M13" i="7" s="1"/>
  <c r="M14" i="7" s="1"/>
  <c r="L8" i="7"/>
  <c r="L9" i="7" s="1"/>
  <c r="J11" i="7"/>
  <c r="J13" i="7" s="1"/>
  <c r="J14" i="7" s="1"/>
  <c r="I8" i="7"/>
  <c r="I9" i="7" s="1"/>
  <c r="H8" i="7"/>
  <c r="H9" i="7" s="1"/>
  <c r="F13" i="7"/>
  <c r="F14" i="7" s="1"/>
  <c r="F8" i="7"/>
  <c r="F9" i="7" s="1"/>
  <c r="D7" i="7" l="1"/>
  <c r="C7" i="7"/>
  <c r="D6" i="7"/>
  <c r="D11" i="7" s="1"/>
  <c r="C6" i="7"/>
  <c r="C11" i="7" s="1"/>
  <c r="C12" i="7" l="1"/>
  <c r="C13" i="7" s="1"/>
  <c r="C14" i="7" s="1"/>
  <c r="C8" i="7"/>
  <c r="C9" i="7" s="1"/>
  <c r="D12" i="7"/>
  <c r="D13" i="7" s="1"/>
  <c r="D14" i="7" s="1"/>
  <c r="D8" i="7"/>
  <c r="D9" i="7" s="1"/>
  <c r="A50" i="1" l="1"/>
  <c r="A49" i="7"/>
  <c r="AH5" i="1" l="1"/>
  <c r="AO5" i="1"/>
  <c r="AG4" i="1"/>
  <c r="H5" i="1"/>
  <c r="AN4" i="1"/>
  <c r="AE5" i="1"/>
  <c r="G5" i="1"/>
  <c r="F4" i="1"/>
  <c r="AT5" i="1"/>
  <c r="AL4" i="1"/>
  <c r="Q4" i="1"/>
  <c r="P5" i="1"/>
  <c r="AS4" i="1"/>
  <c r="O5" i="1"/>
  <c r="D4" i="1"/>
  <c r="AI4" i="1"/>
  <c r="L4" i="1"/>
  <c r="B4" i="1"/>
  <c r="A50" i="7"/>
  <c r="A51" i="7" s="1"/>
  <c r="A51" i="1"/>
  <c r="A52" i="7"/>
  <c r="A52" i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K5" i="1" l="1"/>
  <c r="AA4" i="1"/>
  <c r="AB5" i="1"/>
  <c r="E5" i="1"/>
  <c r="AD4" i="1"/>
  <c r="AV4" i="1"/>
  <c r="X4" i="1"/>
  <c r="Z5" i="1"/>
  <c r="O4" i="1"/>
  <c r="AR5" i="1"/>
  <c r="AC5" i="1"/>
  <c r="AT4" i="1"/>
  <c r="G4" i="1"/>
  <c r="AM5" i="1"/>
  <c r="AO4" i="1"/>
  <c r="K4" i="1"/>
  <c r="AP5" i="1"/>
  <c r="C5" i="1"/>
  <c r="AK5" i="1"/>
  <c r="F5" i="1"/>
  <c r="AU5" i="1"/>
  <c r="AF5" i="1"/>
  <c r="Z4" i="1"/>
  <c r="E4" i="1"/>
  <c r="L5" i="1"/>
  <c r="P4" i="1"/>
  <c r="AS5" i="1"/>
  <c r="Q5" i="1"/>
  <c r="AE4" i="1"/>
  <c r="H4" i="1"/>
  <c r="AN5" i="1"/>
  <c r="AH4" i="1"/>
  <c r="I5" i="1"/>
  <c r="AB4" i="1"/>
  <c r="AA5" i="1"/>
  <c r="AR4" i="1"/>
  <c r="AC4" i="1"/>
  <c r="AD5" i="1"/>
  <c r="AM4" i="1"/>
  <c r="AV5" i="1"/>
  <c r="X5" i="1"/>
  <c r="AP4" i="1"/>
  <c r="I4" i="1"/>
  <c r="AI5" i="1"/>
  <c r="D5" i="1"/>
  <c r="AK4" i="1"/>
  <c r="C4" i="1"/>
  <c r="AL5" i="1"/>
  <c r="AU4" i="1"/>
  <c r="AF4" i="1"/>
  <c r="AG5" i="1"/>
  <c r="B5" i="1"/>
  <c r="Y4" i="1"/>
  <c r="Y5" i="1"/>
  <c r="A53" i="7"/>
  <c r="A54" i="7" l="1"/>
  <c r="A55" i="7" l="1"/>
  <c r="A56" i="7" l="1"/>
  <c r="A57" i="7" l="1"/>
  <c r="A58" i="7" l="1"/>
  <c r="A59" i="7" l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A4" i="7" s="1"/>
  <c r="F4" i="7" l="1"/>
  <c r="V4" i="7"/>
  <c r="Y4" i="7"/>
  <c r="Q4" i="7"/>
  <c r="Q5" i="7"/>
  <c r="Z4" i="7"/>
  <c r="K4" i="7"/>
  <c r="AC5" i="7"/>
  <c r="K5" i="7"/>
  <c r="AD5" i="7"/>
  <c r="D5" i="7"/>
  <c r="E4" i="7"/>
  <c r="AD4" i="7"/>
  <c r="P5" i="7"/>
  <c r="F5" i="7"/>
  <c r="R4" i="7"/>
  <c r="Y5" i="7"/>
  <c r="T5" i="7"/>
  <c r="M5" i="7"/>
  <c r="C4" i="7"/>
  <c r="I5" i="7"/>
  <c r="U5" i="7"/>
  <c r="C5" i="7"/>
  <c r="X4" i="7"/>
  <c r="R5" i="7"/>
  <c r="X5" i="7"/>
  <c r="I4" i="7"/>
  <c r="G5" i="7"/>
  <c r="W4" i="7"/>
  <c r="N4" i="7"/>
  <c r="H5" i="7"/>
  <c r="L4" i="7"/>
  <c r="D4" i="7"/>
  <c r="AB5" i="7"/>
  <c r="AB4" i="7"/>
  <c r="T4" i="7"/>
  <c r="O5" i="7"/>
  <c r="N5" i="7"/>
  <c r="B4" i="7"/>
  <c r="AE5" i="7"/>
  <c r="Z5" i="7"/>
  <c r="V5" i="7"/>
  <c r="L5" i="7"/>
  <c r="E5" i="7"/>
  <c r="J5" i="7"/>
  <c r="AC4" i="7"/>
  <c r="P4" i="7"/>
  <c r="J4" i="7"/>
  <c r="B5" i="7"/>
  <c r="AE4" i="7"/>
  <c r="H4" i="7"/>
  <c r="AA5" i="7"/>
  <c r="W5" i="7"/>
  <c r="G4" i="7"/>
  <c r="M4" i="7"/>
  <c r="O4" i="7"/>
  <c r="U4" i="7"/>
</calcChain>
</file>

<file path=xl/sharedStrings.xml><?xml version="1.0" encoding="utf-8"?>
<sst xmlns="http://schemas.openxmlformats.org/spreadsheetml/2006/main" count="79" uniqueCount="60">
  <si>
    <t xml:space="preserve">      [CO2]_ppm</t>
  </si>
  <si>
    <t>m2 of all chambers</t>
  </si>
  <si>
    <t>Conversion of 1ppm CO2 to mg/m3</t>
  </si>
  <si>
    <t xml:space="preserve">Orient Bog </t>
  </si>
  <si>
    <t>CO2 slope</t>
  </si>
  <si>
    <t>CO2 R2</t>
  </si>
  <si>
    <t>start_ppm</t>
  </si>
  <si>
    <t>end_ppm</t>
  </si>
  <si>
    <t>diff_ppm</t>
  </si>
  <si>
    <t>ppm/min</t>
  </si>
  <si>
    <t>time_seconds</t>
  </si>
  <si>
    <t>start mass_mg</t>
  </si>
  <si>
    <t>end mass_mg</t>
  </si>
  <si>
    <t>CO2 Flux (mg/m2/h)</t>
  </si>
  <si>
    <t>g/m2/hr</t>
  </si>
  <si>
    <t>timepoint</t>
  </si>
  <si>
    <t>Upland dead ACRU</t>
  </si>
  <si>
    <t>Intermediate dead BELE</t>
  </si>
  <si>
    <t>I-2-1</t>
  </si>
  <si>
    <t>I-2-2</t>
  </si>
  <si>
    <t>I-2-3</t>
  </si>
  <si>
    <t>I-1-1</t>
  </si>
  <si>
    <t>I-1-3</t>
  </si>
  <si>
    <t>I-1-2</t>
  </si>
  <si>
    <t>Intermediate dead TSCA</t>
  </si>
  <si>
    <t>WS-1-1</t>
  </si>
  <si>
    <t>WS-1-2</t>
  </si>
  <si>
    <t>WS-1-3</t>
  </si>
  <si>
    <t>WD-2-1</t>
  </si>
  <si>
    <t>WD-2-2</t>
  </si>
  <si>
    <t>WD-2-3</t>
  </si>
  <si>
    <t>WD-1-2</t>
  </si>
  <si>
    <t>WD-1-3</t>
  </si>
  <si>
    <t>WD-1-1</t>
  </si>
  <si>
    <t>WS-2-1</t>
  </si>
  <si>
    <t>WS-2-3</t>
  </si>
  <si>
    <t>WS-2-2</t>
  </si>
  <si>
    <t>Wetland dead BEAL</t>
  </si>
  <si>
    <t>Wetland dead FRAM</t>
  </si>
  <si>
    <t>Wetland dead ACRU</t>
  </si>
  <si>
    <t>U2-2-1</t>
  </si>
  <si>
    <t>U2-2-3</t>
  </si>
  <si>
    <t>U2-2-2</t>
  </si>
  <si>
    <t>U2-2-6</t>
  </si>
  <si>
    <t>U2-2-4</t>
  </si>
  <si>
    <t>U2-2-5</t>
  </si>
  <si>
    <t>U1-1-3</t>
  </si>
  <si>
    <t>U1-1-2</t>
  </si>
  <si>
    <t>U1-1-1</t>
  </si>
  <si>
    <t>U1-1-4</t>
  </si>
  <si>
    <t>U1-1-5</t>
  </si>
  <si>
    <t>U1-1-6</t>
  </si>
  <si>
    <t>chamber area</t>
  </si>
  <si>
    <t>No tag BELE</t>
  </si>
  <si>
    <t>DIDN't RUN</t>
  </si>
  <si>
    <t>BAD FLUX</t>
  </si>
  <si>
    <t>Tree fell</t>
  </si>
  <si>
    <t>Didn't measure</t>
  </si>
  <si>
    <t>couldn't find</t>
  </si>
  <si>
    <t>Bad flux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</si>
</sst>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8" x14ac:knownFonts="1"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NumberFormat="1" applyFont="1" applyFill="1"/>
    <xf numFmtId="0" fontId="2" fillId="0" borderId="0" xfId="0" applyFont="1" applyFill="1" applyAlignment="1">
      <alignment horizontal="center"/>
    </xf>
    <xf numFmtId="0" fontId="3" fillId="0" borderId="0" xfId="0" applyFont="1" applyFill="1"/>
    <xf numFmtId="0" fontId="1" fillId="0" borderId="1" xfId="0" applyNumberFormat="1" applyFont="1" applyFill="1" applyBorder="1" applyAlignment="1">
      <alignment horizontal="center"/>
    </xf>
    <xf numFmtId="16" fontId="1" fillId="0" borderId="1" xfId="0" applyNumberFormat="1" applyFont="1" applyFill="1" applyBorder="1" applyAlignment="1">
      <alignment horizontal="center"/>
    </xf>
    <xf numFmtId="0" fontId="1" fillId="0" borderId="0" xfId="0" applyFont="1" applyFill="1"/>
    <xf numFmtId="164" fontId="2" fillId="0" borderId="0" xfId="0" applyNumberFormat="1" applyFont="1" applyFill="1" applyAlignment="1">
      <alignment horizontal="center"/>
    </xf>
    <xf numFmtId="165" fontId="2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2" fontId="0" fillId="0" borderId="0" xfId="0" applyNumberFormat="1" applyFill="1"/>
    <xf numFmtId="0" fontId="0" fillId="3" borderId="0" xfId="0" applyFill="1"/>
    <xf numFmtId="2" fontId="0" fillId="0" borderId="0" xfId="0" applyNumberFormat="1"/>
    <xf numFmtId="0" fontId="1" fillId="0" borderId="0" xfId="0" applyNumberFormat="1" applyFont="1" applyFill="1" applyBorder="1" applyAlignment="1">
      <alignment horizontal="center"/>
    </xf>
    <xf numFmtId="0" fontId="4" fillId="0" borderId="0" xfId="0" applyFont="1"/>
    <xf numFmtId="16" fontId="1" fillId="0" borderId="0" xfId="0" applyNumberFormat="1" applyFont="1" applyFill="1" applyBorder="1" applyAlignment="1">
      <alignment horizontal="center"/>
    </xf>
    <xf numFmtId="0" fontId="5" fillId="0" borderId="0" xfId="0" applyFont="1"/>
    <xf numFmtId="16" fontId="6" fillId="0" borderId="1" xfId="0" applyNumberFormat="1" applyFont="1" applyFill="1" applyBorder="1" applyAlignment="1">
      <alignment horizontal="center"/>
    </xf>
    <xf numFmtId="2" fontId="5" fillId="0" borderId="0" xfId="0" applyNumberFormat="1" applyFont="1"/>
    <xf numFmtId="0" fontId="3" fillId="0" borderId="0" xfId="0" applyFont="1"/>
    <xf numFmtId="0" fontId="7" fillId="0" borderId="0" xfId="0" applyFont="1"/>
    <xf numFmtId="2" fontId="3" fillId="0" borderId="0" xfId="0" applyNumberFormat="1" applyFont="1"/>
    <xf numFmtId="14" fontId="0" fillId="0" borderId="0" xfId="0" applyNumberFormat="1"/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1"/>
  <sheetViews>
    <sheetView tabSelected="1" topLeftCell="M1" zoomScale="90" zoomScaleNormal="90" workbookViewId="0">
      <selection activeCell="R5" sqref="R5"/>
    </sheetView>
  </sheetViews>
  <sheetFormatPr defaultColWidth="10.58203125" defaultRowHeight="15.5" x14ac:dyDescent="0.35"/>
  <cols>
    <col min="1" max="1" width="10.58203125" customWidth="1"/>
    <col min="11" max="11" width="10.58203125" style="21"/>
    <col min="13" max="13" width="11.4140625" style="21" bestFit="1" customWidth="1"/>
    <col min="20" max="21" width="10.58203125" style="21"/>
    <col min="29" max="29" width="10.58203125" style="21"/>
    <col min="30" max="30" width="10.58203125" style="24"/>
    <col min="34" max="34" width="10.58203125" style="24"/>
  </cols>
  <sheetData>
    <row r="1" spans="1:49" x14ac:dyDescent="0.35">
      <c r="A1" s="1" t="s">
        <v>0</v>
      </c>
      <c r="B1" s="2" t="s">
        <v>1</v>
      </c>
      <c r="C1" s="2" t="s">
        <v>2</v>
      </c>
      <c r="D1" s="3" t="s">
        <v>3</v>
      </c>
      <c r="E1" s="3"/>
    </row>
    <row r="2" spans="1:49" x14ac:dyDescent="0.35">
      <c r="A2" s="1"/>
      <c r="B2" s="3">
        <v>0.15205299999999999</v>
      </c>
      <c r="C2" s="16">
        <v>0.18360000000000001</v>
      </c>
      <c r="D2" s="3"/>
      <c r="E2" s="3"/>
      <c r="H2" t="s">
        <v>57</v>
      </c>
      <c r="I2" t="s">
        <v>55</v>
      </c>
      <c r="K2" s="21" t="s">
        <v>54</v>
      </c>
      <c r="AM2" t="s">
        <v>56</v>
      </c>
      <c r="AP2" t="s">
        <v>59</v>
      </c>
      <c r="AS2" t="s">
        <v>59</v>
      </c>
    </row>
    <row r="3" spans="1:49" x14ac:dyDescent="0.35">
      <c r="A3" s="4"/>
      <c r="B3" s="4">
        <v>4156</v>
      </c>
      <c r="C3" s="4" t="s">
        <v>16</v>
      </c>
      <c r="D3" s="4">
        <v>4295</v>
      </c>
      <c r="E3" s="4">
        <v>4103</v>
      </c>
      <c r="F3" s="18">
        <v>4181</v>
      </c>
      <c r="G3" s="18">
        <v>5091</v>
      </c>
      <c r="H3" s="19" t="s">
        <v>17</v>
      </c>
      <c r="I3" s="18">
        <v>4246</v>
      </c>
      <c r="J3" s="18">
        <v>5099</v>
      </c>
      <c r="K3" s="25" t="s">
        <v>24</v>
      </c>
      <c r="L3" s="18">
        <v>1885</v>
      </c>
      <c r="M3" s="18">
        <v>4261</v>
      </c>
      <c r="N3" s="18">
        <v>5086</v>
      </c>
      <c r="O3" s="18">
        <v>5078</v>
      </c>
      <c r="P3" s="18">
        <v>5092</v>
      </c>
      <c r="Q3" s="18">
        <v>6371</v>
      </c>
      <c r="R3" s="18">
        <v>1926</v>
      </c>
      <c r="S3" s="18">
        <v>4190</v>
      </c>
      <c r="T3" s="18">
        <v>1637</v>
      </c>
      <c r="U3" s="18">
        <v>1640</v>
      </c>
      <c r="V3" s="18">
        <v>1641</v>
      </c>
      <c r="W3" s="18">
        <v>1830</v>
      </c>
      <c r="X3" s="18">
        <v>4797</v>
      </c>
      <c r="Y3" t="s">
        <v>37</v>
      </c>
      <c r="Z3" t="s">
        <v>38</v>
      </c>
      <c r="AA3" t="s">
        <v>39</v>
      </c>
      <c r="AB3">
        <v>3589</v>
      </c>
      <c r="AC3" s="24">
        <v>3564</v>
      </c>
      <c r="AD3" s="24">
        <v>1133</v>
      </c>
      <c r="AE3" s="24">
        <v>3533</v>
      </c>
      <c r="AF3">
        <v>1134</v>
      </c>
      <c r="AG3">
        <v>3325</v>
      </c>
      <c r="AH3" s="24">
        <v>3354</v>
      </c>
      <c r="AI3">
        <v>3359</v>
      </c>
      <c r="AJ3">
        <v>1550</v>
      </c>
      <c r="AK3">
        <v>3355</v>
      </c>
      <c r="AL3" t="s">
        <v>53</v>
      </c>
      <c r="AM3">
        <v>6326</v>
      </c>
      <c r="AN3">
        <v>853</v>
      </c>
      <c r="AO3">
        <v>970</v>
      </c>
      <c r="AP3">
        <v>8833</v>
      </c>
      <c r="AQ3">
        <v>7447</v>
      </c>
      <c r="AR3">
        <v>8835</v>
      </c>
      <c r="AS3">
        <v>7361</v>
      </c>
      <c r="AT3">
        <v>7397</v>
      </c>
      <c r="AU3">
        <v>4783</v>
      </c>
      <c r="AV3">
        <v>4774</v>
      </c>
      <c r="AW3" s="18">
        <v>6393</v>
      </c>
    </row>
    <row r="4" spans="1:49" x14ac:dyDescent="0.35">
      <c r="A4" s="6" t="s">
        <v>4</v>
      </c>
      <c r="B4" s="2" t="e">
        <f t="shared" ref="B4:X4" si="0">SLOPE(B18:B317,$A$18:$A$317)</f>
        <v>#DIV/0!</v>
      </c>
      <c r="C4" s="2" t="e">
        <f t="shared" si="0"/>
        <v>#DIV/0!</v>
      </c>
      <c r="D4" s="2">
        <f t="shared" si="0"/>
        <v>0.18245462016244621</v>
      </c>
      <c r="E4" s="2">
        <f t="shared" si="0"/>
        <v>7.5038321759130583E-2</v>
      </c>
      <c r="F4" s="2">
        <f t="shared" si="0"/>
        <v>5.9804833609262337E-2</v>
      </c>
      <c r="G4" s="2">
        <f t="shared" si="0"/>
        <v>6.8330299669996333E-2</v>
      </c>
      <c r="H4" s="2" t="e">
        <f t="shared" si="0"/>
        <v>#DIV/0!</v>
      </c>
      <c r="I4" s="2" t="e">
        <f>SLOPE(I18:I218,$A$18:$A$218)</f>
        <v>#DIV/0!</v>
      </c>
      <c r="J4" s="2">
        <f>SLOPE(J18:J247,$A$18:$A$247)</f>
        <v>9.1111220808809526E-2</v>
      </c>
      <c r="K4" s="2" t="e">
        <f t="shared" si="0"/>
        <v>#DIV/0!</v>
      </c>
      <c r="L4" s="2">
        <f t="shared" si="0"/>
        <v>0.18429171413015724</v>
      </c>
      <c r="M4" s="2">
        <f>SLOPE(M18:M216,$A$18:$A$216)</f>
        <v>0.21623372925232223</v>
      </c>
      <c r="N4" s="2">
        <f>SLOPE(N18:N317,$A$18:$A$317)</f>
        <v>2.7328839431549228E-2</v>
      </c>
      <c r="O4" s="2">
        <f t="shared" si="0"/>
        <v>4.0146779630884741E-2</v>
      </c>
      <c r="P4" s="2">
        <f t="shared" si="0"/>
        <v>6.4556497516639083E-2</v>
      </c>
      <c r="Q4" s="2">
        <f t="shared" si="0"/>
        <v>0.18012970255225058</v>
      </c>
      <c r="R4" s="2">
        <f>SLOPE(R18:R175,$A$18:$A$175)</f>
        <v>0.23549181193229277</v>
      </c>
      <c r="S4" s="2">
        <f>SLOPE(S18:S317,$A$18:$A$317)</f>
        <v>3.669234658162869E-2</v>
      </c>
      <c r="T4" s="2">
        <f>SLOPE(T18:T204,$A$18:$A$204)</f>
        <v>0.1023325179201275</v>
      </c>
      <c r="U4" s="2">
        <f>SLOPE(U18:U317,$A$18:$A$317)</f>
        <v>5.2944872276358558E-2</v>
      </c>
      <c r="V4" s="2">
        <f>SLOPE(V18:V317,$A$18:$A$317)</f>
        <v>6.5921510905676731E-2</v>
      </c>
      <c r="W4" s="2">
        <f>SLOPE(W18:W317,$A$18:$A$317)</f>
        <v>6.9026204291158758E-2</v>
      </c>
      <c r="X4" s="2">
        <f t="shared" si="0"/>
        <v>4.6042407360081736E-2</v>
      </c>
      <c r="Y4" s="2">
        <f t="shared" ref="Y4" si="1">SLOPE(Y18:Y317,$A$18:$A$317)</f>
        <v>0.31007925799175545</v>
      </c>
      <c r="Z4" s="2">
        <f t="shared" ref="Z4:AV4" si="2">SLOPE(Z18:Z317,$A$18:$A$317)</f>
        <v>9.1220638007088961E-2</v>
      </c>
      <c r="AA4" s="2">
        <f t="shared" si="2"/>
        <v>0.11402307158968433</v>
      </c>
      <c r="AB4" s="2" t="e">
        <f t="shared" si="2"/>
        <v>#DIV/0!</v>
      </c>
      <c r="AC4" s="2" t="e">
        <f t="shared" si="2"/>
        <v>#DIV/0!</v>
      </c>
      <c r="AD4" s="2" t="e">
        <f t="shared" si="2"/>
        <v>#DIV/0!</v>
      </c>
      <c r="AE4" s="2" t="e">
        <f t="shared" si="2"/>
        <v>#DIV/0!</v>
      </c>
      <c r="AF4" s="2" t="e">
        <f t="shared" si="2"/>
        <v>#DIV/0!</v>
      </c>
      <c r="AG4" s="2" t="e">
        <f t="shared" si="2"/>
        <v>#DIV/0!</v>
      </c>
      <c r="AH4" s="2" t="e">
        <f t="shared" si="2"/>
        <v>#DIV/0!</v>
      </c>
      <c r="AI4" s="2" t="e">
        <f t="shared" si="2"/>
        <v>#DIV/0!</v>
      </c>
      <c r="AJ4" s="2" t="e">
        <f>SLOPE(AJ18:AJ228,$A$18:$A$228)</f>
        <v>#DIV/0!</v>
      </c>
      <c r="AK4" s="2" t="e">
        <f t="shared" si="2"/>
        <v>#DIV/0!</v>
      </c>
      <c r="AL4" s="2" t="e">
        <f t="shared" si="2"/>
        <v>#DIV/0!</v>
      </c>
      <c r="AM4" s="2" t="e">
        <f t="shared" si="2"/>
        <v>#DIV/0!</v>
      </c>
      <c r="AN4" s="2">
        <f t="shared" si="2"/>
        <v>3.5746696074400786E-2</v>
      </c>
      <c r="AO4" s="2">
        <f t="shared" si="2"/>
        <v>2.7555471505238936E-2</v>
      </c>
      <c r="AP4" s="2" t="e">
        <f t="shared" si="2"/>
        <v>#DIV/0!</v>
      </c>
      <c r="AQ4" s="2" t="e">
        <f>SLOPE(AQ18:AQ199,$A$18:$A$3199)</f>
        <v>#N/A</v>
      </c>
      <c r="AR4" s="2" t="e">
        <f t="shared" si="2"/>
        <v>#DIV/0!</v>
      </c>
      <c r="AS4" s="2" t="e">
        <f t="shared" si="2"/>
        <v>#DIV/0!</v>
      </c>
      <c r="AT4" s="2" t="e">
        <f t="shared" si="2"/>
        <v>#DIV/0!</v>
      </c>
      <c r="AU4" s="2" t="e">
        <f t="shared" si="2"/>
        <v>#DIV/0!</v>
      </c>
      <c r="AV4" s="2" t="e">
        <f t="shared" si="2"/>
        <v>#DIV/0!</v>
      </c>
      <c r="AW4" s="2">
        <f>SLOPE(AW18:AW317,$A$18:$A$317)</f>
        <v>0.10108416782408691</v>
      </c>
    </row>
    <row r="5" spans="1:49" x14ac:dyDescent="0.35">
      <c r="A5" s="6" t="s">
        <v>5</v>
      </c>
      <c r="B5" s="7" t="e">
        <f t="shared" ref="B5:X5" si="3">RSQ(B18:B317,$A$18:$A$317)</f>
        <v>#DIV/0!</v>
      </c>
      <c r="C5" s="7" t="e">
        <f t="shared" si="3"/>
        <v>#DIV/0!</v>
      </c>
      <c r="D5" s="7">
        <f t="shared" si="3"/>
        <v>0.98848904487327949</v>
      </c>
      <c r="E5" s="7">
        <f t="shared" si="3"/>
        <v>0.91645288637949185</v>
      </c>
      <c r="F5" s="7">
        <f t="shared" si="3"/>
        <v>0.97844867158385007</v>
      </c>
      <c r="G5" s="7">
        <f t="shared" si="3"/>
        <v>0.98007230326790018</v>
      </c>
      <c r="H5" s="7" t="e">
        <f t="shared" si="3"/>
        <v>#DIV/0!</v>
      </c>
      <c r="I5" s="7" t="e">
        <f>RSQ(I18:I218,$A$18:$A$218)</f>
        <v>#DIV/0!</v>
      </c>
      <c r="J5" s="7">
        <f>RSQ(J18:J247,$A$18:$A$247)</f>
        <v>0.82013890638227671</v>
      </c>
      <c r="K5" s="7" t="e">
        <f t="shared" si="3"/>
        <v>#DIV/0!</v>
      </c>
      <c r="L5" s="7">
        <f t="shared" si="3"/>
        <v>0.99658950765163612</v>
      </c>
      <c r="M5" s="7">
        <f>RSQ(M18:M216,$A$18:$A$216)</f>
        <v>0.93438787621816699</v>
      </c>
      <c r="N5" s="7">
        <f>RSQ(N18:N317,$A$18:$A$317)</f>
        <v>0.30562695673272439</v>
      </c>
      <c r="O5" s="7">
        <f t="shared" si="3"/>
        <v>0.91385832228982189</v>
      </c>
      <c r="P5" s="7">
        <f t="shared" si="3"/>
        <v>0.9797076432919678</v>
      </c>
      <c r="Q5" s="7">
        <f t="shared" si="3"/>
        <v>0.97531319725686205</v>
      </c>
      <c r="R5" s="7">
        <f>RSQ(R18:R175,$A$18:$A$175)</f>
        <v>0.85083076650403078</v>
      </c>
      <c r="S5" s="7">
        <f>RSQ(S18:S317,$A$18:$A$317)</f>
        <v>0.90354586356368982</v>
      </c>
      <c r="T5" s="7">
        <f>RSQ(T18:T204,$A$18:$A$204)</f>
        <v>0.96650586152992179</v>
      </c>
      <c r="U5" s="7">
        <f>RSQ(U18:U317,$A$18:$A$317)</f>
        <v>0.82289802718097116</v>
      </c>
      <c r="V5" s="7">
        <f>RSQ(V18:V317,$A$18:$A$317)</f>
        <v>0.66721974653904503</v>
      </c>
      <c r="W5" s="7">
        <f>RSQ(W18:W317,$A$18:$A$317)</f>
        <v>0.8210699921057576</v>
      </c>
      <c r="X5" s="7">
        <f t="shared" si="3"/>
        <v>0.84414339380466907</v>
      </c>
      <c r="Y5" s="7">
        <f t="shared" ref="Y5" si="4">RSQ(Y18:Y317,$A$18:$A$317)</f>
        <v>0.9896828192022874</v>
      </c>
      <c r="Z5" s="7">
        <f t="shared" ref="Z5:AV5" si="5">RSQ(Z18:Z317,$A$18:$A$317)</f>
        <v>0.94338421901765857</v>
      </c>
      <c r="AA5" s="7">
        <f t="shared" si="5"/>
        <v>0.97461453818383703</v>
      </c>
      <c r="AB5" s="7" t="e">
        <f t="shared" si="5"/>
        <v>#DIV/0!</v>
      </c>
      <c r="AC5" s="7" t="e">
        <f t="shared" si="5"/>
        <v>#DIV/0!</v>
      </c>
      <c r="AD5" s="7" t="e">
        <f t="shared" si="5"/>
        <v>#DIV/0!</v>
      </c>
      <c r="AE5" s="7" t="e">
        <f t="shared" si="5"/>
        <v>#DIV/0!</v>
      </c>
      <c r="AF5" s="7" t="e">
        <f t="shared" si="5"/>
        <v>#DIV/0!</v>
      </c>
      <c r="AG5" s="7" t="e">
        <f t="shared" si="5"/>
        <v>#DIV/0!</v>
      </c>
      <c r="AH5" s="7" t="e">
        <f t="shared" si="5"/>
        <v>#DIV/0!</v>
      </c>
      <c r="AI5" s="7" t="e">
        <f t="shared" si="5"/>
        <v>#DIV/0!</v>
      </c>
      <c r="AJ5" s="7" t="e">
        <f>RSQ(AJ18:AJ228,$A$18:$A$228)</f>
        <v>#DIV/0!</v>
      </c>
      <c r="AK5" s="7" t="e">
        <f t="shared" si="5"/>
        <v>#DIV/0!</v>
      </c>
      <c r="AL5" s="7" t="e">
        <f t="shared" si="5"/>
        <v>#DIV/0!</v>
      </c>
      <c r="AM5" s="7" t="e">
        <f t="shared" si="5"/>
        <v>#DIV/0!</v>
      </c>
      <c r="AN5" s="7">
        <f t="shared" si="5"/>
        <v>0.91798552667314537</v>
      </c>
      <c r="AO5" s="7">
        <f t="shared" si="5"/>
        <v>0.83777352159905261</v>
      </c>
      <c r="AP5" s="7" t="e">
        <f t="shared" si="5"/>
        <v>#DIV/0!</v>
      </c>
      <c r="AQ5" s="7">
        <f>RSQ(AQ18:AQ199,$A$18:$A$199)</f>
        <v>0.85901184200787861</v>
      </c>
      <c r="AR5" s="7" t="e">
        <f t="shared" si="5"/>
        <v>#DIV/0!</v>
      </c>
      <c r="AS5" s="7" t="e">
        <f t="shared" si="5"/>
        <v>#DIV/0!</v>
      </c>
      <c r="AT5" s="7" t="e">
        <f t="shared" si="5"/>
        <v>#DIV/0!</v>
      </c>
      <c r="AU5" s="7" t="e">
        <f t="shared" si="5"/>
        <v>#DIV/0!</v>
      </c>
      <c r="AV5" s="7" t="e">
        <f t="shared" si="5"/>
        <v>#DIV/0!</v>
      </c>
      <c r="AW5" s="7">
        <f>RSQ(AW18:AW317,$A$18:$A$317)</f>
        <v>0.95415434409056821</v>
      </c>
    </row>
    <row r="6" spans="1:49" x14ac:dyDescent="0.35">
      <c r="A6" s="6" t="s">
        <v>6</v>
      </c>
      <c r="B6" s="2">
        <f t="shared" ref="B6:X6" si="6">B18</f>
        <v>0</v>
      </c>
      <c r="C6" s="2">
        <f t="shared" si="6"/>
        <v>0</v>
      </c>
      <c r="D6" s="2">
        <f t="shared" si="6"/>
        <v>403.58199999999999</v>
      </c>
      <c r="E6" s="2">
        <f t="shared" si="6"/>
        <v>433.41199999999998</v>
      </c>
      <c r="F6" s="2">
        <f t="shared" si="6"/>
        <v>421.69499999999999</v>
      </c>
      <c r="G6" s="2">
        <f t="shared" si="6"/>
        <v>397.04500000000002</v>
      </c>
      <c r="H6" s="2">
        <f t="shared" si="6"/>
        <v>0</v>
      </c>
      <c r="I6" s="2">
        <f t="shared" si="6"/>
        <v>0</v>
      </c>
      <c r="J6" s="2">
        <f t="shared" si="6"/>
        <v>393.38</v>
      </c>
      <c r="K6" s="2">
        <f t="shared" si="6"/>
        <v>0</v>
      </c>
      <c r="L6" s="2">
        <f t="shared" si="6"/>
        <v>513.67700000000002</v>
      </c>
      <c r="M6" s="2">
        <f t="shared" si="6"/>
        <v>385.94</v>
      </c>
      <c r="N6" s="2">
        <f t="shared" si="6"/>
        <v>459.09</v>
      </c>
      <c r="O6" s="2">
        <f t="shared" si="6"/>
        <v>430.45400000000001</v>
      </c>
      <c r="P6" s="2">
        <f t="shared" si="6"/>
        <v>398.84399999999999</v>
      </c>
      <c r="Q6" s="2">
        <f t="shared" si="6"/>
        <v>400.72300000000001</v>
      </c>
      <c r="R6" s="2">
        <f t="shared" si="6"/>
        <v>402.02800000000002</v>
      </c>
      <c r="S6" s="2">
        <f t="shared" si="6"/>
        <v>414.22</v>
      </c>
      <c r="T6" s="2">
        <f t="shared" si="6"/>
        <v>389.46600000000001</v>
      </c>
      <c r="U6" s="2">
        <f t="shared" si="6"/>
        <v>388.40699999999998</v>
      </c>
      <c r="V6" s="2">
        <f t="shared" si="6"/>
        <v>409.166</v>
      </c>
      <c r="W6" s="2">
        <f t="shared" si="6"/>
        <v>420.53500000000003</v>
      </c>
      <c r="X6" s="2">
        <f t="shared" si="6"/>
        <v>439.93400000000003</v>
      </c>
      <c r="Y6" s="2">
        <f t="shared" ref="Y6" si="7">Y18</f>
        <v>488.64299999999997</v>
      </c>
      <c r="Z6" s="2">
        <f t="shared" ref="Z6:AW6" si="8">Z18</f>
        <v>450.89299999999997</v>
      </c>
      <c r="AA6" s="2">
        <f t="shared" si="8"/>
        <v>411.53699999999998</v>
      </c>
      <c r="AB6" s="2">
        <f t="shared" si="8"/>
        <v>0</v>
      </c>
      <c r="AC6" s="2">
        <f t="shared" si="8"/>
        <v>0</v>
      </c>
      <c r="AD6" s="2">
        <f t="shared" si="8"/>
        <v>0</v>
      </c>
      <c r="AE6" s="2">
        <f t="shared" si="8"/>
        <v>0</v>
      </c>
      <c r="AF6" s="2">
        <f t="shared" si="8"/>
        <v>0</v>
      </c>
      <c r="AG6" s="2">
        <f t="shared" si="8"/>
        <v>0</v>
      </c>
      <c r="AH6" s="2">
        <f t="shared" si="8"/>
        <v>0</v>
      </c>
      <c r="AI6" s="2">
        <f t="shared" si="8"/>
        <v>0</v>
      </c>
      <c r="AJ6" s="2">
        <f t="shared" si="8"/>
        <v>0</v>
      </c>
      <c r="AK6" s="2">
        <f t="shared" si="8"/>
        <v>0</v>
      </c>
      <c r="AL6" s="2">
        <f t="shared" si="8"/>
        <v>0</v>
      </c>
      <c r="AM6" s="2">
        <f t="shared" si="8"/>
        <v>0</v>
      </c>
      <c r="AN6" s="2">
        <f t="shared" si="8"/>
        <v>393.30700000000002</v>
      </c>
      <c r="AO6" s="2">
        <f t="shared" si="8"/>
        <v>411.935</v>
      </c>
      <c r="AP6" s="2">
        <f t="shared" si="8"/>
        <v>0</v>
      </c>
      <c r="AQ6" s="2">
        <f t="shared" si="8"/>
        <v>393.863</v>
      </c>
      <c r="AR6" s="2">
        <f t="shared" si="8"/>
        <v>0</v>
      </c>
      <c r="AS6" s="2">
        <f t="shared" si="8"/>
        <v>0</v>
      </c>
      <c r="AT6" s="2">
        <f t="shared" si="8"/>
        <v>0</v>
      </c>
      <c r="AU6" s="2">
        <f t="shared" si="8"/>
        <v>0</v>
      </c>
      <c r="AV6" s="2">
        <f t="shared" si="8"/>
        <v>0</v>
      </c>
      <c r="AW6" s="2">
        <f t="shared" si="8"/>
        <v>473.59699999999998</v>
      </c>
    </row>
    <row r="7" spans="1:49" x14ac:dyDescent="0.35">
      <c r="A7" s="6" t="s">
        <v>7</v>
      </c>
      <c r="B7" s="8">
        <f t="shared" ref="B7:X7" si="9">B317</f>
        <v>0</v>
      </c>
      <c r="C7" s="8">
        <f t="shared" si="9"/>
        <v>0</v>
      </c>
      <c r="D7" s="8">
        <f t="shared" si="9"/>
        <v>456.28199999999998</v>
      </c>
      <c r="E7" s="8">
        <f t="shared" si="9"/>
        <v>456.74599999999998</v>
      </c>
      <c r="F7" s="8">
        <f t="shared" si="9"/>
        <v>438.64600000000002</v>
      </c>
      <c r="G7" s="8">
        <f t="shared" si="9"/>
        <v>418.62799999999999</v>
      </c>
      <c r="H7" s="8">
        <f t="shared" si="9"/>
        <v>0</v>
      </c>
      <c r="I7" s="8">
        <f>I218</f>
        <v>0</v>
      </c>
      <c r="J7" s="8">
        <f>J247</f>
        <v>421.51299999999998</v>
      </c>
      <c r="K7" s="8">
        <f t="shared" si="9"/>
        <v>0</v>
      </c>
      <c r="L7" s="8">
        <f t="shared" si="9"/>
        <v>568.57899999999995</v>
      </c>
      <c r="M7" s="8">
        <f>M216</f>
        <v>430.96</v>
      </c>
      <c r="N7" s="8">
        <f>N317</f>
        <v>476.2</v>
      </c>
      <c r="O7" s="8">
        <f t="shared" si="9"/>
        <v>442.71100000000001</v>
      </c>
      <c r="P7" s="8">
        <f t="shared" si="9"/>
        <v>419.238</v>
      </c>
      <c r="Q7" s="8">
        <f t="shared" si="9"/>
        <v>450.45299999999997</v>
      </c>
      <c r="R7" s="8">
        <f>R192</f>
        <v>443.173</v>
      </c>
      <c r="S7" s="8">
        <f>S317</f>
        <v>426.26</v>
      </c>
      <c r="T7" s="8">
        <f>T204</f>
        <v>409.23</v>
      </c>
      <c r="U7" s="8">
        <f>U317</f>
        <v>409.04199999999997</v>
      </c>
      <c r="V7" s="8">
        <f>V317</f>
        <v>423.69299999999998</v>
      </c>
      <c r="W7" s="8">
        <f>W317</f>
        <v>438.952</v>
      </c>
      <c r="X7" s="8">
        <f t="shared" si="9"/>
        <v>456.44299999999998</v>
      </c>
      <c r="Y7" s="8">
        <f t="shared" ref="Y7" si="10">Y317</f>
        <v>580.04700000000003</v>
      </c>
      <c r="Z7" s="8">
        <f t="shared" ref="Z7:AV7" si="11">Z317</f>
        <v>478.13900000000001</v>
      </c>
      <c r="AA7" s="8">
        <f t="shared" si="11"/>
        <v>443.822</v>
      </c>
      <c r="AB7" s="8">
        <f t="shared" si="11"/>
        <v>0</v>
      </c>
      <c r="AC7" s="8">
        <f t="shared" si="11"/>
        <v>0</v>
      </c>
      <c r="AD7" s="8">
        <f t="shared" si="11"/>
        <v>0</v>
      </c>
      <c r="AE7" s="8">
        <f t="shared" si="11"/>
        <v>0</v>
      </c>
      <c r="AF7" s="8">
        <f t="shared" si="11"/>
        <v>0</v>
      </c>
      <c r="AG7" s="8">
        <f t="shared" si="11"/>
        <v>0</v>
      </c>
      <c r="AH7" s="8">
        <f t="shared" si="11"/>
        <v>0</v>
      </c>
      <c r="AI7" s="8">
        <f t="shared" si="11"/>
        <v>0</v>
      </c>
      <c r="AJ7" s="8">
        <f>AJ228</f>
        <v>0</v>
      </c>
      <c r="AK7" s="8">
        <f t="shared" si="11"/>
        <v>0</v>
      </c>
      <c r="AL7" s="8">
        <f t="shared" si="11"/>
        <v>0</v>
      </c>
      <c r="AM7" s="8">
        <f t="shared" si="11"/>
        <v>0</v>
      </c>
      <c r="AN7" s="8">
        <f t="shared" si="11"/>
        <v>403.298</v>
      </c>
      <c r="AO7" s="8">
        <f t="shared" si="11"/>
        <v>419.62299999999999</v>
      </c>
      <c r="AP7" s="8">
        <f t="shared" si="11"/>
        <v>0</v>
      </c>
      <c r="AQ7" s="8">
        <f>AQ199</f>
        <v>401.11099999999999</v>
      </c>
      <c r="AR7" s="8">
        <f t="shared" si="11"/>
        <v>0</v>
      </c>
      <c r="AS7" s="8">
        <f t="shared" si="11"/>
        <v>0</v>
      </c>
      <c r="AT7" s="8">
        <f t="shared" si="11"/>
        <v>0</v>
      </c>
      <c r="AU7" s="8">
        <f t="shared" si="11"/>
        <v>0</v>
      </c>
      <c r="AV7" s="8">
        <f t="shared" si="11"/>
        <v>0</v>
      </c>
      <c r="AW7" s="8">
        <f>AW317</f>
        <v>503.584</v>
      </c>
    </row>
    <row r="8" spans="1:49" x14ac:dyDescent="0.35">
      <c r="A8" s="6" t="s">
        <v>8</v>
      </c>
      <c r="B8" s="2">
        <f t="shared" ref="B8:X8" si="12">B7-B6</f>
        <v>0</v>
      </c>
      <c r="C8" s="2">
        <f t="shared" si="12"/>
        <v>0</v>
      </c>
      <c r="D8" s="2">
        <f t="shared" si="12"/>
        <v>52.699999999999989</v>
      </c>
      <c r="E8" s="2">
        <f t="shared" si="12"/>
        <v>23.334000000000003</v>
      </c>
      <c r="F8" s="2">
        <f t="shared" si="12"/>
        <v>16.951000000000022</v>
      </c>
      <c r="G8" s="2">
        <f t="shared" si="12"/>
        <v>21.58299999999997</v>
      </c>
      <c r="H8" s="2">
        <f t="shared" si="12"/>
        <v>0</v>
      </c>
      <c r="I8" s="2">
        <f t="shared" si="12"/>
        <v>0</v>
      </c>
      <c r="J8" s="2">
        <f t="shared" si="12"/>
        <v>28.132999999999981</v>
      </c>
      <c r="K8" s="2">
        <f t="shared" si="12"/>
        <v>0</v>
      </c>
      <c r="L8" s="2">
        <f t="shared" si="12"/>
        <v>54.90199999999993</v>
      </c>
      <c r="M8" s="2">
        <f t="shared" si="12"/>
        <v>45.019999999999982</v>
      </c>
      <c r="N8" s="2">
        <f t="shared" si="12"/>
        <v>17.110000000000014</v>
      </c>
      <c r="O8" s="2">
        <f t="shared" si="12"/>
        <v>12.257000000000005</v>
      </c>
      <c r="P8" s="2">
        <f t="shared" si="12"/>
        <v>20.394000000000005</v>
      </c>
      <c r="Q8" s="2">
        <f t="shared" si="12"/>
        <v>49.729999999999961</v>
      </c>
      <c r="R8" s="2">
        <f t="shared" si="12"/>
        <v>41.144999999999982</v>
      </c>
      <c r="S8" s="2">
        <f t="shared" si="12"/>
        <v>12.039999999999964</v>
      </c>
      <c r="T8" s="2">
        <f t="shared" si="12"/>
        <v>19.76400000000001</v>
      </c>
      <c r="U8" s="2">
        <f t="shared" si="12"/>
        <v>20.634999999999991</v>
      </c>
      <c r="V8" s="2">
        <f t="shared" si="12"/>
        <v>14.526999999999987</v>
      </c>
      <c r="W8" s="2">
        <f t="shared" si="12"/>
        <v>18.416999999999973</v>
      </c>
      <c r="X8" s="2">
        <f t="shared" si="12"/>
        <v>16.508999999999958</v>
      </c>
      <c r="Y8" s="2">
        <f t="shared" ref="Y8" si="13">Y7-Y6</f>
        <v>91.404000000000053</v>
      </c>
      <c r="Z8" s="2">
        <f t="shared" ref="Z8:AW8" si="14">Z7-Z6</f>
        <v>27.246000000000038</v>
      </c>
      <c r="AA8" s="2">
        <f t="shared" si="14"/>
        <v>32.285000000000025</v>
      </c>
      <c r="AB8" s="2">
        <f t="shared" si="14"/>
        <v>0</v>
      </c>
      <c r="AC8" s="2">
        <f t="shared" si="14"/>
        <v>0</v>
      </c>
      <c r="AD8" s="2">
        <f t="shared" si="14"/>
        <v>0</v>
      </c>
      <c r="AE8" s="2">
        <f t="shared" si="14"/>
        <v>0</v>
      </c>
      <c r="AF8" s="2">
        <f t="shared" si="14"/>
        <v>0</v>
      </c>
      <c r="AG8" s="2">
        <f t="shared" si="14"/>
        <v>0</v>
      </c>
      <c r="AH8" s="2">
        <f t="shared" si="14"/>
        <v>0</v>
      </c>
      <c r="AI8" s="2">
        <f t="shared" si="14"/>
        <v>0</v>
      </c>
      <c r="AJ8" s="2">
        <f t="shared" si="14"/>
        <v>0</v>
      </c>
      <c r="AK8" s="2">
        <f t="shared" si="14"/>
        <v>0</v>
      </c>
      <c r="AL8" s="2">
        <f t="shared" si="14"/>
        <v>0</v>
      </c>
      <c r="AM8" s="2">
        <f t="shared" si="14"/>
        <v>0</v>
      </c>
      <c r="AN8" s="2">
        <f t="shared" si="14"/>
        <v>9.9909999999999854</v>
      </c>
      <c r="AO8" s="2">
        <f t="shared" si="14"/>
        <v>7.6879999999999882</v>
      </c>
      <c r="AP8" s="2">
        <f t="shared" si="14"/>
        <v>0</v>
      </c>
      <c r="AQ8" s="2">
        <f t="shared" si="14"/>
        <v>7.2479999999999905</v>
      </c>
      <c r="AR8" s="2">
        <f t="shared" si="14"/>
        <v>0</v>
      </c>
      <c r="AS8" s="2">
        <f t="shared" si="14"/>
        <v>0</v>
      </c>
      <c r="AT8" s="2">
        <f t="shared" si="14"/>
        <v>0</v>
      </c>
      <c r="AU8" s="2">
        <f t="shared" si="14"/>
        <v>0</v>
      </c>
      <c r="AV8" s="2">
        <f t="shared" si="14"/>
        <v>0</v>
      </c>
      <c r="AW8" s="2">
        <f t="shared" si="14"/>
        <v>29.987000000000023</v>
      </c>
    </row>
    <row r="9" spans="1:49" x14ac:dyDescent="0.35">
      <c r="A9" s="6" t="s">
        <v>9</v>
      </c>
      <c r="B9" s="2">
        <f t="shared" ref="B9:X9" si="15">B8/5</f>
        <v>0</v>
      </c>
      <c r="C9" s="2">
        <f t="shared" si="15"/>
        <v>0</v>
      </c>
      <c r="D9" s="2">
        <f t="shared" si="15"/>
        <v>10.539999999999997</v>
      </c>
      <c r="E9" s="2">
        <f t="shared" si="15"/>
        <v>4.6668000000000003</v>
      </c>
      <c r="F9" s="2">
        <f t="shared" si="15"/>
        <v>3.3902000000000045</v>
      </c>
      <c r="G9" s="2">
        <f t="shared" si="15"/>
        <v>4.316599999999994</v>
      </c>
      <c r="H9" s="2">
        <f t="shared" si="15"/>
        <v>0</v>
      </c>
      <c r="I9" s="2">
        <f t="shared" si="15"/>
        <v>0</v>
      </c>
      <c r="J9" s="2">
        <f t="shared" si="15"/>
        <v>5.6265999999999963</v>
      </c>
      <c r="K9" s="2">
        <f t="shared" si="15"/>
        <v>0</v>
      </c>
      <c r="L9" s="2">
        <f t="shared" si="15"/>
        <v>10.980399999999985</v>
      </c>
      <c r="M9" s="2">
        <f t="shared" si="15"/>
        <v>9.003999999999996</v>
      </c>
      <c r="N9" s="2">
        <f t="shared" si="15"/>
        <v>3.4220000000000028</v>
      </c>
      <c r="O9" s="2">
        <f t="shared" si="15"/>
        <v>2.4514000000000009</v>
      </c>
      <c r="P9" s="2">
        <f t="shared" si="15"/>
        <v>4.0788000000000011</v>
      </c>
      <c r="Q9" s="2">
        <f t="shared" si="15"/>
        <v>9.9459999999999926</v>
      </c>
      <c r="R9" s="2">
        <f t="shared" si="15"/>
        <v>8.2289999999999957</v>
      </c>
      <c r="S9" s="2">
        <f t="shared" si="15"/>
        <v>2.4079999999999928</v>
      </c>
      <c r="T9" s="2">
        <f t="shared" si="15"/>
        <v>3.9528000000000021</v>
      </c>
      <c r="U9" s="2">
        <f t="shared" si="15"/>
        <v>4.126999999999998</v>
      </c>
      <c r="V9" s="2">
        <f t="shared" si="15"/>
        <v>2.9053999999999975</v>
      </c>
      <c r="W9" s="2">
        <f t="shared" si="15"/>
        <v>3.6833999999999945</v>
      </c>
      <c r="X9" s="2">
        <f t="shared" si="15"/>
        <v>3.3017999999999916</v>
      </c>
      <c r="Y9" s="2">
        <f t="shared" ref="Y9" si="16">Y8/5</f>
        <v>18.28080000000001</v>
      </c>
      <c r="Z9" s="2">
        <f t="shared" ref="Z9:AW9" si="17">Z8/5</f>
        <v>5.4492000000000074</v>
      </c>
      <c r="AA9" s="2">
        <f t="shared" si="17"/>
        <v>6.4570000000000052</v>
      </c>
      <c r="AB9" s="2">
        <f t="shared" si="17"/>
        <v>0</v>
      </c>
      <c r="AC9" s="2">
        <f t="shared" si="17"/>
        <v>0</v>
      </c>
      <c r="AD9" s="2">
        <f t="shared" si="17"/>
        <v>0</v>
      </c>
      <c r="AE9" s="2">
        <f t="shared" si="17"/>
        <v>0</v>
      </c>
      <c r="AF9" s="2">
        <f t="shared" si="17"/>
        <v>0</v>
      </c>
      <c r="AG9" s="2">
        <f t="shared" si="17"/>
        <v>0</v>
      </c>
      <c r="AH9" s="2">
        <f t="shared" si="17"/>
        <v>0</v>
      </c>
      <c r="AI9" s="2">
        <f t="shared" si="17"/>
        <v>0</v>
      </c>
      <c r="AJ9" s="2">
        <f t="shared" si="17"/>
        <v>0</v>
      </c>
      <c r="AK9" s="2">
        <f t="shared" si="17"/>
        <v>0</v>
      </c>
      <c r="AL9" s="2">
        <f t="shared" si="17"/>
        <v>0</v>
      </c>
      <c r="AM9" s="2">
        <f t="shared" si="17"/>
        <v>0</v>
      </c>
      <c r="AN9" s="2">
        <f t="shared" si="17"/>
        <v>1.9981999999999971</v>
      </c>
      <c r="AO9" s="2">
        <f t="shared" si="17"/>
        <v>1.5375999999999976</v>
      </c>
      <c r="AP9" s="2">
        <f t="shared" si="17"/>
        <v>0</v>
      </c>
      <c r="AQ9" s="2">
        <f t="shared" si="17"/>
        <v>1.449599999999998</v>
      </c>
      <c r="AR9" s="2">
        <f t="shared" si="17"/>
        <v>0</v>
      </c>
      <c r="AS9" s="2">
        <f t="shared" si="17"/>
        <v>0</v>
      </c>
      <c r="AT9" s="2">
        <f t="shared" si="17"/>
        <v>0</v>
      </c>
      <c r="AU9" s="2">
        <f t="shared" si="17"/>
        <v>0</v>
      </c>
      <c r="AV9" s="2">
        <f t="shared" si="17"/>
        <v>0</v>
      </c>
      <c r="AW9" s="2">
        <f t="shared" si="17"/>
        <v>5.9974000000000043</v>
      </c>
    </row>
    <row r="10" spans="1:49" x14ac:dyDescent="0.35">
      <c r="A10" s="9" t="s">
        <v>10</v>
      </c>
      <c r="B10" s="2">
        <v>300</v>
      </c>
      <c r="C10" s="2">
        <v>300</v>
      </c>
      <c r="D10" s="2">
        <v>300</v>
      </c>
      <c r="E10" s="2">
        <v>300</v>
      </c>
      <c r="F10" s="2">
        <v>300</v>
      </c>
      <c r="G10" s="2">
        <v>300</v>
      </c>
      <c r="H10" s="2">
        <v>300</v>
      </c>
      <c r="I10" s="2">
        <v>300</v>
      </c>
      <c r="J10" s="2">
        <v>230</v>
      </c>
      <c r="K10" s="2">
        <v>300</v>
      </c>
      <c r="L10" s="2">
        <v>300</v>
      </c>
      <c r="M10" s="2">
        <v>199</v>
      </c>
      <c r="N10" s="2">
        <v>300</v>
      </c>
      <c r="O10" s="2">
        <v>300</v>
      </c>
      <c r="P10" s="2">
        <v>300</v>
      </c>
      <c r="Q10" s="2">
        <v>300</v>
      </c>
      <c r="R10" s="30">
        <v>158</v>
      </c>
      <c r="S10" s="2">
        <v>300</v>
      </c>
      <c r="T10" s="2">
        <v>187</v>
      </c>
      <c r="U10" s="2">
        <v>300</v>
      </c>
      <c r="V10" s="2">
        <v>300</v>
      </c>
      <c r="W10" s="2">
        <v>300</v>
      </c>
      <c r="X10" s="2">
        <v>300</v>
      </c>
      <c r="Y10" s="2">
        <v>300</v>
      </c>
      <c r="Z10" s="2">
        <v>300</v>
      </c>
      <c r="AA10" s="2">
        <v>300</v>
      </c>
      <c r="AB10" s="2">
        <v>300</v>
      </c>
      <c r="AC10" s="2">
        <v>300</v>
      </c>
      <c r="AD10" s="2">
        <v>300</v>
      </c>
      <c r="AE10" s="2">
        <v>300</v>
      </c>
      <c r="AF10" s="2">
        <v>300</v>
      </c>
      <c r="AG10" s="2">
        <v>300</v>
      </c>
      <c r="AH10" s="2">
        <v>300</v>
      </c>
      <c r="AI10" s="2">
        <v>300</v>
      </c>
      <c r="AJ10" s="2">
        <v>211</v>
      </c>
      <c r="AK10" s="2">
        <v>300</v>
      </c>
      <c r="AL10" s="2">
        <v>300</v>
      </c>
      <c r="AM10" s="2">
        <v>300</v>
      </c>
      <c r="AN10" s="2">
        <v>300</v>
      </c>
      <c r="AO10" s="2">
        <v>300</v>
      </c>
      <c r="AP10" s="2">
        <v>300</v>
      </c>
      <c r="AQ10" s="2">
        <v>182</v>
      </c>
      <c r="AR10" s="2">
        <v>300</v>
      </c>
      <c r="AS10" s="2">
        <v>300</v>
      </c>
      <c r="AT10" s="2">
        <v>300</v>
      </c>
      <c r="AU10" s="2">
        <v>300</v>
      </c>
      <c r="AV10" s="2">
        <v>300</v>
      </c>
      <c r="AW10" s="2">
        <v>300</v>
      </c>
    </row>
    <row r="11" spans="1:49" x14ac:dyDescent="0.35">
      <c r="A11" s="6" t="s">
        <v>11</v>
      </c>
      <c r="B11" s="2">
        <f t="shared" ref="B11:X11" si="18">B6*$C$2</f>
        <v>0</v>
      </c>
      <c r="C11" s="2">
        <f t="shared" si="18"/>
        <v>0</v>
      </c>
      <c r="D11" s="2">
        <f t="shared" si="18"/>
        <v>74.097655200000005</v>
      </c>
      <c r="E11" s="2">
        <f t="shared" si="18"/>
        <v>79.574443200000005</v>
      </c>
      <c r="F11" s="2">
        <f t="shared" si="18"/>
        <v>77.423202000000003</v>
      </c>
      <c r="G11" s="2">
        <f t="shared" si="18"/>
        <v>72.897462000000004</v>
      </c>
      <c r="H11" s="2">
        <f t="shared" si="18"/>
        <v>0</v>
      </c>
      <c r="I11" s="2">
        <f t="shared" si="18"/>
        <v>0</v>
      </c>
      <c r="J11" s="2">
        <f t="shared" si="18"/>
        <v>72.224568000000005</v>
      </c>
      <c r="K11" s="2">
        <f t="shared" si="18"/>
        <v>0</v>
      </c>
      <c r="L11" s="2">
        <f t="shared" si="18"/>
        <v>94.311097200000006</v>
      </c>
      <c r="M11" s="2">
        <f t="shared" si="18"/>
        <v>70.858584000000008</v>
      </c>
      <c r="N11" s="2">
        <f t="shared" si="18"/>
        <v>84.288923999999994</v>
      </c>
      <c r="O11" s="2">
        <f t="shared" si="18"/>
        <v>79.031354400000012</v>
      </c>
      <c r="P11" s="2">
        <f t="shared" si="18"/>
        <v>73.227758399999999</v>
      </c>
      <c r="Q11" s="2">
        <f t="shared" si="18"/>
        <v>73.572742800000015</v>
      </c>
      <c r="R11" s="2">
        <f t="shared" si="18"/>
        <v>73.812340800000015</v>
      </c>
      <c r="S11" s="2">
        <f t="shared" si="18"/>
        <v>76.050792000000015</v>
      </c>
      <c r="T11" s="2">
        <f t="shared" si="18"/>
        <v>71.505957600000002</v>
      </c>
      <c r="U11" s="2">
        <f t="shared" si="18"/>
        <v>71.311525200000005</v>
      </c>
      <c r="V11" s="2">
        <f t="shared" si="18"/>
        <v>75.12287760000001</v>
      </c>
      <c r="W11" s="2">
        <f t="shared" si="18"/>
        <v>77.210226000000006</v>
      </c>
      <c r="X11" s="2">
        <f t="shared" si="18"/>
        <v>80.77188240000001</v>
      </c>
      <c r="Y11" s="2">
        <f t="shared" ref="Y11" si="19">Y6*$C$2</f>
        <v>89.714854799999998</v>
      </c>
      <c r="Z11" s="2">
        <f t="shared" ref="Z11:AW11" si="20">Z6*$C$2</f>
        <v>82.783954800000004</v>
      </c>
      <c r="AA11" s="2">
        <f t="shared" si="20"/>
        <v>75.558193200000005</v>
      </c>
      <c r="AB11" s="2">
        <f t="shared" si="20"/>
        <v>0</v>
      </c>
      <c r="AC11" s="2">
        <f t="shared" si="20"/>
        <v>0</v>
      </c>
      <c r="AD11" s="2">
        <f t="shared" si="20"/>
        <v>0</v>
      </c>
      <c r="AE11" s="2">
        <f t="shared" si="20"/>
        <v>0</v>
      </c>
      <c r="AF11" s="2">
        <f t="shared" si="20"/>
        <v>0</v>
      </c>
      <c r="AG11" s="2">
        <f t="shared" si="20"/>
        <v>0</v>
      </c>
      <c r="AH11" s="2">
        <f t="shared" si="20"/>
        <v>0</v>
      </c>
      <c r="AI11" s="2">
        <f t="shared" si="20"/>
        <v>0</v>
      </c>
      <c r="AJ11" s="2">
        <f t="shared" si="20"/>
        <v>0</v>
      </c>
      <c r="AK11" s="2">
        <f t="shared" si="20"/>
        <v>0</v>
      </c>
      <c r="AL11" s="2">
        <f t="shared" si="20"/>
        <v>0</v>
      </c>
      <c r="AM11" s="2">
        <f t="shared" si="20"/>
        <v>0</v>
      </c>
      <c r="AN11" s="2">
        <f t="shared" si="20"/>
        <v>72.211165200000011</v>
      </c>
      <c r="AO11" s="2">
        <f t="shared" si="20"/>
        <v>75.631266000000011</v>
      </c>
      <c r="AP11" s="2">
        <f t="shared" si="20"/>
        <v>0</v>
      </c>
      <c r="AQ11" s="2">
        <f t="shared" si="20"/>
        <v>72.313246800000002</v>
      </c>
      <c r="AR11" s="2">
        <f t="shared" si="20"/>
        <v>0</v>
      </c>
      <c r="AS11" s="2">
        <f t="shared" si="20"/>
        <v>0</v>
      </c>
      <c r="AT11" s="2">
        <f t="shared" si="20"/>
        <v>0</v>
      </c>
      <c r="AU11" s="2">
        <f t="shared" si="20"/>
        <v>0</v>
      </c>
      <c r="AV11" s="2">
        <f t="shared" si="20"/>
        <v>0</v>
      </c>
      <c r="AW11" s="2">
        <f t="shared" si="20"/>
        <v>86.952409200000005</v>
      </c>
    </row>
    <row r="12" spans="1:49" x14ac:dyDescent="0.35">
      <c r="A12" s="6" t="s">
        <v>12</v>
      </c>
      <c r="B12" s="2">
        <f t="shared" ref="B12:X12" si="21">$C$2*B7</f>
        <v>0</v>
      </c>
      <c r="C12" s="2">
        <f t="shared" si="21"/>
        <v>0</v>
      </c>
      <c r="D12" s="2">
        <f t="shared" si="21"/>
        <v>83.773375200000004</v>
      </c>
      <c r="E12" s="2">
        <f t="shared" si="21"/>
        <v>83.858565600000006</v>
      </c>
      <c r="F12" s="2">
        <f t="shared" si="21"/>
        <v>80.535405600000004</v>
      </c>
      <c r="G12" s="2">
        <f t="shared" si="21"/>
        <v>76.860100799999998</v>
      </c>
      <c r="H12" s="2">
        <f t="shared" si="21"/>
        <v>0</v>
      </c>
      <c r="I12" s="2">
        <f t="shared" si="21"/>
        <v>0</v>
      </c>
      <c r="J12" s="2">
        <f t="shared" si="21"/>
        <v>77.389786799999996</v>
      </c>
      <c r="K12" s="2">
        <f t="shared" si="21"/>
        <v>0</v>
      </c>
      <c r="L12" s="2">
        <f t="shared" si="21"/>
        <v>104.3911044</v>
      </c>
      <c r="M12" s="2">
        <f t="shared" si="21"/>
        <v>79.124256000000003</v>
      </c>
      <c r="N12" s="2">
        <f t="shared" si="21"/>
        <v>87.430320000000009</v>
      </c>
      <c r="O12" s="2">
        <f t="shared" si="21"/>
        <v>81.281739600000009</v>
      </c>
      <c r="P12" s="2">
        <f t="shared" si="21"/>
        <v>76.972096800000003</v>
      </c>
      <c r="Q12" s="2">
        <f t="shared" si="21"/>
        <v>82.703170799999995</v>
      </c>
      <c r="R12" s="2">
        <f t="shared" si="21"/>
        <v>81.366562800000011</v>
      </c>
      <c r="S12" s="2">
        <f t="shared" si="21"/>
        <v>78.261336</v>
      </c>
      <c r="T12" s="2">
        <f t="shared" si="21"/>
        <v>75.134628000000006</v>
      </c>
      <c r="U12" s="2">
        <f t="shared" si="21"/>
        <v>75.100111200000001</v>
      </c>
      <c r="V12" s="2">
        <f t="shared" si="21"/>
        <v>77.790034800000001</v>
      </c>
      <c r="W12" s="2">
        <f t="shared" si="21"/>
        <v>80.591587200000006</v>
      </c>
      <c r="X12" s="2">
        <f t="shared" si="21"/>
        <v>83.802934800000003</v>
      </c>
      <c r="Y12" s="2">
        <f t="shared" ref="Y12" si="22">$C$2*Y7</f>
        <v>106.49662920000002</v>
      </c>
      <c r="Z12" s="2">
        <f t="shared" ref="Z12:AW12" si="23">$C$2*Z7</f>
        <v>87.786320400000008</v>
      </c>
      <c r="AA12" s="2">
        <f t="shared" si="23"/>
        <v>81.485719200000005</v>
      </c>
      <c r="AB12" s="2">
        <f t="shared" si="23"/>
        <v>0</v>
      </c>
      <c r="AC12" s="2">
        <f t="shared" si="23"/>
        <v>0</v>
      </c>
      <c r="AD12" s="2">
        <f t="shared" si="23"/>
        <v>0</v>
      </c>
      <c r="AE12" s="2">
        <f t="shared" si="23"/>
        <v>0</v>
      </c>
      <c r="AF12" s="2">
        <f t="shared" si="23"/>
        <v>0</v>
      </c>
      <c r="AG12" s="2">
        <f t="shared" si="23"/>
        <v>0</v>
      </c>
      <c r="AH12" s="2">
        <f t="shared" si="23"/>
        <v>0</v>
      </c>
      <c r="AI12" s="2">
        <f t="shared" si="23"/>
        <v>0</v>
      </c>
      <c r="AJ12" s="2">
        <f t="shared" si="23"/>
        <v>0</v>
      </c>
      <c r="AK12" s="2">
        <f t="shared" si="23"/>
        <v>0</v>
      </c>
      <c r="AL12" s="2">
        <f t="shared" si="23"/>
        <v>0</v>
      </c>
      <c r="AM12" s="2">
        <f t="shared" si="23"/>
        <v>0</v>
      </c>
      <c r="AN12" s="2">
        <f t="shared" si="23"/>
        <v>74.045512800000012</v>
      </c>
      <c r="AO12" s="2">
        <f t="shared" si="23"/>
        <v>77.042782799999998</v>
      </c>
      <c r="AP12" s="2">
        <f t="shared" si="23"/>
        <v>0</v>
      </c>
      <c r="AQ12" s="2">
        <f t="shared" si="23"/>
        <v>73.643979600000009</v>
      </c>
      <c r="AR12" s="2">
        <f t="shared" si="23"/>
        <v>0</v>
      </c>
      <c r="AS12" s="2">
        <f t="shared" si="23"/>
        <v>0</v>
      </c>
      <c r="AT12" s="2">
        <f t="shared" si="23"/>
        <v>0</v>
      </c>
      <c r="AU12" s="2">
        <f t="shared" si="23"/>
        <v>0</v>
      </c>
      <c r="AV12" s="2">
        <f t="shared" si="23"/>
        <v>0</v>
      </c>
      <c r="AW12" s="2">
        <f t="shared" si="23"/>
        <v>92.458022400000004</v>
      </c>
    </row>
    <row r="13" spans="1:49" x14ac:dyDescent="0.35">
      <c r="A13" s="6" t="s">
        <v>52</v>
      </c>
      <c r="B13" s="28">
        <v>0.56000000000000005</v>
      </c>
      <c r="C13" s="28">
        <v>0.54</v>
      </c>
      <c r="D13" s="28">
        <v>0.55000000000000004</v>
      </c>
      <c r="E13" s="28">
        <v>0.55000000000000004</v>
      </c>
      <c r="F13" s="28">
        <v>0.49</v>
      </c>
      <c r="G13" s="28">
        <v>0.52</v>
      </c>
      <c r="H13" s="28">
        <v>0.56000000000000005</v>
      </c>
      <c r="I13" s="28">
        <v>0.71</v>
      </c>
      <c r="J13" s="28">
        <v>0.55000000000000004</v>
      </c>
      <c r="K13" s="28">
        <v>0.56000000000000005</v>
      </c>
      <c r="L13" s="28">
        <v>0.55000000000000004</v>
      </c>
      <c r="M13" s="28">
        <v>0.61</v>
      </c>
      <c r="N13" s="28">
        <v>0.61</v>
      </c>
      <c r="O13" s="28">
        <v>0.56999999999999995</v>
      </c>
      <c r="P13" s="28">
        <v>0.56000000000000005</v>
      </c>
      <c r="Q13" s="28">
        <v>0.62</v>
      </c>
      <c r="R13" s="28">
        <v>0.61</v>
      </c>
      <c r="S13" s="29">
        <v>0.49</v>
      </c>
      <c r="T13" s="28">
        <v>0.56000000000000005</v>
      </c>
      <c r="U13" s="28">
        <v>0.57999999999999996</v>
      </c>
      <c r="V13" s="28">
        <v>0.6</v>
      </c>
      <c r="W13" s="28">
        <v>0.56000000000000005</v>
      </c>
      <c r="X13" s="28">
        <v>0.54</v>
      </c>
      <c r="Y13" s="30">
        <v>0.54</v>
      </c>
      <c r="Z13" s="28">
        <v>0.53</v>
      </c>
      <c r="AA13" s="28">
        <v>0.55000000000000004</v>
      </c>
      <c r="AB13" s="28">
        <v>0.64</v>
      </c>
      <c r="AC13" s="28">
        <v>0.67</v>
      </c>
      <c r="AD13" s="28">
        <v>0.56000000000000005</v>
      </c>
      <c r="AE13" s="28">
        <v>0.56000000000000005</v>
      </c>
      <c r="AF13" s="28">
        <v>0.62</v>
      </c>
      <c r="AG13" s="28">
        <v>0.56000000000000005</v>
      </c>
      <c r="AH13" s="28">
        <v>0.56000000000000005</v>
      </c>
      <c r="AI13" s="28">
        <v>0.52</v>
      </c>
      <c r="AJ13" s="28">
        <v>0.54</v>
      </c>
      <c r="AK13" s="28">
        <v>0.52</v>
      </c>
      <c r="AL13" s="28">
        <v>0.56999999999999995</v>
      </c>
      <c r="AM13" s="28">
        <v>0.56000000000000005</v>
      </c>
      <c r="AN13" s="28">
        <v>0.66</v>
      </c>
      <c r="AO13" s="28">
        <v>0.5</v>
      </c>
      <c r="AP13" s="28">
        <v>0.69</v>
      </c>
      <c r="AQ13" s="28">
        <v>0.56999999999999995</v>
      </c>
      <c r="AR13" s="28">
        <v>0.64</v>
      </c>
      <c r="AS13" s="28">
        <v>0.55000000000000004</v>
      </c>
      <c r="AT13" s="28">
        <v>0.57999999999999996</v>
      </c>
      <c r="AU13" s="28">
        <v>0.69</v>
      </c>
      <c r="AV13" s="28">
        <v>0.63</v>
      </c>
      <c r="AW13" s="28">
        <v>0.56999999999999995</v>
      </c>
    </row>
    <row r="14" spans="1:49" x14ac:dyDescent="0.35">
      <c r="A14" s="10" t="s">
        <v>13</v>
      </c>
      <c r="B14" s="11">
        <f t="shared" ref="B14:X14" si="24">(B12-B11)/B13/(B10/60/60)</f>
        <v>0</v>
      </c>
      <c r="C14" s="11">
        <f t="shared" si="24"/>
        <v>0</v>
      </c>
      <c r="D14" s="11">
        <f t="shared" si="24"/>
        <v>211.10661818181816</v>
      </c>
      <c r="E14" s="11">
        <f t="shared" si="24"/>
        <v>93.471761454545486</v>
      </c>
      <c r="F14" s="11">
        <f t="shared" si="24"/>
        <v>76.217231020408192</v>
      </c>
      <c r="G14" s="11">
        <f t="shared" si="24"/>
        <v>91.445510769230623</v>
      </c>
      <c r="H14" s="11">
        <f t="shared" si="24"/>
        <v>0</v>
      </c>
      <c r="I14" s="11">
        <f t="shared" si="24"/>
        <v>0</v>
      </c>
      <c r="J14" s="11">
        <f t="shared" si="24"/>
        <v>146.9943690118574</v>
      </c>
      <c r="K14" s="11">
        <f t="shared" si="24"/>
        <v>0</v>
      </c>
      <c r="L14" s="11">
        <f t="shared" si="24"/>
        <v>219.92742981818174</v>
      </c>
      <c r="M14" s="11">
        <f t="shared" si="24"/>
        <v>245.13072905511146</v>
      </c>
      <c r="N14" s="11">
        <f t="shared" si="24"/>
        <v>61.797954098360947</v>
      </c>
      <c r="O14" s="11">
        <f t="shared" si="24"/>
        <v>47.376530526315726</v>
      </c>
      <c r="P14" s="11">
        <f t="shared" si="24"/>
        <v>80.235822857142935</v>
      </c>
      <c r="Q14" s="11">
        <f t="shared" si="24"/>
        <v>176.71796129032222</v>
      </c>
      <c r="R14" s="11">
        <f t="shared" si="24"/>
        <v>282.16641626893534</v>
      </c>
      <c r="S14" s="11">
        <f t="shared" si="24"/>
        <v>54.135771428571054</v>
      </c>
      <c r="T14" s="11">
        <f t="shared" si="24"/>
        <v>124.74420779220792</v>
      </c>
      <c r="U14" s="11">
        <f t="shared" si="24"/>
        <v>78.384537931034387</v>
      </c>
      <c r="V14" s="11">
        <f t="shared" si="24"/>
        <v>53.343143999999825</v>
      </c>
      <c r="W14" s="11">
        <f t="shared" si="24"/>
        <v>72.457740000000001</v>
      </c>
      <c r="X14" s="11">
        <f t="shared" si="24"/>
        <v>67.356719999999839</v>
      </c>
      <c r="Y14" s="11">
        <f t="shared" ref="Y14" si="25">(Y12-Y11)/Y13/(Y10/60/60)</f>
        <v>372.92832000000038</v>
      </c>
      <c r="Z14" s="11">
        <f t="shared" ref="Z14:AW14" si="26">(Z12-Z11)/Z13/(Z10/60/60)</f>
        <v>113.26110792452839</v>
      </c>
      <c r="AA14" s="11">
        <f t="shared" si="26"/>
        <v>129.32784000000001</v>
      </c>
      <c r="AB14" s="11">
        <f t="shared" si="26"/>
        <v>0</v>
      </c>
      <c r="AC14" s="11">
        <f t="shared" si="26"/>
        <v>0</v>
      </c>
      <c r="AD14" s="11">
        <f t="shared" si="26"/>
        <v>0</v>
      </c>
      <c r="AE14" s="11">
        <f t="shared" si="26"/>
        <v>0</v>
      </c>
      <c r="AF14" s="11">
        <f t="shared" si="26"/>
        <v>0</v>
      </c>
      <c r="AG14" s="11">
        <f t="shared" si="26"/>
        <v>0</v>
      </c>
      <c r="AH14" s="11">
        <f t="shared" si="26"/>
        <v>0</v>
      </c>
      <c r="AI14" s="11">
        <f t="shared" si="26"/>
        <v>0</v>
      </c>
      <c r="AJ14" s="11">
        <f t="shared" si="26"/>
        <v>0</v>
      </c>
      <c r="AK14" s="11">
        <f t="shared" si="26"/>
        <v>0</v>
      </c>
      <c r="AL14" s="11">
        <f t="shared" si="26"/>
        <v>0</v>
      </c>
      <c r="AM14" s="11">
        <f t="shared" si="26"/>
        <v>0</v>
      </c>
      <c r="AN14" s="11">
        <f t="shared" si="26"/>
        <v>33.35177454545456</v>
      </c>
      <c r="AO14" s="11">
        <f t="shared" si="26"/>
        <v>33.876403199999686</v>
      </c>
      <c r="AP14" s="11">
        <f t="shared" si="26"/>
        <v>0</v>
      </c>
      <c r="AQ14" s="11">
        <f t="shared" si="26"/>
        <v>46.179275882012966</v>
      </c>
      <c r="AR14" s="11">
        <f t="shared" si="26"/>
        <v>0</v>
      </c>
      <c r="AS14" s="11">
        <f t="shared" si="26"/>
        <v>0</v>
      </c>
      <c r="AT14" s="11">
        <f t="shared" si="26"/>
        <v>0</v>
      </c>
      <c r="AU14" s="11">
        <f t="shared" si="26"/>
        <v>0</v>
      </c>
      <c r="AV14" s="11">
        <f t="shared" si="26"/>
        <v>0</v>
      </c>
      <c r="AW14" s="11">
        <f t="shared" si="26"/>
        <v>115.90764631578948</v>
      </c>
    </row>
    <row r="15" spans="1:49" x14ac:dyDescent="0.35">
      <c r="A15" s="6" t="s">
        <v>14</v>
      </c>
      <c r="B15" s="12">
        <f t="shared" ref="B15:X15" si="27">B14/1000</f>
        <v>0</v>
      </c>
      <c r="C15" s="12">
        <f t="shared" si="27"/>
        <v>0</v>
      </c>
      <c r="D15" s="12">
        <f t="shared" si="27"/>
        <v>0.21110661818181817</v>
      </c>
      <c r="E15" s="12">
        <f t="shared" si="27"/>
        <v>9.3471761454545485E-2</v>
      </c>
      <c r="F15" s="12">
        <f t="shared" si="27"/>
        <v>7.6217231020408199E-2</v>
      </c>
      <c r="G15" s="12">
        <f t="shared" si="27"/>
        <v>9.1445510769230617E-2</v>
      </c>
      <c r="H15" s="12">
        <f t="shared" si="27"/>
        <v>0</v>
      </c>
      <c r="I15" s="12">
        <f t="shared" si="27"/>
        <v>0</v>
      </c>
      <c r="J15" s="12">
        <f t="shared" si="27"/>
        <v>0.14699436901185739</v>
      </c>
      <c r="K15" s="12">
        <f t="shared" si="27"/>
        <v>0</v>
      </c>
      <c r="L15" s="12">
        <f t="shared" si="27"/>
        <v>0.21992742981818172</v>
      </c>
      <c r="M15" s="12">
        <f t="shared" si="27"/>
        <v>0.24513072905511146</v>
      </c>
      <c r="N15" s="12">
        <f t="shared" si="27"/>
        <v>6.1797954098360947E-2</v>
      </c>
      <c r="O15" s="12">
        <f t="shared" si="27"/>
        <v>4.7376530526315727E-2</v>
      </c>
      <c r="P15" s="12">
        <f t="shared" si="27"/>
        <v>8.0235822857142938E-2</v>
      </c>
      <c r="Q15" s="12">
        <f t="shared" si="27"/>
        <v>0.17671796129032222</v>
      </c>
      <c r="R15" s="12">
        <f t="shared" si="27"/>
        <v>0.28216641626893535</v>
      </c>
      <c r="S15" s="12">
        <f t="shared" si="27"/>
        <v>5.4135771428571053E-2</v>
      </c>
      <c r="T15" s="12">
        <f t="shared" si="27"/>
        <v>0.12474420779220792</v>
      </c>
      <c r="U15" s="12">
        <f t="shared" si="27"/>
        <v>7.8384537931034393E-2</v>
      </c>
      <c r="V15" s="12">
        <f t="shared" si="27"/>
        <v>5.3343143999999822E-2</v>
      </c>
      <c r="W15" s="12">
        <f t="shared" si="27"/>
        <v>7.2457740000000007E-2</v>
      </c>
      <c r="X15" s="12">
        <f t="shared" si="27"/>
        <v>6.7356719999999842E-2</v>
      </c>
      <c r="Y15" s="12">
        <f t="shared" ref="Y15" si="28">Y14/1000</f>
        <v>0.37292832000000037</v>
      </c>
      <c r="Z15" s="12">
        <f t="shared" ref="Z15:AW15" si="29">Z14/1000</f>
        <v>0.11326110792452838</v>
      </c>
      <c r="AA15" s="12">
        <f t="shared" si="29"/>
        <v>0.12932784</v>
      </c>
      <c r="AB15" s="12">
        <f t="shared" si="29"/>
        <v>0</v>
      </c>
      <c r="AC15" s="12">
        <f t="shared" si="29"/>
        <v>0</v>
      </c>
      <c r="AD15" s="12">
        <f t="shared" si="29"/>
        <v>0</v>
      </c>
      <c r="AE15" s="12">
        <f t="shared" si="29"/>
        <v>0</v>
      </c>
      <c r="AF15" s="12">
        <f t="shared" si="29"/>
        <v>0</v>
      </c>
      <c r="AG15" s="12">
        <f t="shared" si="29"/>
        <v>0</v>
      </c>
      <c r="AH15" s="12">
        <f t="shared" si="29"/>
        <v>0</v>
      </c>
      <c r="AI15" s="12">
        <f t="shared" si="29"/>
        <v>0</v>
      </c>
      <c r="AJ15" s="12">
        <f t="shared" si="29"/>
        <v>0</v>
      </c>
      <c r="AK15" s="12">
        <f t="shared" si="29"/>
        <v>0</v>
      </c>
      <c r="AL15" s="12">
        <f t="shared" si="29"/>
        <v>0</v>
      </c>
      <c r="AM15" s="12">
        <f t="shared" si="29"/>
        <v>0</v>
      </c>
      <c r="AN15" s="12">
        <f t="shared" si="29"/>
        <v>3.3351774545454557E-2</v>
      </c>
      <c r="AO15" s="12">
        <f t="shared" si="29"/>
        <v>3.3876403199999683E-2</v>
      </c>
      <c r="AP15" s="12">
        <f t="shared" si="29"/>
        <v>0</v>
      </c>
      <c r="AQ15" s="12">
        <f t="shared" si="29"/>
        <v>4.6179275882012968E-2</v>
      </c>
      <c r="AR15" s="12">
        <f t="shared" si="29"/>
        <v>0</v>
      </c>
      <c r="AS15" s="12">
        <f t="shared" si="29"/>
        <v>0</v>
      </c>
      <c r="AT15" s="12">
        <f t="shared" si="29"/>
        <v>0</v>
      </c>
      <c r="AU15" s="12">
        <f t="shared" si="29"/>
        <v>0</v>
      </c>
      <c r="AV15" s="12">
        <f t="shared" si="29"/>
        <v>0</v>
      </c>
      <c r="AW15" s="12">
        <f t="shared" si="29"/>
        <v>0.11590764631578948</v>
      </c>
    </row>
    <row r="16" spans="1:49" x14ac:dyDescent="0.35">
      <c r="A16" s="1"/>
      <c r="B16" s="3"/>
      <c r="C16" s="13"/>
      <c r="D16" s="3"/>
      <c r="E16" s="3"/>
      <c r="S16" s="27"/>
    </row>
    <row r="17" spans="1:49" x14ac:dyDescent="0.35">
      <c r="A17" s="14" t="s">
        <v>15</v>
      </c>
      <c r="B17" s="5"/>
      <c r="C17" s="5" t="s">
        <v>59</v>
      </c>
      <c r="D17" s="5">
        <v>44252</v>
      </c>
      <c r="E17" s="5">
        <v>44252</v>
      </c>
      <c r="F17" s="5">
        <v>44252</v>
      </c>
      <c r="G17" s="5">
        <v>44252</v>
      </c>
      <c r="H17" s="5"/>
      <c r="I17" s="5"/>
      <c r="J17" s="5">
        <v>44252</v>
      </c>
      <c r="K17" s="22"/>
      <c r="L17" s="5">
        <v>44252</v>
      </c>
      <c r="M17" s="5">
        <v>44252</v>
      </c>
      <c r="N17" s="5">
        <v>44252</v>
      </c>
      <c r="O17" s="5">
        <v>44252</v>
      </c>
      <c r="P17" s="5">
        <v>44252</v>
      </c>
      <c r="Q17" s="5">
        <v>44252</v>
      </c>
      <c r="R17" s="5">
        <v>44252</v>
      </c>
      <c r="S17" s="5">
        <v>44252</v>
      </c>
      <c r="T17" s="5">
        <v>44252</v>
      </c>
      <c r="U17" s="5">
        <v>44252</v>
      </c>
      <c r="V17" s="5">
        <v>44252</v>
      </c>
      <c r="W17" s="5">
        <v>44252</v>
      </c>
      <c r="X17" s="5">
        <v>44252</v>
      </c>
      <c r="Y17" s="5">
        <v>44252</v>
      </c>
      <c r="Z17" s="5">
        <v>44252</v>
      </c>
      <c r="AA17" s="5">
        <v>44252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>
        <v>44260</v>
      </c>
      <c r="AO17" s="5">
        <v>44260</v>
      </c>
      <c r="AP17" s="5"/>
      <c r="AQ17" s="5">
        <v>44260</v>
      </c>
      <c r="AR17" s="5"/>
      <c r="AS17" s="5"/>
      <c r="AT17" s="5"/>
      <c r="AU17" s="5"/>
      <c r="AV17" s="5"/>
      <c r="AW17" s="5">
        <v>44252</v>
      </c>
    </row>
    <row r="18" spans="1:49" x14ac:dyDescent="0.35">
      <c r="A18" s="3">
        <v>1</v>
      </c>
      <c r="B18" s="17"/>
      <c r="C18" s="17"/>
      <c r="D18" s="17">
        <v>403.58199999999999</v>
      </c>
      <c r="E18" s="17">
        <v>433.41199999999998</v>
      </c>
      <c r="F18" s="17">
        <v>421.69499999999999</v>
      </c>
      <c r="G18" s="17">
        <v>397.04500000000002</v>
      </c>
      <c r="H18" s="17"/>
      <c r="I18" s="17"/>
      <c r="J18" s="17">
        <v>393.38</v>
      </c>
      <c r="K18" s="23"/>
      <c r="L18" s="17">
        <v>513.67700000000002</v>
      </c>
      <c r="M18" s="17">
        <v>385.94</v>
      </c>
      <c r="N18" s="17">
        <v>459.09</v>
      </c>
      <c r="O18" s="17">
        <v>430.45400000000001</v>
      </c>
      <c r="P18" s="17">
        <v>398.84399999999999</v>
      </c>
      <c r="Q18" s="17">
        <v>400.72300000000001</v>
      </c>
      <c r="R18" s="17">
        <v>402.02800000000002</v>
      </c>
      <c r="S18" s="17">
        <v>414.22</v>
      </c>
      <c r="T18" s="17">
        <v>389.46600000000001</v>
      </c>
      <c r="U18" s="17">
        <v>388.40699999999998</v>
      </c>
      <c r="V18" s="17">
        <v>409.166</v>
      </c>
      <c r="W18" s="17">
        <v>420.53500000000003</v>
      </c>
      <c r="X18" s="17">
        <v>439.93400000000003</v>
      </c>
      <c r="Y18" s="17">
        <v>488.64299999999997</v>
      </c>
      <c r="Z18" s="17">
        <v>450.89299999999997</v>
      </c>
      <c r="AA18" s="17">
        <v>411.53699999999998</v>
      </c>
      <c r="AB18" s="17"/>
      <c r="AC18" s="17"/>
      <c r="AD18" s="26"/>
      <c r="AE18" s="17"/>
      <c r="AF18" s="17"/>
      <c r="AG18" s="17"/>
      <c r="AH18" s="17"/>
      <c r="AI18" s="17"/>
      <c r="AJ18" s="17"/>
      <c r="AK18" s="17"/>
      <c r="AL18" s="17"/>
      <c r="AM18" s="17"/>
      <c r="AN18" s="17">
        <v>393.30700000000002</v>
      </c>
      <c r="AO18" s="17">
        <v>411.935</v>
      </c>
      <c r="AP18" s="17"/>
      <c r="AQ18" s="17">
        <v>393.863</v>
      </c>
      <c r="AR18" s="17"/>
      <c r="AS18" s="17"/>
      <c r="AT18" s="17"/>
      <c r="AU18" s="17"/>
      <c r="AV18" s="17"/>
      <c r="AW18" s="17">
        <v>473.59699999999998</v>
      </c>
    </row>
    <row r="19" spans="1:49" x14ac:dyDescent="0.35">
      <c r="A19" s="3">
        <v>2</v>
      </c>
      <c r="B19" s="17"/>
      <c r="C19" s="17"/>
      <c r="D19" s="17">
        <v>402.89699999999999</v>
      </c>
      <c r="E19" s="17">
        <v>433.74900000000002</v>
      </c>
      <c r="F19" s="17">
        <v>421.428</v>
      </c>
      <c r="G19" s="17">
        <v>395.57</v>
      </c>
      <c r="H19" s="17"/>
      <c r="I19" s="17"/>
      <c r="J19" s="17">
        <v>395.12200000000001</v>
      </c>
      <c r="K19" s="23"/>
      <c r="L19" s="17">
        <v>514.476</v>
      </c>
      <c r="M19" s="17">
        <v>387.41899999999998</v>
      </c>
      <c r="N19" s="17">
        <v>457.89699999999999</v>
      </c>
      <c r="O19" s="17">
        <v>430.17599999999999</v>
      </c>
      <c r="P19" s="17">
        <v>399.25099999999998</v>
      </c>
      <c r="Q19" s="17">
        <v>401.49099999999999</v>
      </c>
      <c r="R19" s="17">
        <v>403.55799999999999</v>
      </c>
      <c r="S19" s="17">
        <v>414.577</v>
      </c>
      <c r="T19" s="17">
        <v>389.20299999999997</v>
      </c>
      <c r="U19" s="17">
        <v>389.50700000000001</v>
      </c>
      <c r="V19" s="17">
        <v>408.09</v>
      </c>
      <c r="W19" s="17">
        <v>420.17500000000001</v>
      </c>
      <c r="X19" s="17">
        <v>441.23599999999999</v>
      </c>
      <c r="Y19" s="17">
        <v>490.16699999999997</v>
      </c>
      <c r="Z19" s="17">
        <v>450.22899999999998</v>
      </c>
      <c r="AA19" s="17">
        <v>413.03699999999998</v>
      </c>
      <c r="AB19" s="17"/>
      <c r="AC19" s="17"/>
      <c r="AD19" s="26"/>
      <c r="AE19" s="17"/>
      <c r="AF19" s="17"/>
      <c r="AG19" s="17"/>
      <c r="AH19" s="17"/>
      <c r="AI19" s="17"/>
      <c r="AJ19" s="17"/>
      <c r="AK19" s="17"/>
      <c r="AL19" s="17"/>
      <c r="AM19" s="17"/>
      <c r="AN19" s="17">
        <v>392.92700000000002</v>
      </c>
      <c r="AO19" s="17">
        <v>413.096</v>
      </c>
      <c r="AP19" s="17"/>
      <c r="AQ19" s="17">
        <v>393.12900000000002</v>
      </c>
      <c r="AR19" s="17"/>
      <c r="AS19" s="17"/>
      <c r="AT19" s="17"/>
      <c r="AU19" s="17"/>
      <c r="AV19" s="17"/>
      <c r="AW19" s="17">
        <v>472.96300000000002</v>
      </c>
    </row>
    <row r="20" spans="1:49" x14ac:dyDescent="0.35">
      <c r="A20" s="3">
        <v>3</v>
      </c>
      <c r="B20" s="17"/>
      <c r="C20" s="17"/>
      <c r="D20" s="17">
        <v>402.53199999999998</v>
      </c>
      <c r="E20" s="17">
        <v>432.30500000000001</v>
      </c>
      <c r="F20" s="17">
        <v>422.31799999999998</v>
      </c>
      <c r="G20" s="17">
        <v>395.77699999999999</v>
      </c>
      <c r="H20" s="17"/>
      <c r="I20" s="17"/>
      <c r="J20" s="17">
        <v>394.62799999999999</v>
      </c>
      <c r="K20" s="23"/>
      <c r="L20" s="17">
        <v>514.63199999999995</v>
      </c>
      <c r="M20" s="17">
        <v>387.26499999999999</v>
      </c>
      <c r="N20" s="17">
        <v>458.459</v>
      </c>
      <c r="O20" s="17">
        <v>430.01400000000001</v>
      </c>
      <c r="P20" s="17">
        <v>399.52800000000002</v>
      </c>
      <c r="Q20" s="17">
        <v>402.13299999999998</v>
      </c>
      <c r="R20" s="17">
        <v>403.68</v>
      </c>
      <c r="S20" s="17">
        <v>415.64600000000002</v>
      </c>
      <c r="T20" s="17">
        <v>389.39800000000002</v>
      </c>
      <c r="U20" s="17">
        <v>388.87900000000002</v>
      </c>
      <c r="V20" s="17">
        <v>408.74700000000001</v>
      </c>
      <c r="W20" s="17">
        <v>421.05</v>
      </c>
      <c r="X20" s="17">
        <v>440.54399999999998</v>
      </c>
      <c r="Y20" s="17">
        <v>490.78500000000003</v>
      </c>
      <c r="Z20" s="17">
        <v>451.04899999999998</v>
      </c>
      <c r="AA20" s="17">
        <v>412.96699999999998</v>
      </c>
      <c r="AB20" s="17"/>
      <c r="AC20" s="17"/>
      <c r="AD20" s="26"/>
      <c r="AE20" s="17"/>
      <c r="AF20" s="17"/>
      <c r="AG20" s="17"/>
      <c r="AH20" s="17"/>
      <c r="AI20" s="17"/>
      <c r="AJ20" s="17"/>
      <c r="AK20" s="17"/>
      <c r="AL20" s="17"/>
      <c r="AM20" s="17"/>
      <c r="AN20" s="17">
        <v>391.83499999999998</v>
      </c>
      <c r="AO20" s="17">
        <v>411.572</v>
      </c>
      <c r="AP20" s="17"/>
      <c r="AQ20" s="17">
        <v>391.48700000000002</v>
      </c>
      <c r="AR20" s="17"/>
      <c r="AS20" s="17"/>
      <c r="AT20" s="17"/>
      <c r="AU20" s="17"/>
      <c r="AV20" s="17"/>
      <c r="AW20" s="17">
        <v>473.185</v>
      </c>
    </row>
    <row r="21" spans="1:49" x14ac:dyDescent="0.35">
      <c r="A21" s="3">
        <v>4</v>
      </c>
      <c r="B21" s="17"/>
      <c r="C21" s="17"/>
      <c r="D21" s="17">
        <v>405.10700000000003</v>
      </c>
      <c r="E21" s="17">
        <v>434.33199999999999</v>
      </c>
      <c r="F21" s="17">
        <v>422.11799999999999</v>
      </c>
      <c r="G21" s="17">
        <v>396.12299999999999</v>
      </c>
      <c r="H21" s="17"/>
      <c r="I21" s="17"/>
      <c r="J21" s="17">
        <v>396.12400000000002</v>
      </c>
      <c r="K21" s="23"/>
      <c r="L21" s="17">
        <v>514.827</v>
      </c>
      <c r="M21" s="17">
        <v>388</v>
      </c>
      <c r="N21" s="17">
        <v>459.05099999999999</v>
      </c>
      <c r="O21" s="17">
        <v>429.17599999999999</v>
      </c>
      <c r="P21" s="17">
        <v>399.66199999999998</v>
      </c>
      <c r="Q21" s="17">
        <v>398.71199999999999</v>
      </c>
      <c r="R21" s="17">
        <v>404.411</v>
      </c>
      <c r="S21" s="17">
        <v>412.72699999999998</v>
      </c>
      <c r="T21" s="17">
        <v>388.52699999999999</v>
      </c>
      <c r="U21" s="17">
        <v>389.51100000000002</v>
      </c>
      <c r="V21" s="17">
        <v>408.03100000000001</v>
      </c>
      <c r="W21" s="17">
        <v>419.79300000000001</v>
      </c>
      <c r="X21" s="17">
        <v>439.529</v>
      </c>
      <c r="Y21" s="17">
        <v>492.11099999999999</v>
      </c>
      <c r="Z21" s="17">
        <v>452.54399999999998</v>
      </c>
      <c r="AA21" s="17">
        <v>412.43299999999999</v>
      </c>
      <c r="AB21" s="17"/>
      <c r="AC21" s="17"/>
      <c r="AD21" s="26"/>
      <c r="AE21" s="17"/>
      <c r="AF21" s="17"/>
      <c r="AG21" s="17"/>
      <c r="AH21" s="17"/>
      <c r="AI21" s="17"/>
      <c r="AJ21" s="17"/>
      <c r="AK21" s="17"/>
      <c r="AL21" s="17"/>
      <c r="AM21" s="17"/>
      <c r="AN21" s="17">
        <v>392.16399999999999</v>
      </c>
      <c r="AO21" s="17">
        <v>410.86799999999999</v>
      </c>
      <c r="AP21" s="17"/>
      <c r="AQ21" s="17">
        <v>393.36</v>
      </c>
      <c r="AR21" s="17"/>
      <c r="AS21" s="17"/>
      <c r="AT21" s="17"/>
      <c r="AU21" s="17"/>
      <c r="AV21" s="17"/>
      <c r="AW21" s="17">
        <v>473.07499999999999</v>
      </c>
    </row>
    <row r="22" spans="1:49" x14ac:dyDescent="0.35">
      <c r="A22" s="3">
        <v>5</v>
      </c>
      <c r="B22" s="17"/>
      <c r="C22" s="17"/>
      <c r="D22" s="17">
        <v>405.57900000000001</v>
      </c>
      <c r="E22" s="17">
        <v>432.904</v>
      </c>
      <c r="F22" s="17">
        <v>421.36599999999999</v>
      </c>
      <c r="G22" s="17">
        <v>396.685</v>
      </c>
      <c r="H22" s="17"/>
      <c r="I22" s="17"/>
      <c r="J22" s="17">
        <v>395.702</v>
      </c>
      <c r="K22" s="23"/>
      <c r="L22" s="17">
        <v>515.31299999999999</v>
      </c>
      <c r="M22" s="17">
        <v>388.62900000000002</v>
      </c>
      <c r="N22" s="17">
        <v>458.61399999999998</v>
      </c>
      <c r="O22" s="17">
        <v>429.47399999999999</v>
      </c>
      <c r="P22" s="17">
        <v>398.125</v>
      </c>
      <c r="Q22" s="17">
        <v>399.505</v>
      </c>
      <c r="R22" s="17">
        <v>404.80399999999997</v>
      </c>
      <c r="S22" s="17">
        <v>416.37700000000001</v>
      </c>
      <c r="T22" s="17">
        <v>389.16300000000001</v>
      </c>
      <c r="U22" s="17">
        <v>390.02600000000001</v>
      </c>
      <c r="V22" s="17">
        <v>406.62299999999999</v>
      </c>
      <c r="W22" s="17">
        <v>421.04599999999999</v>
      </c>
      <c r="X22" s="17">
        <v>441.53899999999999</v>
      </c>
      <c r="Y22" s="17">
        <v>493.86700000000002</v>
      </c>
      <c r="Z22" s="17">
        <v>451.298</v>
      </c>
      <c r="AA22" s="17">
        <v>412.85500000000002</v>
      </c>
      <c r="AB22" s="17"/>
      <c r="AC22" s="17"/>
      <c r="AD22" s="26"/>
      <c r="AE22" s="17"/>
      <c r="AF22" s="17"/>
      <c r="AG22" s="17"/>
      <c r="AH22" s="17"/>
      <c r="AI22" s="17"/>
      <c r="AJ22" s="17"/>
      <c r="AK22" s="17"/>
      <c r="AL22" s="17"/>
      <c r="AM22" s="17"/>
      <c r="AN22" s="17">
        <v>392.46499999999997</v>
      </c>
      <c r="AO22" s="17">
        <v>409.45699999999999</v>
      </c>
      <c r="AP22" s="17"/>
      <c r="AQ22" s="17">
        <v>392.726</v>
      </c>
      <c r="AR22" s="17"/>
      <c r="AS22" s="17"/>
      <c r="AT22" s="17"/>
      <c r="AU22" s="17"/>
      <c r="AV22" s="17"/>
      <c r="AW22" s="17">
        <v>474.17599999999999</v>
      </c>
    </row>
    <row r="23" spans="1:49" x14ac:dyDescent="0.35">
      <c r="A23" s="3">
        <v>6</v>
      </c>
      <c r="B23" s="17"/>
      <c r="C23" s="17"/>
      <c r="D23" s="17">
        <v>405.45699999999999</v>
      </c>
      <c r="E23" s="17">
        <v>435.185</v>
      </c>
      <c r="F23" s="17">
        <v>421.49400000000003</v>
      </c>
      <c r="G23" s="17">
        <v>395.32299999999998</v>
      </c>
      <c r="H23" s="17"/>
      <c r="I23" s="17"/>
      <c r="J23" s="17">
        <v>395.55</v>
      </c>
      <c r="K23" s="23"/>
      <c r="L23" s="17">
        <v>515.62</v>
      </c>
      <c r="M23" s="17">
        <v>388.23500000000001</v>
      </c>
      <c r="N23" s="17">
        <v>458.30799999999999</v>
      </c>
      <c r="O23" s="17">
        <v>430.00700000000001</v>
      </c>
      <c r="P23" s="17">
        <v>400.09</v>
      </c>
      <c r="Q23" s="17">
        <v>400.47500000000002</v>
      </c>
      <c r="R23" s="17">
        <v>405.339</v>
      </c>
      <c r="S23" s="17">
        <v>414.53100000000001</v>
      </c>
      <c r="T23" s="17">
        <v>389.935</v>
      </c>
      <c r="U23" s="17">
        <v>389.62</v>
      </c>
      <c r="V23" s="17">
        <v>404.66199999999998</v>
      </c>
      <c r="W23" s="17">
        <v>420.53699999999998</v>
      </c>
      <c r="X23" s="17">
        <v>439.51900000000001</v>
      </c>
      <c r="Y23" s="17">
        <v>493.54300000000001</v>
      </c>
      <c r="Z23" s="17">
        <v>452.65800000000002</v>
      </c>
      <c r="AA23" s="17">
        <v>412.24299999999999</v>
      </c>
      <c r="AB23" s="17"/>
      <c r="AC23" s="17"/>
      <c r="AD23" s="26"/>
      <c r="AE23" s="17"/>
      <c r="AF23" s="17"/>
      <c r="AG23" s="17"/>
      <c r="AH23" s="17"/>
      <c r="AI23" s="17"/>
      <c r="AJ23" s="17"/>
      <c r="AK23" s="17"/>
      <c r="AL23" s="17"/>
      <c r="AM23" s="17"/>
      <c r="AN23" s="17">
        <v>392.53800000000001</v>
      </c>
      <c r="AO23" s="17">
        <v>411.06</v>
      </c>
      <c r="AP23" s="17"/>
      <c r="AQ23" s="17">
        <v>394.63</v>
      </c>
      <c r="AR23" s="17"/>
      <c r="AS23" s="17"/>
      <c r="AT23" s="17"/>
      <c r="AU23" s="17"/>
      <c r="AV23" s="17"/>
      <c r="AW23" s="17">
        <v>473.91199999999998</v>
      </c>
    </row>
    <row r="24" spans="1:49" x14ac:dyDescent="0.35">
      <c r="A24" s="3">
        <v>7</v>
      </c>
      <c r="B24" s="17"/>
      <c r="C24" s="17"/>
      <c r="D24" s="17">
        <v>405.32499999999999</v>
      </c>
      <c r="E24" s="17">
        <v>433.53699999999998</v>
      </c>
      <c r="F24" s="17">
        <v>421.28</v>
      </c>
      <c r="G24" s="17">
        <v>397.452</v>
      </c>
      <c r="H24" s="17"/>
      <c r="I24" s="17"/>
      <c r="J24" s="17">
        <v>395.72500000000002</v>
      </c>
      <c r="K24" s="23"/>
      <c r="L24" s="17">
        <v>515.19100000000003</v>
      </c>
      <c r="M24" s="17">
        <v>389.38499999999999</v>
      </c>
      <c r="N24" s="17">
        <v>459.72800000000001</v>
      </c>
      <c r="O24" s="17">
        <v>429.28199999999998</v>
      </c>
      <c r="P24" s="17">
        <v>399.91399999999999</v>
      </c>
      <c r="Q24" s="17">
        <v>399.56900000000002</v>
      </c>
      <c r="R24" s="17">
        <v>405.40300000000002</v>
      </c>
      <c r="S24" s="17">
        <v>414.42700000000002</v>
      </c>
      <c r="T24" s="17">
        <v>389.71800000000002</v>
      </c>
      <c r="U24" s="17">
        <v>389.21499999999997</v>
      </c>
      <c r="V24" s="17">
        <v>407.245</v>
      </c>
      <c r="W24" s="17">
        <v>420.10700000000003</v>
      </c>
      <c r="X24" s="17">
        <v>439.49700000000001</v>
      </c>
      <c r="Y24" s="17">
        <v>494.52199999999999</v>
      </c>
      <c r="Z24" s="17">
        <v>452.42700000000002</v>
      </c>
      <c r="AA24" s="17">
        <v>412.16399999999999</v>
      </c>
      <c r="AB24" s="17"/>
      <c r="AC24" s="17"/>
      <c r="AD24" s="26"/>
      <c r="AE24" s="17"/>
      <c r="AF24" s="17"/>
      <c r="AG24" s="17"/>
      <c r="AH24" s="17"/>
      <c r="AI24" s="17"/>
      <c r="AJ24" s="17"/>
      <c r="AK24" s="17"/>
      <c r="AL24" s="17"/>
      <c r="AM24" s="17"/>
      <c r="AN24" s="17">
        <v>392.38900000000001</v>
      </c>
      <c r="AO24" s="17">
        <v>411.197</v>
      </c>
      <c r="AP24" s="17"/>
      <c r="AQ24" s="17">
        <v>393.35899999999998</v>
      </c>
      <c r="AR24" s="17"/>
      <c r="AS24" s="17"/>
      <c r="AT24" s="17"/>
      <c r="AU24" s="17"/>
      <c r="AV24" s="17"/>
      <c r="AW24" s="17">
        <v>475.363</v>
      </c>
    </row>
    <row r="25" spans="1:49" x14ac:dyDescent="0.35">
      <c r="A25" s="3">
        <v>8</v>
      </c>
      <c r="B25" s="17"/>
      <c r="C25" s="17"/>
      <c r="D25" s="17">
        <v>406.18900000000002</v>
      </c>
      <c r="E25" s="17">
        <v>433.43400000000003</v>
      </c>
      <c r="F25" s="17">
        <v>421.73899999999998</v>
      </c>
      <c r="G25" s="17">
        <v>395.23500000000001</v>
      </c>
      <c r="H25" s="17"/>
      <c r="I25" s="17"/>
      <c r="J25" s="17">
        <v>396.35899999999998</v>
      </c>
      <c r="K25" s="23"/>
      <c r="L25" s="17">
        <v>515.779</v>
      </c>
      <c r="M25" s="17">
        <v>389.97500000000002</v>
      </c>
      <c r="N25" s="17">
        <v>459</v>
      </c>
      <c r="O25" s="17">
        <v>430.34500000000003</v>
      </c>
      <c r="P25" s="17">
        <v>400.26</v>
      </c>
      <c r="Q25" s="17">
        <v>399.42899999999997</v>
      </c>
      <c r="R25" s="17">
        <v>406.24</v>
      </c>
      <c r="S25" s="17">
        <v>415.39100000000002</v>
      </c>
      <c r="T25" s="17">
        <v>388.76600000000002</v>
      </c>
      <c r="U25" s="17">
        <v>389.23</v>
      </c>
      <c r="V25" s="17">
        <v>405.76799999999997</v>
      </c>
      <c r="W25" s="17">
        <v>420.62400000000002</v>
      </c>
      <c r="X25" s="17">
        <v>438.99</v>
      </c>
      <c r="Y25" s="17">
        <v>496.87200000000001</v>
      </c>
      <c r="Z25" s="17">
        <v>453.67899999999997</v>
      </c>
      <c r="AA25" s="17">
        <v>411.93400000000003</v>
      </c>
      <c r="AB25" s="17"/>
      <c r="AC25" s="17"/>
      <c r="AD25" s="26"/>
      <c r="AE25" s="17"/>
      <c r="AF25" s="17"/>
      <c r="AG25" s="17"/>
      <c r="AH25" s="17"/>
      <c r="AI25" s="17"/>
      <c r="AJ25" s="17"/>
      <c r="AK25" s="17"/>
      <c r="AL25" s="17"/>
      <c r="AM25" s="17"/>
      <c r="AN25" s="17">
        <v>393.084</v>
      </c>
      <c r="AO25" s="17">
        <v>411.88200000000001</v>
      </c>
      <c r="AP25" s="17"/>
      <c r="AQ25" s="17">
        <v>394.55700000000002</v>
      </c>
      <c r="AR25" s="17"/>
      <c r="AS25" s="17"/>
      <c r="AT25" s="17"/>
      <c r="AU25" s="17"/>
      <c r="AV25" s="17"/>
      <c r="AW25" s="17">
        <v>475.39100000000002</v>
      </c>
    </row>
    <row r="26" spans="1:49" x14ac:dyDescent="0.35">
      <c r="A26" s="3">
        <v>9</v>
      </c>
      <c r="B26" s="17"/>
      <c r="C26" s="17"/>
      <c r="D26" s="17">
        <v>402.786</v>
      </c>
      <c r="E26" s="17">
        <v>433.12099999999998</v>
      </c>
      <c r="F26" s="17">
        <v>421.42099999999999</v>
      </c>
      <c r="G26" s="17">
        <v>395.762</v>
      </c>
      <c r="H26" s="17"/>
      <c r="I26" s="17"/>
      <c r="J26" s="17">
        <v>396.28300000000002</v>
      </c>
      <c r="K26" s="23"/>
      <c r="L26" s="17">
        <v>516.76800000000003</v>
      </c>
      <c r="M26" s="17">
        <v>389.65899999999999</v>
      </c>
      <c r="N26" s="17">
        <v>459.06099999999998</v>
      </c>
      <c r="O26" s="17">
        <v>430.60599999999999</v>
      </c>
      <c r="P26" s="17">
        <v>400.12</v>
      </c>
      <c r="Q26" s="17">
        <v>398.541</v>
      </c>
      <c r="R26" s="17">
        <v>406.96199999999999</v>
      </c>
      <c r="S26" s="17">
        <v>415.64</v>
      </c>
      <c r="T26" s="17">
        <v>388.11200000000002</v>
      </c>
      <c r="U26" s="17">
        <v>388.47699999999998</v>
      </c>
      <c r="V26" s="17">
        <v>406.91300000000001</v>
      </c>
      <c r="W26" s="17">
        <v>418.70699999999999</v>
      </c>
      <c r="X26" s="17">
        <v>439.11500000000001</v>
      </c>
      <c r="Y26" s="17">
        <v>494.952</v>
      </c>
      <c r="Z26" s="17">
        <v>452.20499999999998</v>
      </c>
      <c r="AA26" s="17">
        <v>412.50599999999997</v>
      </c>
      <c r="AB26" s="17"/>
      <c r="AC26" s="17"/>
      <c r="AD26" s="26"/>
      <c r="AE26" s="17"/>
      <c r="AF26" s="17"/>
      <c r="AG26" s="17"/>
      <c r="AH26" s="17"/>
      <c r="AI26" s="17"/>
      <c r="AJ26" s="17"/>
      <c r="AK26" s="17"/>
      <c r="AL26" s="17"/>
      <c r="AM26" s="17"/>
      <c r="AN26" s="17">
        <v>393.11799999999999</v>
      </c>
      <c r="AO26" s="17">
        <v>412.12799999999999</v>
      </c>
      <c r="AP26" s="17"/>
      <c r="AQ26" s="17">
        <v>395.21600000000001</v>
      </c>
      <c r="AR26" s="17"/>
      <c r="AS26" s="17"/>
      <c r="AT26" s="17"/>
      <c r="AU26" s="17"/>
      <c r="AV26" s="17"/>
      <c r="AW26" s="17">
        <v>474.95</v>
      </c>
    </row>
    <row r="27" spans="1:49" x14ac:dyDescent="0.35">
      <c r="A27" s="3">
        <v>10</v>
      </c>
      <c r="B27" s="17"/>
      <c r="C27" s="17"/>
      <c r="D27" s="17">
        <v>403.50299999999999</v>
      </c>
      <c r="E27" s="17">
        <v>432.61399999999998</v>
      </c>
      <c r="F27" s="17">
        <v>422.22800000000001</v>
      </c>
      <c r="G27" s="17">
        <v>397.94099999999997</v>
      </c>
      <c r="H27" s="17"/>
      <c r="I27" s="17"/>
      <c r="J27" s="17">
        <v>394.73500000000001</v>
      </c>
      <c r="K27" s="23"/>
      <c r="L27" s="17">
        <v>516.10699999999997</v>
      </c>
      <c r="M27" s="17">
        <v>388.322</v>
      </c>
      <c r="N27" s="17">
        <v>460.53</v>
      </c>
      <c r="O27" s="17">
        <v>431.327</v>
      </c>
      <c r="P27" s="17">
        <v>399.90199999999999</v>
      </c>
      <c r="Q27" s="17">
        <v>398.49299999999999</v>
      </c>
      <c r="R27" s="17">
        <v>407.267</v>
      </c>
      <c r="S27" s="17">
        <v>414.57499999999999</v>
      </c>
      <c r="T27" s="17">
        <v>389.13200000000001</v>
      </c>
      <c r="U27" s="17">
        <v>388.50700000000001</v>
      </c>
      <c r="V27" s="17">
        <v>407.09800000000001</v>
      </c>
      <c r="W27" s="17">
        <v>418.80599999999998</v>
      </c>
      <c r="X27" s="17">
        <v>439.62</v>
      </c>
      <c r="Y27" s="17">
        <v>496.16</v>
      </c>
      <c r="Z27" s="17">
        <v>452.24</v>
      </c>
      <c r="AA27" s="17">
        <v>411.70400000000001</v>
      </c>
      <c r="AB27" s="17"/>
      <c r="AC27" s="17"/>
      <c r="AD27" s="26"/>
      <c r="AE27" s="17"/>
      <c r="AF27" s="17"/>
      <c r="AG27" s="17"/>
      <c r="AH27" s="17"/>
      <c r="AI27" s="17"/>
      <c r="AJ27" s="17"/>
      <c r="AK27" s="17"/>
      <c r="AL27" s="17"/>
      <c r="AM27" s="17"/>
      <c r="AN27" s="17">
        <v>393.4</v>
      </c>
      <c r="AO27" s="17">
        <v>410.38799999999998</v>
      </c>
      <c r="AP27" s="17"/>
      <c r="AQ27" s="17">
        <v>394.79399999999998</v>
      </c>
      <c r="AR27" s="17"/>
      <c r="AS27" s="17"/>
      <c r="AT27" s="17"/>
      <c r="AU27" s="17"/>
      <c r="AV27" s="17"/>
      <c r="AW27" s="17">
        <v>475.57299999999998</v>
      </c>
    </row>
    <row r="28" spans="1:49" x14ac:dyDescent="0.35">
      <c r="A28" s="3">
        <v>11</v>
      </c>
      <c r="B28" s="17"/>
      <c r="C28" s="17"/>
      <c r="D28" s="17">
        <v>404.17899999999997</v>
      </c>
      <c r="E28" s="17">
        <v>433.25799999999998</v>
      </c>
      <c r="F28" s="17">
        <v>421.72699999999998</v>
      </c>
      <c r="G28" s="17">
        <v>396.45400000000001</v>
      </c>
      <c r="H28" s="17"/>
      <c r="I28" s="17"/>
      <c r="J28" s="17">
        <v>395.52199999999999</v>
      </c>
      <c r="K28" s="23"/>
      <c r="L28" s="17">
        <v>516.404</v>
      </c>
      <c r="M28" s="17">
        <v>388.28300000000002</v>
      </c>
      <c r="N28" s="17">
        <v>459.608</v>
      </c>
      <c r="O28" s="17">
        <v>431.17399999999998</v>
      </c>
      <c r="P28" s="17">
        <v>400.41500000000002</v>
      </c>
      <c r="Q28" s="17">
        <v>399.096</v>
      </c>
      <c r="R28" s="17">
        <v>406.685</v>
      </c>
      <c r="S28" s="17">
        <v>415.202</v>
      </c>
      <c r="T28" s="17">
        <v>390.48500000000001</v>
      </c>
      <c r="U28" s="17">
        <v>388.375</v>
      </c>
      <c r="V28" s="17">
        <v>406.18400000000003</v>
      </c>
      <c r="W28" s="17">
        <v>419.78399999999999</v>
      </c>
      <c r="X28" s="17">
        <v>440.27600000000001</v>
      </c>
      <c r="Y28" s="17">
        <v>497.721</v>
      </c>
      <c r="Z28" s="17">
        <v>454.21499999999997</v>
      </c>
      <c r="AA28" s="17">
        <v>413.61599999999999</v>
      </c>
      <c r="AB28" s="17"/>
      <c r="AC28" s="17"/>
      <c r="AD28" s="26"/>
      <c r="AE28" s="17"/>
      <c r="AF28" s="17"/>
      <c r="AG28" s="17"/>
      <c r="AH28" s="17"/>
      <c r="AI28" s="17"/>
      <c r="AJ28" s="17"/>
      <c r="AK28" s="17"/>
      <c r="AL28" s="17"/>
      <c r="AM28" s="17"/>
      <c r="AN28" s="17">
        <v>394.31599999999997</v>
      </c>
      <c r="AO28" s="17">
        <v>411.59300000000002</v>
      </c>
      <c r="AP28" s="17"/>
      <c r="AQ28" s="17">
        <v>394.19600000000003</v>
      </c>
      <c r="AR28" s="17"/>
      <c r="AS28" s="17"/>
      <c r="AT28" s="17"/>
      <c r="AU28" s="17"/>
      <c r="AV28" s="17"/>
      <c r="AW28" s="17">
        <v>476.15100000000001</v>
      </c>
    </row>
    <row r="29" spans="1:49" x14ac:dyDescent="0.35">
      <c r="A29" s="3">
        <v>12</v>
      </c>
      <c r="B29" s="17"/>
      <c r="C29" s="17"/>
      <c r="D29" s="17">
        <v>404.5</v>
      </c>
      <c r="E29" s="17">
        <v>432.86099999999999</v>
      </c>
      <c r="F29" s="17">
        <v>421.20800000000003</v>
      </c>
      <c r="G29" s="17">
        <v>396.77300000000002</v>
      </c>
      <c r="H29" s="17"/>
      <c r="I29" s="17"/>
      <c r="J29" s="17">
        <v>394.41199999999998</v>
      </c>
      <c r="K29" s="23"/>
      <c r="L29" s="17">
        <v>515.97400000000005</v>
      </c>
      <c r="M29" s="17">
        <v>387.57299999999998</v>
      </c>
      <c r="N29" s="17">
        <v>459.86</v>
      </c>
      <c r="O29" s="17">
        <v>431.23500000000001</v>
      </c>
      <c r="P29" s="17">
        <v>399.02100000000002</v>
      </c>
      <c r="Q29" s="17">
        <v>398.15199999999999</v>
      </c>
      <c r="R29" s="17">
        <v>407.71800000000002</v>
      </c>
      <c r="S29" s="17">
        <v>415.90800000000002</v>
      </c>
      <c r="T29" s="17">
        <v>389.35599999999999</v>
      </c>
      <c r="U29" s="17">
        <v>387.69099999999997</v>
      </c>
      <c r="V29" s="17">
        <v>407.96300000000002</v>
      </c>
      <c r="W29" s="17">
        <v>419.64600000000002</v>
      </c>
      <c r="X29" s="17">
        <v>440.221</v>
      </c>
      <c r="Y29" s="17">
        <v>495.81599999999997</v>
      </c>
      <c r="Z29" s="17">
        <v>452.58499999999998</v>
      </c>
      <c r="AA29" s="17">
        <v>413.39600000000002</v>
      </c>
      <c r="AB29" s="17"/>
      <c r="AC29" s="17"/>
      <c r="AD29" s="26"/>
      <c r="AE29" s="17"/>
      <c r="AF29" s="17"/>
      <c r="AG29" s="17"/>
      <c r="AH29" s="17"/>
      <c r="AI29" s="17"/>
      <c r="AJ29" s="17"/>
      <c r="AK29" s="17"/>
      <c r="AL29" s="17"/>
      <c r="AM29" s="17"/>
      <c r="AN29" s="17">
        <v>393.85300000000001</v>
      </c>
      <c r="AO29" s="17">
        <v>410.88200000000001</v>
      </c>
      <c r="AP29" s="17"/>
      <c r="AQ29" s="17">
        <v>395.31299999999999</v>
      </c>
      <c r="AR29" s="17"/>
      <c r="AS29" s="17"/>
      <c r="AT29" s="17"/>
      <c r="AU29" s="17"/>
      <c r="AV29" s="17"/>
      <c r="AW29" s="17">
        <v>476.53399999999999</v>
      </c>
    </row>
    <row r="30" spans="1:49" x14ac:dyDescent="0.35">
      <c r="A30" s="3">
        <v>13</v>
      </c>
      <c r="B30" s="17"/>
      <c r="C30" s="17"/>
      <c r="D30" s="17">
        <v>404.15300000000002</v>
      </c>
      <c r="E30" s="17">
        <v>433.15199999999999</v>
      </c>
      <c r="F30" s="17">
        <v>421.435</v>
      </c>
      <c r="G30" s="17">
        <v>398.03300000000002</v>
      </c>
      <c r="H30" s="17"/>
      <c r="I30" s="17"/>
      <c r="J30" s="17">
        <v>395.30500000000001</v>
      </c>
      <c r="K30" s="23"/>
      <c r="L30" s="17">
        <v>515.78399999999999</v>
      </c>
      <c r="M30" s="17">
        <v>389.68599999999998</v>
      </c>
      <c r="N30" s="17">
        <v>459.875</v>
      </c>
      <c r="O30" s="17">
        <v>431.61700000000002</v>
      </c>
      <c r="P30" s="17">
        <v>399.69200000000001</v>
      </c>
      <c r="Q30" s="17">
        <v>398.05200000000002</v>
      </c>
      <c r="R30" s="17">
        <v>408.31599999999997</v>
      </c>
      <c r="S30" s="17">
        <v>416.20299999999997</v>
      </c>
      <c r="T30" s="17">
        <v>389.83</v>
      </c>
      <c r="U30" s="17">
        <v>389.21699999999998</v>
      </c>
      <c r="V30" s="17">
        <v>407.51400000000001</v>
      </c>
      <c r="W30" s="17">
        <v>419.09100000000001</v>
      </c>
      <c r="X30" s="17">
        <v>440.15300000000002</v>
      </c>
      <c r="Y30" s="17">
        <v>496.904</v>
      </c>
      <c r="Z30" s="17">
        <v>452.89699999999999</v>
      </c>
      <c r="AA30" s="17">
        <v>413.58600000000001</v>
      </c>
      <c r="AB30" s="17"/>
      <c r="AC30" s="17"/>
      <c r="AD30" s="26"/>
      <c r="AE30" s="17"/>
      <c r="AF30" s="17"/>
      <c r="AG30" s="17"/>
      <c r="AH30" s="17"/>
      <c r="AI30" s="17"/>
      <c r="AJ30" s="17"/>
      <c r="AK30" s="17"/>
      <c r="AL30" s="17"/>
      <c r="AM30" s="17"/>
      <c r="AN30" s="17">
        <v>393.96899999999999</v>
      </c>
      <c r="AO30" s="17">
        <v>411.036</v>
      </c>
      <c r="AP30" s="17"/>
      <c r="AQ30" s="17">
        <v>394.18299999999999</v>
      </c>
      <c r="AR30" s="17"/>
      <c r="AS30" s="17"/>
      <c r="AT30" s="17"/>
      <c r="AU30" s="17"/>
      <c r="AV30" s="17"/>
      <c r="AW30" s="17">
        <v>476.02600000000001</v>
      </c>
    </row>
    <row r="31" spans="1:49" x14ac:dyDescent="0.35">
      <c r="A31" s="3">
        <v>14</v>
      </c>
      <c r="B31" s="17"/>
      <c r="C31" s="17"/>
      <c r="D31" s="17">
        <v>405.79500000000002</v>
      </c>
      <c r="E31" s="17">
        <v>433.685</v>
      </c>
      <c r="F31" s="17">
        <v>421.34800000000001</v>
      </c>
      <c r="G31" s="17">
        <v>397.07</v>
      </c>
      <c r="H31" s="17"/>
      <c r="I31" s="17"/>
      <c r="J31" s="17">
        <v>394.82400000000001</v>
      </c>
      <c r="K31" s="23"/>
      <c r="L31" s="17">
        <v>515.87400000000002</v>
      </c>
      <c r="M31" s="17">
        <v>389.19799999999998</v>
      </c>
      <c r="N31" s="17">
        <v>461.63799999999998</v>
      </c>
      <c r="O31" s="17">
        <v>432.68599999999998</v>
      </c>
      <c r="P31" s="17">
        <v>400.33800000000002</v>
      </c>
      <c r="Q31" s="17">
        <v>398.863</v>
      </c>
      <c r="R31" s="17">
        <v>408.72</v>
      </c>
      <c r="S31" s="17">
        <v>415.86799999999999</v>
      </c>
      <c r="T31" s="17">
        <v>389.262</v>
      </c>
      <c r="U31" s="17">
        <v>389.02100000000002</v>
      </c>
      <c r="V31" s="17">
        <v>407.70400000000001</v>
      </c>
      <c r="W31" s="17">
        <v>419.20800000000003</v>
      </c>
      <c r="X31" s="17">
        <v>439.78100000000001</v>
      </c>
      <c r="Y31" s="17">
        <v>494.63799999999998</v>
      </c>
      <c r="Z31" s="17">
        <v>454.56599999999997</v>
      </c>
      <c r="AA31" s="17">
        <v>413.88600000000002</v>
      </c>
      <c r="AB31" s="17"/>
      <c r="AC31" s="17"/>
      <c r="AD31" s="26"/>
      <c r="AE31" s="17"/>
      <c r="AF31" s="17"/>
      <c r="AG31" s="17"/>
      <c r="AH31" s="17"/>
      <c r="AI31" s="17"/>
      <c r="AJ31" s="17"/>
      <c r="AK31" s="17"/>
      <c r="AL31" s="17"/>
      <c r="AM31" s="17"/>
      <c r="AN31" s="17">
        <v>394.27100000000002</v>
      </c>
      <c r="AO31" s="17">
        <v>412.21800000000002</v>
      </c>
      <c r="AP31" s="17"/>
      <c r="AQ31" s="17">
        <v>392.358</v>
      </c>
      <c r="AR31" s="17"/>
      <c r="AS31" s="17"/>
      <c r="AT31" s="17"/>
      <c r="AU31" s="17"/>
      <c r="AV31" s="17"/>
      <c r="AW31" s="17">
        <v>476.23399999999998</v>
      </c>
    </row>
    <row r="32" spans="1:49" x14ac:dyDescent="0.35">
      <c r="A32" s="3">
        <v>15</v>
      </c>
      <c r="B32" s="17"/>
      <c r="C32" s="17"/>
      <c r="D32" s="17">
        <v>406.07400000000001</v>
      </c>
      <c r="E32" s="17">
        <v>433.255</v>
      </c>
      <c r="F32" s="17">
        <v>421.851</v>
      </c>
      <c r="G32" s="17">
        <v>397.38</v>
      </c>
      <c r="H32" s="17"/>
      <c r="I32" s="17"/>
      <c r="J32" s="17">
        <v>395.03699999999998</v>
      </c>
      <c r="K32" s="23"/>
      <c r="L32" s="17">
        <v>517.83199999999999</v>
      </c>
      <c r="M32" s="17">
        <v>389.85899999999998</v>
      </c>
      <c r="N32" s="17">
        <v>461.32</v>
      </c>
      <c r="O32" s="17">
        <v>430.76900000000001</v>
      </c>
      <c r="P32" s="17">
        <v>400.36200000000002</v>
      </c>
      <c r="Q32" s="17">
        <v>397.916</v>
      </c>
      <c r="R32" s="17">
        <v>409.87</v>
      </c>
      <c r="S32" s="17">
        <v>415.47399999999999</v>
      </c>
      <c r="T32" s="17">
        <v>388.98399999999998</v>
      </c>
      <c r="U32" s="17">
        <v>388.899</v>
      </c>
      <c r="V32" s="17">
        <v>406.24400000000003</v>
      </c>
      <c r="W32" s="17">
        <v>417.98599999999999</v>
      </c>
      <c r="X32" s="17">
        <v>440.88099999999997</v>
      </c>
      <c r="Y32" s="17">
        <v>496.52199999999999</v>
      </c>
      <c r="Z32" s="17">
        <v>453.11799999999999</v>
      </c>
      <c r="AA32" s="17">
        <v>413.44</v>
      </c>
      <c r="AB32" s="17"/>
      <c r="AC32" s="17"/>
      <c r="AD32" s="26"/>
      <c r="AE32" s="17"/>
      <c r="AF32" s="17"/>
      <c r="AG32" s="17"/>
      <c r="AH32" s="17"/>
      <c r="AI32" s="17"/>
      <c r="AJ32" s="17"/>
      <c r="AK32" s="17"/>
      <c r="AL32" s="17"/>
      <c r="AM32" s="17"/>
      <c r="AN32" s="17">
        <v>393.42700000000002</v>
      </c>
      <c r="AO32" s="17">
        <v>412.47500000000002</v>
      </c>
      <c r="AP32" s="17"/>
      <c r="AQ32" s="17">
        <v>395.36500000000001</v>
      </c>
      <c r="AR32" s="17"/>
      <c r="AS32" s="17"/>
      <c r="AT32" s="17"/>
      <c r="AU32" s="17"/>
      <c r="AV32" s="17"/>
      <c r="AW32" s="17">
        <v>475.97</v>
      </c>
    </row>
    <row r="33" spans="1:49" x14ac:dyDescent="0.35">
      <c r="A33" s="3">
        <v>16</v>
      </c>
      <c r="B33" s="17"/>
      <c r="C33" s="17"/>
      <c r="D33" s="17">
        <v>406.57400000000001</v>
      </c>
      <c r="E33" s="17">
        <v>432.964</v>
      </c>
      <c r="F33" s="17">
        <v>421.512</v>
      </c>
      <c r="G33" s="17">
        <v>396.923</v>
      </c>
      <c r="H33" s="17"/>
      <c r="I33" s="17"/>
      <c r="J33" s="17">
        <v>395.154</v>
      </c>
      <c r="K33" s="23"/>
      <c r="L33" s="17">
        <v>516.553</v>
      </c>
      <c r="M33" s="17">
        <v>389.64100000000002</v>
      </c>
      <c r="N33" s="17">
        <v>461.67</v>
      </c>
      <c r="O33" s="17">
        <v>431.83300000000003</v>
      </c>
      <c r="P33" s="17">
        <v>400.38799999999998</v>
      </c>
      <c r="Q33" s="17">
        <v>399.45299999999997</v>
      </c>
      <c r="R33" s="17">
        <v>410.90100000000001</v>
      </c>
      <c r="S33" s="17">
        <v>416.75799999999998</v>
      </c>
      <c r="T33" s="17">
        <v>389.91199999999998</v>
      </c>
      <c r="U33" s="17">
        <v>388.51100000000002</v>
      </c>
      <c r="V33" s="17">
        <v>406.72699999999998</v>
      </c>
      <c r="W33" s="17">
        <v>418.68200000000002</v>
      </c>
      <c r="X33" s="17">
        <v>441.12700000000001</v>
      </c>
      <c r="Y33" s="17">
        <v>497.84100000000001</v>
      </c>
      <c r="Z33" s="17">
        <v>454.15600000000001</v>
      </c>
      <c r="AA33" s="17">
        <v>412.50200000000001</v>
      </c>
      <c r="AB33" s="17"/>
      <c r="AC33" s="17"/>
      <c r="AD33" s="26"/>
      <c r="AE33" s="17"/>
      <c r="AF33" s="17"/>
      <c r="AG33" s="17"/>
      <c r="AH33" s="17"/>
      <c r="AI33" s="17"/>
      <c r="AJ33" s="17"/>
      <c r="AK33" s="17"/>
      <c r="AL33" s="17"/>
      <c r="AM33" s="17"/>
      <c r="AN33" s="17">
        <v>393.81400000000002</v>
      </c>
      <c r="AO33" s="17">
        <v>411.76600000000002</v>
      </c>
      <c r="AP33" s="17"/>
      <c r="AQ33" s="17">
        <v>394.55</v>
      </c>
      <c r="AR33" s="17"/>
      <c r="AS33" s="17"/>
      <c r="AT33" s="17"/>
      <c r="AU33" s="17"/>
      <c r="AV33" s="17"/>
      <c r="AW33" s="17">
        <v>476.89100000000002</v>
      </c>
    </row>
    <row r="34" spans="1:49" x14ac:dyDescent="0.35">
      <c r="A34" s="3">
        <v>17</v>
      </c>
      <c r="B34" s="17"/>
      <c r="C34" s="17"/>
      <c r="D34" s="17">
        <v>407.01900000000001</v>
      </c>
      <c r="E34" s="17">
        <v>434.03899999999999</v>
      </c>
      <c r="F34" s="17">
        <v>421.11500000000001</v>
      </c>
      <c r="G34" s="17">
        <v>396.58600000000001</v>
      </c>
      <c r="H34" s="17"/>
      <c r="I34" s="17"/>
      <c r="J34" s="17">
        <v>394.298</v>
      </c>
      <c r="K34" s="23"/>
      <c r="L34" s="17">
        <v>517.82399999999996</v>
      </c>
      <c r="M34" s="17">
        <v>390.762</v>
      </c>
      <c r="N34" s="17">
        <v>460.29500000000002</v>
      </c>
      <c r="O34" s="17">
        <v>431.58300000000003</v>
      </c>
      <c r="P34" s="17">
        <v>400.2</v>
      </c>
      <c r="Q34" s="17">
        <v>398.48099999999999</v>
      </c>
      <c r="R34" s="17">
        <v>409.351</v>
      </c>
      <c r="S34" s="17">
        <v>416.04</v>
      </c>
      <c r="T34" s="17">
        <v>390.37599999999998</v>
      </c>
      <c r="U34" s="17">
        <v>388.74599999999998</v>
      </c>
      <c r="V34" s="17">
        <v>406.24900000000002</v>
      </c>
      <c r="W34" s="17">
        <v>419.26600000000002</v>
      </c>
      <c r="X34" s="17">
        <v>441.13200000000001</v>
      </c>
      <c r="Y34" s="17">
        <v>496.096</v>
      </c>
      <c r="Z34" s="17">
        <v>452.88600000000002</v>
      </c>
      <c r="AA34" s="17">
        <v>413.21800000000002</v>
      </c>
      <c r="AB34" s="17"/>
      <c r="AC34" s="17"/>
      <c r="AD34" s="26"/>
      <c r="AE34" s="17"/>
      <c r="AF34" s="17"/>
      <c r="AG34" s="17"/>
      <c r="AH34" s="17"/>
      <c r="AI34" s="17"/>
      <c r="AJ34" s="17"/>
      <c r="AK34" s="17"/>
      <c r="AL34" s="17"/>
      <c r="AM34" s="17"/>
      <c r="AN34" s="17">
        <v>393.37799999999999</v>
      </c>
      <c r="AO34" s="17">
        <v>412.25700000000001</v>
      </c>
      <c r="AP34" s="17"/>
      <c r="AQ34" s="17">
        <v>392.03399999999999</v>
      </c>
      <c r="AR34" s="17"/>
      <c r="AS34" s="17"/>
      <c r="AT34" s="17"/>
      <c r="AU34" s="17"/>
      <c r="AV34" s="17"/>
      <c r="AW34" s="17">
        <v>477.42200000000003</v>
      </c>
    </row>
    <row r="35" spans="1:49" x14ac:dyDescent="0.35">
      <c r="A35" s="3">
        <v>18</v>
      </c>
      <c r="B35" s="17"/>
      <c r="C35" s="17"/>
      <c r="D35" s="17">
        <v>407.51100000000002</v>
      </c>
      <c r="E35" s="17">
        <v>433.16399999999999</v>
      </c>
      <c r="F35" s="17">
        <v>421.15800000000002</v>
      </c>
      <c r="G35" s="17">
        <v>396.02600000000001</v>
      </c>
      <c r="H35" s="17"/>
      <c r="I35" s="17"/>
      <c r="J35" s="17">
        <v>394.459</v>
      </c>
      <c r="K35" s="23"/>
      <c r="L35" s="17">
        <v>516.20500000000004</v>
      </c>
      <c r="M35" s="17">
        <v>390.137</v>
      </c>
      <c r="N35" s="17">
        <v>461.10300000000001</v>
      </c>
      <c r="O35" s="17">
        <v>431.74400000000003</v>
      </c>
      <c r="P35" s="17">
        <v>400.73200000000003</v>
      </c>
      <c r="Q35" s="17">
        <v>400.66199999999998</v>
      </c>
      <c r="R35" s="17">
        <v>411.61099999999999</v>
      </c>
      <c r="S35" s="17">
        <v>415.77300000000002</v>
      </c>
      <c r="T35" s="17">
        <v>390.33</v>
      </c>
      <c r="U35" s="17">
        <v>388.17</v>
      </c>
      <c r="V35" s="17">
        <v>406.19499999999999</v>
      </c>
      <c r="W35" s="17">
        <v>419.60599999999999</v>
      </c>
      <c r="X35" s="17">
        <v>442.54300000000001</v>
      </c>
      <c r="Y35" s="17">
        <v>494.87900000000002</v>
      </c>
      <c r="Z35" s="17">
        <v>454.48200000000003</v>
      </c>
      <c r="AA35" s="17">
        <v>414.23099999999999</v>
      </c>
      <c r="AB35" s="17"/>
      <c r="AC35" s="17"/>
      <c r="AD35" s="26"/>
      <c r="AE35" s="17"/>
      <c r="AF35" s="17"/>
      <c r="AG35" s="17"/>
      <c r="AH35" s="17"/>
      <c r="AI35" s="17"/>
      <c r="AJ35" s="17"/>
      <c r="AK35" s="17"/>
      <c r="AL35" s="17"/>
      <c r="AM35" s="17"/>
      <c r="AN35" s="17">
        <v>394.07799999999997</v>
      </c>
      <c r="AO35" s="17">
        <v>412.34199999999998</v>
      </c>
      <c r="AP35" s="17"/>
      <c r="AQ35" s="17">
        <v>392.79599999999999</v>
      </c>
      <c r="AR35" s="17"/>
      <c r="AS35" s="17"/>
      <c r="AT35" s="17"/>
      <c r="AU35" s="17"/>
      <c r="AV35" s="17"/>
      <c r="AW35" s="17">
        <v>476.99200000000002</v>
      </c>
    </row>
    <row r="36" spans="1:49" x14ac:dyDescent="0.35">
      <c r="A36" s="3">
        <v>19</v>
      </c>
      <c r="B36" s="17"/>
      <c r="C36" s="17"/>
      <c r="D36" s="17">
        <v>407.11900000000003</v>
      </c>
      <c r="E36" s="17">
        <v>434.12200000000001</v>
      </c>
      <c r="F36" s="17">
        <v>422.16699999999997</v>
      </c>
      <c r="G36" s="17">
        <v>396.33499999999998</v>
      </c>
      <c r="H36" s="17"/>
      <c r="I36" s="17"/>
      <c r="J36" s="17">
        <v>394.57400000000001</v>
      </c>
      <c r="K36" s="23"/>
      <c r="L36" s="17">
        <v>516.81700000000001</v>
      </c>
      <c r="M36" s="17">
        <v>389.58800000000002</v>
      </c>
      <c r="N36" s="17">
        <v>460.69200000000001</v>
      </c>
      <c r="O36" s="17">
        <v>430.88600000000002</v>
      </c>
      <c r="P36" s="17">
        <v>400.06400000000002</v>
      </c>
      <c r="Q36" s="17">
        <v>398.79</v>
      </c>
      <c r="R36" s="17">
        <v>411.18099999999998</v>
      </c>
      <c r="S36" s="17">
        <v>414.16899999999998</v>
      </c>
      <c r="T36" s="17">
        <v>390.52499999999998</v>
      </c>
      <c r="U36" s="17">
        <v>388.142</v>
      </c>
      <c r="V36" s="17">
        <v>406.63600000000002</v>
      </c>
      <c r="W36" s="17">
        <v>419.41899999999998</v>
      </c>
      <c r="X36" s="17">
        <v>442.42599999999999</v>
      </c>
      <c r="Y36" s="17">
        <v>495.17599999999999</v>
      </c>
      <c r="Z36" s="17">
        <v>453.65600000000001</v>
      </c>
      <c r="AA36" s="17">
        <v>414.27699999999999</v>
      </c>
      <c r="AB36" s="17"/>
      <c r="AC36" s="17"/>
      <c r="AD36" s="26"/>
      <c r="AE36" s="17"/>
      <c r="AF36" s="17"/>
      <c r="AG36" s="17"/>
      <c r="AH36" s="17"/>
      <c r="AI36" s="17"/>
      <c r="AJ36" s="17"/>
      <c r="AK36" s="17"/>
      <c r="AL36" s="17"/>
      <c r="AM36" s="17"/>
      <c r="AN36" s="17">
        <v>394.41500000000002</v>
      </c>
      <c r="AO36" s="17">
        <v>411.798</v>
      </c>
      <c r="AP36" s="17"/>
      <c r="AQ36" s="17">
        <v>394.577</v>
      </c>
      <c r="AR36" s="17"/>
      <c r="AS36" s="17"/>
      <c r="AT36" s="17"/>
      <c r="AU36" s="17"/>
      <c r="AV36" s="17"/>
      <c r="AW36" s="17">
        <v>476.44</v>
      </c>
    </row>
    <row r="37" spans="1:49" x14ac:dyDescent="0.35">
      <c r="A37" s="3">
        <v>20</v>
      </c>
      <c r="B37" s="17"/>
      <c r="C37" s="17"/>
      <c r="D37" s="17">
        <v>407.05399999999997</v>
      </c>
      <c r="E37" s="17">
        <v>433.77199999999999</v>
      </c>
      <c r="F37" s="17">
        <v>422.27800000000002</v>
      </c>
      <c r="G37" s="17">
        <v>398.387</v>
      </c>
      <c r="H37" s="17"/>
      <c r="I37" s="17"/>
      <c r="J37" s="17">
        <v>393.447</v>
      </c>
      <c r="K37" s="23"/>
      <c r="L37" s="17">
        <v>517.66800000000001</v>
      </c>
      <c r="M37" s="17">
        <v>389.733</v>
      </c>
      <c r="N37" s="17">
        <v>460.98099999999999</v>
      </c>
      <c r="O37" s="17">
        <v>431.399</v>
      </c>
      <c r="P37" s="17">
        <v>400.846</v>
      </c>
      <c r="Q37" s="17">
        <v>400.625</v>
      </c>
      <c r="R37" s="17">
        <v>411.50700000000001</v>
      </c>
      <c r="S37" s="17">
        <v>416.72199999999998</v>
      </c>
      <c r="T37" s="17">
        <v>390.15100000000001</v>
      </c>
      <c r="U37" s="17">
        <v>388.31700000000001</v>
      </c>
      <c r="V37" s="17">
        <v>407.85399999999998</v>
      </c>
      <c r="W37" s="17">
        <v>419.53800000000001</v>
      </c>
      <c r="X37" s="17">
        <v>442.09</v>
      </c>
      <c r="Y37" s="17">
        <v>495.81200000000001</v>
      </c>
      <c r="Z37" s="17">
        <v>452.55599999999998</v>
      </c>
      <c r="AA37" s="17">
        <v>413.70800000000003</v>
      </c>
      <c r="AB37" s="17"/>
      <c r="AC37" s="17"/>
      <c r="AD37" s="26"/>
      <c r="AE37" s="17"/>
      <c r="AF37" s="17"/>
      <c r="AG37" s="17"/>
      <c r="AH37" s="17"/>
      <c r="AI37" s="17"/>
      <c r="AJ37" s="17"/>
      <c r="AK37" s="17"/>
      <c r="AL37" s="17"/>
      <c r="AM37" s="17"/>
      <c r="AN37" s="17">
        <v>394.745</v>
      </c>
      <c r="AO37" s="17">
        <v>411.26499999999999</v>
      </c>
      <c r="AP37" s="17"/>
      <c r="AQ37" s="17">
        <v>393.61500000000001</v>
      </c>
      <c r="AR37" s="17"/>
      <c r="AS37" s="17"/>
      <c r="AT37" s="17"/>
      <c r="AU37" s="17"/>
      <c r="AV37" s="17"/>
      <c r="AW37" s="17">
        <v>477.70699999999999</v>
      </c>
    </row>
    <row r="38" spans="1:49" x14ac:dyDescent="0.35">
      <c r="A38" s="3">
        <v>21</v>
      </c>
      <c r="B38" s="17"/>
      <c r="C38" s="17"/>
      <c r="D38" s="17">
        <v>408.71600000000001</v>
      </c>
      <c r="E38" s="17">
        <v>433.74</v>
      </c>
      <c r="F38" s="17">
        <v>422.96100000000001</v>
      </c>
      <c r="G38" s="17">
        <v>400.59800000000001</v>
      </c>
      <c r="H38" s="17"/>
      <c r="I38" s="17"/>
      <c r="J38" s="17">
        <v>394.435</v>
      </c>
      <c r="K38" s="23"/>
      <c r="L38" s="17">
        <v>517.04700000000003</v>
      </c>
      <c r="M38" s="17">
        <v>391.05799999999999</v>
      </c>
      <c r="N38" s="17">
        <v>460.59699999999998</v>
      </c>
      <c r="O38" s="17">
        <v>431.46100000000001</v>
      </c>
      <c r="P38" s="17">
        <v>400.053</v>
      </c>
      <c r="Q38" s="17">
        <v>399.077</v>
      </c>
      <c r="R38" s="17">
        <v>414.12299999999999</v>
      </c>
      <c r="S38" s="17">
        <v>416.50700000000001</v>
      </c>
      <c r="T38" s="17">
        <v>389.60500000000002</v>
      </c>
      <c r="U38" s="17">
        <v>389.14499999999998</v>
      </c>
      <c r="V38" s="17">
        <v>408.13200000000001</v>
      </c>
      <c r="W38" s="17">
        <v>420.25900000000001</v>
      </c>
      <c r="X38" s="17">
        <v>441.79500000000002</v>
      </c>
      <c r="Y38" s="17">
        <v>496.56099999999998</v>
      </c>
      <c r="Z38" s="17">
        <v>453.46699999999998</v>
      </c>
      <c r="AA38" s="17">
        <v>414.29599999999999</v>
      </c>
      <c r="AB38" s="17"/>
      <c r="AC38" s="17"/>
      <c r="AD38" s="26"/>
      <c r="AE38" s="17"/>
      <c r="AF38" s="17"/>
      <c r="AG38" s="17"/>
      <c r="AH38" s="17"/>
      <c r="AI38" s="17"/>
      <c r="AJ38" s="17"/>
      <c r="AK38" s="17"/>
      <c r="AL38" s="17"/>
      <c r="AM38" s="17"/>
      <c r="AN38" s="17">
        <v>394.52600000000001</v>
      </c>
      <c r="AO38" s="17">
        <v>410.447</v>
      </c>
      <c r="AP38" s="17"/>
      <c r="AQ38" s="17">
        <v>394.39</v>
      </c>
      <c r="AR38" s="17"/>
      <c r="AS38" s="17"/>
      <c r="AT38" s="17"/>
      <c r="AU38" s="17"/>
      <c r="AV38" s="17"/>
      <c r="AW38" s="17">
        <v>476.91500000000002</v>
      </c>
    </row>
    <row r="39" spans="1:49" x14ac:dyDescent="0.35">
      <c r="A39" s="3">
        <v>22</v>
      </c>
      <c r="B39" s="17"/>
      <c r="C39" s="17"/>
      <c r="D39" s="17">
        <v>407.00900000000001</v>
      </c>
      <c r="E39" s="17">
        <v>433.25</v>
      </c>
      <c r="F39" s="17">
        <v>422.06400000000002</v>
      </c>
      <c r="G39" s="17">
        <v>397.24200000000002</v>
      </c>
      <c r="H39" s="17"/>
      <c r="I39" s="17"/>
      <c r="J39" s="17">
        <v>393.90199999999999</v>
      </c>
      <c r="K39" s="23"/>
      <c r="L39" s="17">
        <v>516.85900000000004</v>
      </c>
      <c r="M39" s="17">
        <v>390.18900000000002</v>
      </c>
      <c r="N39" s="17">
        <v>461.82100000000003</v>
      </c>
      <c r="O39" s="17">
        <v>432.43200000000002</v>
      </c>
      <c r="P39" s="17">
        <v>400.62200000000001</v>
      </c>
      <c r="Q39" s="17">
        <v>400.72399999999999</v>
      </c>
      <c r="R39" s="17">
        <v>412.75099999999998</v>
      </c>
      <c r="S39" s="17">
        <v>413.495</v>
      </c>
      <c r="T39" s="17">
        <v>391.01799999999997</v>
      </c>
      <c r="U39" s="17">
        <v>389.56200000000001</v>
      </c>
      <c r="V39" s="17">
        <v>409.392</v>
      </c>
      <c r="W39" s="17">
        <v>419.77600000000001</v>
      </c>
      <c r="X39" s="17">
        <v>441.75900000000001</v>
      </c>
      <c r="Y39" s="17">
        <v>496.459</v>
      </c>
      <c r="Z39" s="17">
        <v>453.505</v>
      </c>
      <c r="AA39" s="17">
        <v>415.15100000000001</v>
      </c>
      <c r="AB39" s="17"/>
      <c r="AC39" s="17"/>
      <c r="AD39" s="26"/>
      <c r="AE39" s="17"/>
      <c r="AF39" s="17"/>
      <c r="AG39" s="17"/>
      <c r="AH39" s="17"/>
      <c r="AI39" s="17"/>
      <c r="AJ39" s="17"/>
      <c r="AK39" s="17"/>
      <c r="AL39" s="17"/>
      <c r="AM39" s="17"/>
      <c r="AN39" s="17">
        <v>394.30700000000002</v>
      </c>
      <c r="AO39" s="17">
        <v>411.07600000000002</v>
      </c>
      <c r="AP39" s="17"/>
      <c r="AQ39" s="17">
        <v>393.71100000000001</v>
      </c>
      <c r="AR39" s="17"/>
      <c r="AS39" s="17"/>
      <c r="AT39" s="17"/>
      <c r="AU39" s="17"/>
      <c r="AV39" s="17"/>
      <c r="AW39" s="17">
        <v>476.50700000000001</v>
      </c>
    </row>
    <row r="40" spans="1:49" x14ac:dyDescent="0.35">
      <c r="A40" s="3">
        <v>23</v>
      </c>
      <c r="B40" s="17"/>
      <c r="C40" s="17"/>
      <c r="D40" s="17">
        <v>408.36900000000003</v>
      </c>
      <c r="E40" s="17">
        <v>433.32100000000003</v>
      </c>
      <c r="F40" s="17">
        <v>421.62700000000001</v>
      </c>
      <c r="G40" s="17">
        <v>397.55799999999999</v>
      </c>
      <c r="H40" s="17"/>
      <c r="I40" s="17"/>
      <c r="J40" s="17">
        <v>393.99599999999998</v>
      </c>
      <c r="K40" s="23"/>
      <c r="L40" s="17">
        <v>517.21699999999998</v>
      </c>
      <c r="M40" s="17">
        <v>390.57299999999998</v>
      </c>
      <c r="N40" s="17">
        <v>460.81200000000001</v>
      </c>
      <c r="O40" s="17">
        <v>431.584</v>
      </c>
      <c r="P40" s="17">
        <v>401.51100000000002</v>
      </c>
      <c r="Q40" s="17">
        <v>402.55900000000003</v>
      </c>
      <c r="R40" s="17">
        <v>412.40100000000001</v>
      </c>
      <c r="S40" s="17">
        <v>416.88799999999998</v>
      </c>
      <c r="T40" s="17">
        <v>390.59199999999998</v>
      </c>
      <c r="U40" s="17">
        <v>388.334</v>
      </c>
      <c r="V40" s="17">
        <v>408.98</v>
      </c>
      <c r="W40" s="17">
        <v>420.47199999999998</v>
      </c>
      <c r="X40" s="17">
        <v>442.93299999999999</v>
      </c>
      <c r="Y40" s="17">
        <v>498.85899999999998</v>
      </c>
      <c r="Z40" s="17">
        <v>452.13600000000002</v>
      </c>
      <c r="AA40" s="17">
        <v>414.07400000000001</v>
      </c>
      <c r="AB40" s="17"/>
      <c r="AC40" s="17"/>
      <c r="AD40" s="26"/>
      <c r="AE40" s="17"/>
      <c r="AF40" s="17"/>
      <c r="AG40" s="17"/>
      <c r="AH40" s="17"/>
      <c r="AI40" s="17"/>
      <c r="AJ40" s="17"/>
      <c r="AK40" s="17"/>
      <c r="AL40" s="17"/>
      <c r="AM40" s="17"/>
      <c r="AN40" s="17">
        <v>394.05399999999997</v>
      </c>
      <c r="AO40" s="17">
        <v>412.66699999999997</v>
      </c>
      <c r="AP40" s="17"/>
      <c r="AQ40" s="17">
        <v>394.22800000000001</v>
      </c>
      <c r="AR40" s="17"/>
      <c r="AS40" s="17"/>
      <c r="AT40" s="17"/>
      <c r="AU40" s="17"/>
      <c r="AV40" s="17"/>
      <c r="AW40" s="17">
        <v>476.33800000000002</v>
      </c>
    </row>
    <row r="41" spans="1:49" x14ac:dyDescent="0.35">
      <c r="A41" s="3">
        <v>24</v>
      </c>
      <c r="B41" s="17"/>
      <c r="C41" s="17"/>
      <c r="D41" s="17">
        <v>409.47</v>
      </c>
      <c r="E41" s="17">
        <v>434.28699999999998</v>
      </c>
      <c r="F41" s="17">
        <v>421.88499999999999</v>
      </c>
      <c r="G41" s="17">
        <v>397.63200000000001</v>
      </c>
      <c r="H41" s="17"/>
      <c r="I41" s="17"/>
      <c r="J41" s="17">
        <v>393.702</v>
      </c>
      <c r="K41" s="23"/>
      <c r="L41" s="17">
        <v>517.75400000000002</v>
      </c>
      <c r="M41" s="17">
        <v>392.24</v>
      </c>
      <c r="N41" s="17">
        <v>461.59800000000001</v>
      </c>
      <c r="O41" s="17">
        <v>431.73399999999998</v>
      </c>
      <c r="P41" s="17">
        <v>401.11200000000002</v>
      </c>
      <c r="Q41" s="17">
        <v>399.72199999999998</v>
      </c>
      <c r="R41" s="17">
        <v>415.05900000000003</v>
      </c>
      <c r="S41" s="17">
        <v>417.13099999999997</v>
      </c>
      <c r="T41" s="17">
        <v>390.55200000000002</v>
      </c>
      <c r="U41" s="17">
        <v>388.52300000000002</v>
      </c>
      <c r="V41" s="17">
        <v>407.94200000000001</v>
      </c>
      <c r="W41" s="17">
        <v>419.20100000000002</v>
      </c>
      <c r="X41" s="17">
        <v>442.35199999999998</v>
      </c>
      <c r="Y41" s="17">
        <v>499.06200000000001</v>
      </c>
      <c r="Z41" s="17">
        <v>451.69099999999997</v>
      </c>
      <c r="AA41" s="17">
        <v>414.35300000000001</v>
      </c>
      <c r="AB41" s="17"/>
      <c r="AC41" s="17"/>
      <c r="AD41" s="26"/>
      <c r="AE41" s="17"/>
      <c r="AF41" s="17"/>
      <c r="AG41" s="17"/>
      <c r="AH41" s="17"/>
      <c r="AI41" s="17"/>
      <c r="AJ41" s="17"/>
      <c r="AK41" s="17"/>
      <c r="AL41" s="17"/>
      <c r="AM41" s="17"/>
      <c r="AN41" s="17">
        <v>394.37700000000001</v>
      </c>
      <c r="AO41" s="17">
        <v>412.27499999999998</v>
      </c>
      <c r="AP41" s="17"/>
      <c r="AQ41" s="17">
        <v>394.15899999999999</v>
      </c>
      <c r="AR41" s="17"/>
      <c r="AS41" s="17"/>
      <c r="AT41" s="17"/>
      <c r="AU41" s="17"/>
      <c r="AV41" s="17"/>
      <c r="AW41" s="17">
        <v>477.18099999999998</v>
      </c>
    </row>
    <row r="42" spans="1:49" x14ac:dyDescent="0.35">
      <c r="A42" s="3">
        <v>25</v>
      </c>
      <c r="B42" s="17"/>
      <c r="C42" s="17"/>
      <c r="D42" s="17">
        <v>407.78300000000002</v>
      </c>
      <c r="E42" s="17">
        <v>433.63299999999998</v>
      </c>
      <c r="F42" s="17">
        <v>422.66800000000001</v>
      </c>
      <c r="G42" s="17">
        <v>397.88200000000001</v>
      </c>
      <c r="H42" s="17"/>
      <c r="I42" s="17"/>
      <c r="J42" s="17">
        <v>394.64100000000002</v>
      </c>
      <c r="K42" s="23"/>
      <c r="L42" s="17">
        <v>517.59500000000003</v>
      </c>
      <c r="M42" s="17">
        <v>391.95</v>
      </c>
      <c r="N42" s="17">
        <v>460.30700000000002</v>
      </c>
      <c r="O42" s="17">
        <v>431.529</v>
      </c>
      <c r="P42" s="17">
        <v>401.33499999999998</v>
      </c>
      <c r="Q42" s="17">
        <v>402.488</v>
      </c>
      <c r="R42" s="17">
        <v>415.35899999999998</v>
      </c>
      <c r="S42" s="17">
        <v>416.07600000000002</v>
      </c>
      <c r="T42" s="17">
        <v>391.22899999999998</v>
      </c>
      <c r="U42" s="17">
        <v>389.12400000000002</v>
      </c>
      <c r="V42" s="17">
        <v>409.90600000000001</v>
      </c>
      <c r="W42" s="17">
        <v>419.55200000000002</v>
      </c>
      <c r="X42" s="17">
        <v>443.57600000000002</v>
      </c>
      <c r="Y42" s="17">
        <v>499.62900000000002</v>
      </c>
      <c r="Z42" s="17">
        <v>452.81</v>
      </c>
      <c r="AA42" s="17">
        <v>415.06299999999999</v>
      </c>
      <c r="AB42" s="17"/>
      <c r="AC42" s="17"/>
      <c r="AD42" s="26"/>
      <c r="AE42" s="17"/>
      <c r="AF42" s="17"/>
      <c r="AG42" s="17"/>
      <c r="AH42" s="17"/>
      <c r="AI42" s="17"/>
      <c r="AJ42" s="17"/>
      <c r="AK42" s="17"/>
      <c r="AL42" s="17"/>
      <c r="AM42" s="17"/>
      <c r="AN42" s="17">
        <v>394.47199999999998</v>
      </c>
      <c r="AO42" s="17">
        <v>411.62599999999998</v>
      </c>
      <c r="AP42" s="17"/>
      <c r="AQ42" s="17">
        <v>392.9</v>
      </c>
      <c r="AR42" s="17"/>
      <c r="AS42" s="17"/>
      <c r="AT42" s="17"/>
      <c r="AU42" s="17"/>
      <c r="AV42" s="17"/>
      <c r="AW42" s="17">
        <v>476.416</v>
      </c>
    </row>
    <row r="43" spans="1:49" x14ac:dyDescent="0.35">
      <c r="A43" s="3">
        <v>26</v>
      </c>
      <c r="B43" s="17"/>
      <c r="C43" s="17"/>
      <c r="D43" s="17">
        <v>407.30700000000002</v>
      </c>
      <c r="E43" s="17">
        <v>434.678</v>
      </c>
      <c r="F43" s="17">
        <v>423.04399999999998</v>
      </c>
      <c r="G43" s="17">
        <v>398.71300000000002</v>
      </c>
      <c r="H43" s="17"/>
      <c r="I43" s="17"/>
      <c r="J43" s="17">
        <v>392.798</v>
      </c>
      <c r="K43" s="23"/>
      <c r="L43" s="17">
        <v>516.70799999999997</v>
      </c>
      <c r="M43" s="17">
        <v>392.12099999999998</v>
      </c>
      <c r="N43" s="17">
        <v>460.87</v>
      </c>
      <c r="O43" s="17">
        <v>431.90100000000001</v>
      </c>
      <c r="P43" s="17">
        <v>401.44299999999998</v>
      </c>
      <c r="Q43" s="17">
        <v>400.089</v>
      </c>
      <c r="R43" s="17">
        <v>415.84</v>
      </c>
      <c r="S43" s="17">
        <v>414.69099999999997</v>
      </c>
      <c r="T43" s="17">
        <v>391.733</v>
      </c>
      <c r="U43" s="17">
        <v>389.12200000000001</v>
      </c>
      <c r="V43" s="17">
        <v>408.68400000000003</v>
      </c>
      <c r="W43" s="17">
        <v>420.38400000000001</v>
      </c>
      <c r="X43" s="17">
        <v>443.64800000000002</v>
      </c>
      <c r="Y43" s="17">
        <v>500.60899999999998</v>
      </c>
      <c r="Z43" s="17">
        <v>451.71800000000002</v>
      </c>
      <c r="AA43" s="17">
        <v>414.23500000000001</v>
      </c>
      <c r="AB43" s="17"/>
      <c r="AC43" s="17"/>
      <c r="AD43" s="26"/>
      <c r="AE43" s="17"/>
      <c r="AF43" s="17"/>
      <c r="AG43" s="17"/>
      <c r="AH43" s="17"/>
      <c r="AI43" s="17"/>
      <c r="AJ43" s="17"/>
      <c r="AK43" s="17"/>
      <c r="AL43" s="17"/>
      <c r="AM43" s="17"/>
      <c r="AN43" s="17">
        <v>395.548</v>
      </c>
      <c r="AO43" s="17">
        <v>411.78300000000002</v>
      </c>
      <c r="AP43" s="17"/>
      <c r="AQ43" s="17">
        <v>393.63400000000001</v>
      </c>
      <c r="AR43" s="17"/>
      <c r="AS43" s="17"/>
      <c r="AT43" s="17"/>
      <c r="AU43" s="17"/>
      <c r="AV43" s="17"/>
      <c r="AW43" s="17">
        <v>476.505</v>
      </c>
    </row>
    <row r="44" spans="1:49" x14ac:dyDescent="0.35">
      <c r="A44" s="3">
        <v>27</v>
      </c>
      <c r="B44" s="17"/>
      <c r="C44" s="17"/>
      <c r="D44" s="17">
        <v>407.48700000000002</v>
      </c>
      <c r="E44" s="17">
        <v>434.166</v>
      </c>
      <c r="F44" s="17">
        <v>423.13299999999998</v>
      </c>
      <c r="G44" s="17">
        <v>397.63900000000001</v>
      </c>
      <c r="H44" s="17"/>
      <c r="I44" s="17"/>
      <c r="J44" s="17">
        <v>395.38</v>
      </c>
      <c r="K44" s="23"/>
      <c r="L44" s="17">
        <v>516.17100000000005</v>
      </c>
      <c r="M44" s="17">
        <v>392.05599999999998</v>
      </c>
      <c r="N44" s="17">
        <v>461.15499999999997</v>
      </c>
      <c r="O44" s="17">
        <v>432.59100000000001</v>
      </c>
      <c r="P44" s="17">
        <v>401.29399999999998</v>
      </c>
      <c r="Q44" s="17">
        <v>402.16300000000001</v>
      </c>
      <c r="R44" s="17">
        <v>416.59100000000001</v>
      </c>
      <c r="S44" s="17">
        <v>416.685</v>
      </c>
      <c r="T44" s="17">
        <v>390.53</v>
      </c>
      <c r="U44" s="17">
        <v>389.37099999999998</v>
      </c>
      <c r="V44" s="17">
        <v>410.88799999999998</v>
      </c>
      <c r="W44" s="17">
        <v>420.78199999999998</v>
      </c>
      <c r="X44" s="17">
        <v>443.37400000000002</v>
      </c>
      <c r="Y44" s="17">
        <v>499.97</v>
      </c>
      <c r="Z44" s="17">
        <v>451.99700000000001</v>
      </c>
      <c r="AA44" s="17">
        <v>413.928</v>
      </c>
      <c r="AB44" s="17"/>
      <c r="AC44" s="17"/>
      <c r="AD44" s="26"/>
      <c r="AE44" s="17"/>
      <c r="AF44" s="17"/>
      <c r="AG44" s="17"/>
      <c r="AH44" s="17"/>
      <c r="AI44" s="17"/>
      <c r="AJ44" s="17"/>
      <c r="AK44" s="17"/>
      <c r="AL44" s="17"/>
      <c r="AM44" s="17"/>
      <c r="AN44" s="17">
        <v>394.92700000000002</v>
      </c>
      <c r="AO44" s="17">
        <v>412.78</v>
      </c>
      <c r="AP44" s="17"/>
      <c r="AQ44" s="17">
        <v>395.471</v>
      </c>
      <c r="AR44" s="17"/>
      <c r="AS44" s="17"/>
      <c r="AT44" s="17"/>
      <c r="AU44" s="17"/>
      <c r="AV44" s="17"/>
      <c r="AW44" s="17">
        <v>477.99299999999999</v>
      </c>
    </row>
    <row r="45" spans="1:49" x14ac:dyDescent="0.35">
      <c r="A45" s="3">
        <v>28</v>
      </c>
      <c r="B45" s="17"/>
      <c r="C45" s="17"/>
      <c r="D45" s="17">
        <v>410.84300000000002</v>
      </c>
      <c r="E45" s="17">
        <v>433.70800000000003</v>
      </c>
      <c r="F45" s="17">
        <v>421.96600000000001</v>
      </c>
      <c r="G45" s="17">
        <v>398.34699999999998</v>
      </c>
      <c r="H45" s="17"/>
      <c r="I45" s="17"/>
      <c r="J45" s="17">
        <v>394.58800000000002</v>
      </c>
      <c r="K45" s="23"/>
      <c r="L45" s="17">
        <v>518.04</v>
      </c>
      <c r="M45" s="17">
        <v>393.46800000000002</v>
      </c>
      <c r="N45" s="17">
        <v>461.798</v>
      </c>
      <c r="O45" s="17">
        <v>433.58699999999999</v>
      </c>
      <c r="P45" s="17">
        <v>401.63</v>
      </c>
      <c r="Q45" s="17">
        <v>403.07100000000003</v>
      </c>
      <c r="R45" s="17">
        <v>415.65499999999997</v>
      </c>
      <c r="S45" s="17">
        <v>416.61399999999998</v>
      </c>
      <c r="T45" s="17">
        <v>390.61599999999999</v>
      </c>
      <c r="U45" s="17">
        <v>388.78300000000002</v>
      </c>
      <c r="V45" s="17">
        <v>411.14</v>
      </c>
      <c r="W45" s="17">
        <v>420.17500000000001</v>
      </c>
      <c r="X45" s="17">
        <v>444.54300000000001</v>
      </c>
      <c r="Y45" s="17">
        <v>497.28100000000001</v>
      </c>
      <c r="Z45" s="17">
        <v>451.572</v>
      </c>
      <c r="AA45" s="17">
        <v>415.863</v>
      </c>
      <c r="AB45" s="17"/>
      <c r="AC45" s="17"/>
      <c r="AD45" s="26"/>
      <c r="AE45" s="17"/>
      <c r="AF45" s="17"/>
      <c r="AG45" s="17"/>
      <c r="AH45" s="17"/>
      <c r="AI45" s="17"/>
      <c r="AJ45" s="17"/>
      <c r="AK45" s="17"/>
      <c r="AL45" s="17"/>
      <c r="AM45" s="17"/>
      <c r="AN45" s="17">
        <v>395.09199999999998</v>
      </c>
      <c r="AO45" s="17">
        <v>412.62299999999999</v>
      </c>
      <c r="AP45" s="17"/>
      <c r="AQ45" s="17">
        <v>394.22899999999998</v>
      </c>
      <c r="AR45" s="17"/>
      <c r="AS45" s="17"/>
      <c r="AT45" s="17"/>
      <c r="AU45" s="17"/>
      <c r="AV45" s="17"/>
      <c r="AW45" s="17">
        <v>477.39800000000002</v>
      </c>
    </row>
    <row r="46" spans="1:49" x14ac:dyDescent="0.35">
      <c r="A46" s="3">
        <v>29</v>
      </c>
      <c r="B46" s="17"/>
      <c r="C46" s="17"/>
      <c r="D46" s="17">
        <v>409.04899999999998</v>
      </c>
      <c r="E46" s="17">
        <v>433.68</v>
      </c>
      <c r="F46" s="17">
        <v>422.80399999999997</v>
      </c>
      <c r="G46" s="17">
        <v>396.26799999999997</v>
      </c>
      <c r="H46" s="17"/>
      <c r="I46" s="17"/>
      <c r="J46" s="17">
        <v>395.61599999999999</v>
      </c>
      <c r="K46" s="23"/>
      <c r="L46" s="17">
        <v>517.75599999999997</v>
      </c>
      <c r="M46" s="17">
        <v>394.24200000000002</v>
      </c>
      <c r="N46" s="17">
        <v>461.25299999999999</v>
      </c>
      <c r="O46" s="17">
        <v>432.22399999999999</v>
      </c>
      <c r="P46" s="17">
        <v>401.16899999999998</v>
      </c>
      <c r="Q46" s="17">
        <v>406.596</v>
      </c>
      <c r="R46" s="17">
        <v>418.13499999999999</v>
      </c>
      <c r="S46" s="17">
        <v>416.52300000000002</v>
      </c>
      <c r="T46" s="17">
        <v>391.05399999999997</v>
      </c>
      <c r="U46" s="17">
        <v>388.78300000000002</v>
      </c>
      <c r="V46" s="17">
        <v>409.34</v>
      </c>
      <c r="W46" s="17">
        <v>419.85500000000002</v>
      </c>
      <c r="X46" s="17">
        <v>444.67399999999998</v>
      </c>
      <c r="Y46" s="17">
        <v>496.74599999999998</v>
      </c>
      <c r="Z46" s="17">
        <v>452.95800000000003</v>
      </c>
      <c r="AA46" s="17">
        <v>416.94200000000001</v>
      </c>
      <c r="AB46" s="17"/>
      <c r="AC46" s="17"/>
      <c r="AD46" s="26"/>
      <c r="AE46" s="17"/>
      <c r="AF46" s="17"/>
      <c r="AG46" s="17"/>
      <c r="AH46" s="17"/>
      <c r="AI46" s="17"/>
      <c r="AJ46" s="17"/>
      <c r="AK46" s="17"/>
      <c r="AL46" s="17"/>
      <c r="AM46" s="17"/>
      <c r="AN46" s="17">
        <v>393.73500000000001</v>
      </c>
      <c r="AO46" s="17">
        <v>412.85599999999999</v>
      </c>
      <c r="AP46" s="17"/>
      <c r="AQ46" s="17">
        <v>394.01100000000002</v>
      </c>
      <c r="AR46" s="17"/>
      <c r="AS46" s="17"/>
      <c r="AT46" s="17"/>
      <c r="AU46" s="17"/>
      <c r="AV46" s="17"/>
      <c r="AW46" s="17">
        <v>476.92700000000002</v>
      </c>
    </row>
    <row r="47" spans="1:49" x14ac:dyDescent="0.35">
      <c r="A47" s="3">
        <v>30</v>
      </c>
      <c r="B47" s="17"/>
      <c r="C47" s="17"/>
      <c r="D47" s="17">
        <v>408.255</v>
      </c>
      <c r="E47" s="17">
        <v>435.02199999999999</v>
      </c>
      <c r="F47" s="17">
        <v>422.98700000000002</v>
      </c>
      <c r="G47" s="17">
        <v>397.56</v>
      </c>
      <c r="H47" s="17"/>
      <c r="I47" s="17"/>
      <c r="J47" s="17">
        <v>396.024</v>
      </c>
      <c r="K47" s="23"/>
      <c r="L47" s="17">
        <v>517.55899999999997</v>
      </c>
      <c r="M47" s="17">
        <v>392.89</v>
      </c>
      <c r="N47" s="17">
        <v>460.8</v>
      </c>
      <c r="O47" s="17">
        <v>431.89600000000002</v>
      </c>
      <c r="P47" s="17">
        <v>401.25299999999999</v>
      </c>
      <c r="Q47" s="17">
        <v>401.65199999999999</v>
      </c>
      <c r="R47" s="17">
        <v>417.06200000000001</v>
      </c>
      <c r="S47" s="17">
        <v>416.86200000000002</v>
      </c>
      <c r="T47" s="17">
        <v>391.31200000000001</v>
      </c>
      <c r="U47" s="17">
        <v>388.37099999999998</v>
      </c>
      <c r="V47" s="17">
        <v>411.97500000000002</v>
      </c>
      <c r="W47" s="17">
        <v>421.05</v>
      </c>
      <c r="X47" s="17">
        <v>443.87</v>
      </c>
      <c r="Y47" s="17">
        <v>498.01499999999999</v>
      </c>
      <c r="Z47" s="17">
        <v>452.18900000000002</v>
      </c>
      <c r="AA47" s="17">
        <v>416.589</v>
      </c>
      <c r="AB47" s="17"/>
      <c r="AC47" s="17"/>
      <c r="AD47" s="26"/>
      <c r="AE47" s="17"/>
      <c r="AF47" s="17"/>
      <c r="AG47" s="17"/>
      <c r="AH47" s="17"/>
      <c r="AI47" s="17"/>
      <c r="AJ47" s="17"/>
      <c r="AK47" s="17"/>
      <c r="AL47" s="17"/>
      <c r="AM47" s="17"/>
      <c r="AN47" s="17">
        <v>393.68400000000003</v>
      </c>
      <c r="AO47" s="17">
        <v>413.28500000000003</v>
      </c>
      <c r="AP47" s="17"/>
      <c r="AQ47" s="17">
        <v>391.95299999999997</v>
      </c>
      <c r="AR47" s="17"/>
      <c r="AS47" s="17"/>
      <c r="AT47" s="17"/>
      <c r="AU47" s="17"/>
      <c r="AV47" s="17"/>
      <c r="AW47" s="17">
        <v>476.77800000000002</v>
      </c>
    </row>
    <row r="48" spans="1:49" x14ac:dyDescent="0.35">
      <c r="A48" s="3">
        <v>31</v>
      </c>
      <c r="B48" s="17"/>
      <c r="C48" s="17"/>
      <c r="D48" s="17">
        <v>407.91</v>
      </c>
      <c r="E48" s="17">
        <v>434.315</v>
      </c>
      <c r="F48" s="17">
        <v>423.03899999999999</v>
      </c>
      <c r="G48" s="17">
        <v>399.15100000000001</v>
      </c>
      <c r="H48" s="17"/>
      <c r="I48" s="17"/>
      <c r="J48" s="17">
        <v>396.86</v>
      </c>
      <c r="K48" s="23"/>
      <c r="L48" s="17">
        <v>517.94899999999996</v>
      </c>
      <c r="M48" s="17">
        <v>394.5</v>
      </c>
      <c r="N48" s="17">
        <v>461.35199999999998</v>
      </c>
      <c r="O48" s="17">
        <v>431.80700000000002</v>
      </c>
      <c r="P48" s="17">
        <v>402.12099999999998</v>
      </c>
      <c r="Q48" s="17">
        <v>404.262</v>
      </c>
      <c r="R48" s="17">
        <v>416.733</v>
      </c>
      <c r="S48" s="17">
        <v>416.673</v>
      </c>
      <c r="T48" s="17">
        <v>391.81700000000001</v>
      </c>
      <c r="U48" s="17">
        <v>389.45</v>
      </c>
      <c r="V48" s="17">
        <v>410.55200000000002</v>
      </c>
      <c r="W48" s="17">
        <v>420.72800000000001</v>
      </c>
      <c r="X48" s="17">
        <v>444.94</v>
      </c>
      <c r="Y48" s="17">
        <v>497.50700000000001</v>
      </c>
      <c r="Z48" s="17">
        <v>451.98</v>
      </c>
      <c r="AA48" s="17">
        <v>415.65699999999998</v>
      </c>
      <c r="AB48" s="17"/>
      <c r="AC48" s="17"/>
      <c r="AD48" s="26"/>
      <c r="AE48" s="17"/>
      <c r="AF48" s="17"/>
      <c r="AG48" s="17"/>
      <c r="AH48" s="17"/>
      <c r="AI48" s="17"/>
      <c r="AJ48" s="17"/>
      <c r="AK48" s="17"/>
      <c r="AL48" s="17"/>
      <c r="AM48" s="17"/>
      <c r="AN48" s="17">
        <v>394.255</v>
      </c>
      <c r="AO48" s="17">
        <v>413.50799999999998</v>
      </c>
      <c r="AP48" s="17"/>
      <c r="AQ48" s="17">
        <v>393.94200000000001</v>
      </c>
      <c r="AR48" s="17"/>
      <c r="AS48" s="17"/>
      <c r="AT48" s="17"/>
      <c r="AU48" s="17"/>
      <c r="AV48" s="17"/>
      <c r="AW48" s="17">
        <v>476.08199999999999</v>
      </c>
    </row>
    <row r="49" spans="1:49" x14ac:dyDescent="0.35">
      <c r="A49" s="3">
        <v>32</v>
      </c>
      <c r="B49" s="17"/>
      <c r="C49" s="17"/>
      <c r="D49" s="17">
        <v>407.524</v>
      </c>
      <c r="E49" s="17">
        <v>434.99400000000003</v>
      </c>
      <c r="F49" s="17">
        <v>423.31700000000001</v>
      </c>
      <c r="G49" s="17">
        <v>397.55399999999997</v>
      </c>
      <c r="H49" s="17"/>
      <c r="I49" s="17"/>
      <c r="J49" s="17">
        <v>396.90100000000001</v>
      </c>
      <c r="K49" s="23"/>
      <c r="L49" s="17">
        <v>518.67499999999995</v>
      </c>
      <c r="M49" s="17">
        <v>394.26</v>
      </c>
      <c r="N49" s="17">
        <v>461.17099999999999</v>
      </c>
      <c r="O49" s="17">
        <v>432.03899999999999</v>
      </c>
      <c r="P49" s="17">
        <v>401.79300000000001</v>
      </c>
      <c r="Q49" s="17">
        <v>405.05399999999997</v>
      </c>
      <c r="R49" s="17">
        <v>417.17399999999998</v>
      </c>
      <c r="S49" s="17">
        <v>416.67700000000002</v>
      </c>
      <c r="T49" s="17">
        <v>392.43099999999998</v>
      </c>
      <c r="U49" s="17">
        <v>391.35</v>
      </c>
      <c r="V49" s="17">
        <v>412.66899999999998</v>
      </c>
      <c r="W49" s="17">
        <v>421.88400000000001</v>
      </c>
      <c r="X49" s="17">
        <v>443.82</v>
      </c>
      <c r="Y49" s="17">
        <v>497.86099999999999</v>
      </c>
      <c r="Z49" s="17">
        <v>451.79</v>
      </c>
      <c r="AA49" s="17">
        <v>415.79599999999999</v>
      </c>
      <c r="AB49" s="17"/>
      <c r="AC49" s="17"/>
      <c r="AD49" s="26"/>
      <c r="AE49" s="17"/>
      <c r="AF49" s="17"/>
      <c r="AG49" s="17"/>
      <c r="AH49" s="17"/>
      <c r="AI49" s="17"/>
      <c r="AJ49" s="17"/>
      <c r="AK49" s="17"/>
      <c r="AL49" s="17"/>
      <c r="AM49" s="17"/>
      <c r="AN49" s="17">
        <v>393.16300000000001</v>
      </c>
      <c r="AO49" s="17">
        <v>414.68599999999998</v>
      </c>
      <c r="AP49" s="17"/>
      <c r="AQ49" s="17">
        <v>394.35300000000001</v>
      </c>
      <c r="AR49" s="17"/>
      <c r="AS49" s="17"/>
      <c r="AT49" s="17"/>
      <c r="AU49" s="17"/>
      <c r="AV49" s="17"/>
      <c r="AW49" s="17">
        <v>477.18099999999998</v>
      </c>
    </row>
    <row r="50" spans="1:49" x14ac:dyDescent="0.35">
      <c r="A50" s="3">
        <f>A49+1</f>
        <v>33</v>
      </c>
      <c r="B50" s="17"/>
      <c r="C50" s="17"/>
      <c r="D50" s="17">
        <v>407.572</v>
      </c>
      <c r="E50" s="17">
        <v>434.05799999999999</v>
      </c>
      <c r="F50" s="17">
        <v>422.577</v>
      </c>
      <c r="G50" s="17">
        <v>398.77100000000002</v>
      </c>
      <c r="H50" s="17"/>
      <c r="I50" s="17"/>
      <c r="J50" s="17">
        <v>397.43799999999999</v>
      </c>
      <c r="K50" s="23"/>
      <c r="L50" s="17">
        <v>516.90099999999995</v>
      </c>
      <c r="M50" s="17">
        <v>394.56299999999999</v>
      </c>
      <c r="N50" s="17">
        <v>462.012</v>
      </c>
      <c r="O50" s="17">
        <v>432.56700000000001</v>
      </c>
      <c r="P50" s="17">
        <v>403.28500000000003</v>
      </c>
      <c r="Q50" s="17">
        <v>406.05399999999997</v>
      </c>
      <c r="R50" s="17">
        <v>418.69600000000003</v>
      </c>
      <c r="S50" s="17">
        <v>416.54700000000003</v>
      </c>
      <c r="T50" s="17">
        <v>391.77800000000002</v>
      </c>
      <c r="U50" s="17">
        <v>391.19400000000002</v>
      </c>
      <c r="V50" s="17">
        <v>410.05900000000003</v>
      </c>
      <c r="W50" s="17">
        <v>422.69099999999997</v>
      </c>
      <c r="X50" s="17">
        <v>445.589</v>
      </c>
      <c r="Y50" s="17">
        <v>499.834</v>
      </c>
      <c r="Z50" s="17">
        <v>451.68299999999999</v>
      </c>
      <c r="AA50" s="17">
        <v>415.99</v>
      </c>
      <c r="AB50" s="17"/>
      <c r="AC50" s="17"/>
      <c r="AD50" s="26"/>
      <c r="AE50" s="17"/>
      <c r="AF50" s="17"/>
      <c r="AG50" s="17"/>
      <c r="AH50" s="17"/>
      <c r="AI50" s="17"/>
      <c r="AJ50" s="17"/>
      <c r="AK50" s="17"/>
      <c r="AL50" s="17"/>
      <c r="AM50" s="17"/>
      <c r="AN50" s="17">
        <v>394.31799999999998</v>
      </c>
      <c r="AO50" s="17">
        <v>413.90600000000001</v>
      </c>
      <c r="AP50" s="17"/>
      <c r="AQ50" s="17">
        <v>393.93200000000002</v>
      </c>
      <c r="AR50" s="17"/>
      <c r="AS50" s="17"/>
      <c r="AT50" s="17"/>
      <c r="AU50" s="17"/>
      <c r="AV50" s="17"/>
      <c r="AW50" s="17">
        <v>476.54</v>
      </c>
    </row>
    <row r="51" spans="1:49" x14ac:dyDescent="0.35">
      <c r="A51" s="3">
        <f t="shared" ref="A51:A114" si="30">A50+1</f>
        <v>34</v>
      </c>
      <c r="B51" s="17"/>
      <c r="C51" s="17"/>
      <c r="D51" s="17">
        <v>407.87299999999999</v>
      </c>
      <c r="E51" s="17">
        <v>434.23099999999999</v>
      </c>
      <c r="F51" s="17">
        <v>422.70400000000001</v>
      </c>
      <c r="G51" s="17">
        <v>400.02</v>
      </c>
      <c r="H51" s="17"/>
      <c r="I51" s="17"/>
      <c r="J51" s="17">
        <v>399.38299999999998</v>
      </c>
      <c r="K51" s="23"/>
      <c r="L51" s="17">
        <v>518.72199999999998</v>
      </c>
      <c r="M51" s="17">
        <v>395.24900000000002</v>
      </c>
      <c r="N51" s="17">
        <v>462.26</v>
      </c>
      <c r="O51" s="17">
        <v>431.51400000000001</v>
      </c>
      <c r="P51" s="17">
        <v>403.04</v>
      </c>
      <c r="Q51" s="17">
        <v>405.61700000000002</v>
      </c>
      <c r="R51" s="17">
        <v>418.39800000000002</v>
      </c>
      <c r="S51" s="17">
        <v>415.92099999999999</v>
      </c>
      <c r="T51" s="17">
        <v>391.733</v>
      </c>
      <c r="U51" s="17">
        <v>391.01499999999999</v>
      </c>
      <c r="V51" s="17">
        <v>411.47</v>
      </c>
      <c r="W51" s="17">
        <v>420.25599999999997</v>
      </c>
      <c r="X51" s="17">
        <v>444.81099999999998</v>
      </c>
      <c r="Y51" s="17">
        <v>498.33300000000003</v>
      </c>
      <c r="Z51" s="17">
        <v>450.85300000000001</v>
      </c>
      <c r="AA51" s="17">
        <v>416.20100000000002</v>
      </c>
      <c r="AB51" s="17"/>
      <c r="AC51" s="17"/>
      <c r="AD51" s="26"/>
      <c r="AE51" s="17"/>
      <c r="AF51" s="17"/>
      <c r="AG51" s="17"/>
      <c r="AH51" s="17"/>
      <c r="AI51" s="17"/>
      <c r="AJ51" s="17"/>
      <c r="AK51" s="17"/>
      <c r="AL51" s="17"/>
      <c r="AM51" s="17"/>
      <c r="AN51" s="17">
        <v>394.63900000000001</v>
      </c>
      <c r="AO51" s="17">
        <v>412.36500000000001</v>
      </c>
      <c r="AP51" s="17"/>
      <c r="AQ51" s="17">
        <v>394.09</v>
      </c>
      <c r="AR51" s="17"/>
      <c r="AS51" s="17"/>
      <c r="AT51" s="17"/>
      <c r="AU51" s="17"/>
      <c r="AV51" s="17"/>
      <c r="AW51" s="17">
        <v>476.13200000000001</v>
      </c>
    </row>
    <row r="52" spans="1:49" x14ac:dyDescent="0.35">
      <c r="A52" s="3">
        <f t="shared" si="30"/>
        <v>35</v>
      </c>
      <c r="B52" s="17"/>
      <c r="C52" s="17"/>
      <c r="D52" s="17">
        <v>407.35300000000001</v>
      </c>
      <c r="E52" s="17">
        <v>433.92099999999999</v>
      </c>
      <c r="F52" s="17">
        <v>422.72300000000001</v>
      </c>
      <c r="G52" s="17">
        <v>397.50900000000001</v>
      </c>
      <c r="H52" s="17"/>
      <c r="I52" s="17"/>
      <c r="J52" s="17">
        <v>399.916</v>
      </c>
      <c r="K52" s="23"/>
      <c r="L52" s="17">
        <v>518.81399999999996</v>
      </c>
      <c r="M52" s="17">
        <v>396.18099999999998</v>
      </c>
      <c r="N52" s="17">
        <v>461.60500000000002</v>
      </c>
      <c r="O52" s="17">
        <v>432.96199999999999</v>
      </c>
      <c r="P52" s="17">
        <v>401.32499999999999</v>
      </c>
      <c r="Q52" s="17">
        <v>406.48700000000002</v>
      </c>
      <c r="R52" s="17">
        <v>419.47199999999998</v>
      </c>
      <c r="S52" s="17">
        <v>416.28</v>
      </c>
      <c r="T52" s="17">
        <v>392.39800000000002</v>
      </c>
      <c r="U52" s="17">
        <v>392.34500000000003</v>
      </c>
      <c r="V52" s="17">
        <v>409.58699999999999</v>
      </c>
      <c r="W52" s="17">
        <v>421.01600000000002</v>
      </c>
      <c r="X52" s="17">
        <v>443.9</v>
      </c>
      <c r="Y52" s="17">
        <v>499.09100000000001</v>
      </c>
      <c r="Z52" s="17">
        <v>452.52100000000002</v>
      </c>
      <c r="AA52" s="17">
        <v>416.12200000000001</v>
      </c>
      <c r="AB52" s="17"/>
      <c r="AC52" s="17"/>
      <c r="AD52" s="26"/>
      <c r="AE52" s="17"/>
      <c r="AF52" s="17"/>
      <c r="AG52" s="17"/>
      <c r="AH52" s="17"/>
      <c r="AI52" s="17"/>
      <c r="AJ52" s="17"/>
      <c r="AK52" s="17"/>
      <c r="AL52" s="17"/>
      <c r="AM52" s="17"/>
      <c r="AN52" s="17">
        <v>395.16399999999999</v>
      </c>
      <c r="AO52" s="17">
        <v>412.048</v>
      </c>
      <c r="AP52" s="17"/>
      <c r="AQ52" s="17">
        <v>393.94</v>
      </c>
      <c r="AR52" s="17"/>
      <c r="AS52" s="17"/>
      <c r="AT52" s="17"/>
      <c r="AU52" s="17"/>
      <c r="AV52" s="17"/>
      <c r="AW52" s="17">
        <v>475.74700000000001</v>
      </c>
    </row>
    <row r="53" spans="1:49" x14ac:dyDescent="0.35">
      <c r="A53" s="3">
        <f t="shared" si="30"/>
        <v>36</v>
      </c>
      <c r="B53" s="17"/>
      <c r="C53" s="17"/>
      <c r="D53" s="17">
        <v>409.01600000000002</v>
      </c>
      <c r="E53" s="17">
        <v>435.399</v>
      </c>
      <c r="F53" s="17">
        <v>422.97399999999999</v>
      </c>
      <c r="G53" s="17">
        <v>398.75700000000001</v>
      </c>
      <c r="H53" s="17"/>
      <c r="I53" s="17"/>
      <c r="J53" s="17">
        <v>400.14100000000002</v>
      </c>
      <c r="K53" s="23"/>
      <c r="L53" s="17">
        <v>518.85599999999999</v>
      </c>
      <c r="M53" s="17">
        <v>397.173</v>
      </c>
      <c r="N53" s="17">
        <v>462.15899999999999</v>
      </c>
      <c r="O53" s="17">
        <v>432.12099999999998</v>
      </c>
      <c r="P53" s="17">
        <v>401.416</v>
      </c>
      <c r="Q53" s="17">
        <v>405.81599999999997</v>
      </c>
      <c r="R53" s="17">
        <v>418.86399999999998</v>
      </c>
      <c r="S53" s="17">
        <v>418.16800000000001</v>
      </c>
      <c r="T53" s="17">
        <v>391.78199999999998</v>
      </c>
      <c r="U53" s="17">
        <v>392.02300000000002</v>
      </c>
      <c r="V53" s="17">
        <v>408.83199999999999</v>
      </c>
      <c r="W53" s="17">
        <v>420.22800000000001</v>
      </c>
      <c r="X53" s="17">
        <v>444.52800000000002</v>
      </c>
      <c r="Y53" s="17">
        <v>498.36700000000002</v>
      </c>
      <c r="Z53" s="17">
        <v>451.55799999999999</v>
      </c>
      <c r="AA53" s="17">
        <v>416.84800000000001</v>
      </c>
      <c r="AB53" s="17"/>
      <c r="AC53" s="17"/>
      <c r="AD53" s="26"/>
      <c r="AE53" s="17"/>
      <c r="AF53" s="17"/>
      <c r="AG53" s="17"/>
      <c r="AH53" s="17"/>
      <c r="AI53" s="17"/>
      <c r="AJ53" s="17"/>
      <c r="AK53" s="17"/>
      <c r="AL53" s="17"/>
      <c r="AM53" s="17"/>
      <c r="AN53" s="17">
        <v>395.13</v>
      </c>
      <c r="AO53" s="17">
        <v>410.94299999999998</v>
      </c>
      <c r="AP53" s="17"/>
      <c r="AQ53" s="17">
        <v>394.28899999999999</v>
      </c>
      <c r="AR53" s="17"/>
      <c r="AS53" s="17"/>
      <c r="AT53" s="17"/>
      <c r="AU53" s="17"/>
      <c r="AV53" s="17"/>
      <c r="AW53" s="17">
        <v>476.46199999999999</v>
      </c>
    </row>
    <row r="54" spans="1:49" x14ac:dyDescent="0.35">
      <c r="A54" s="3">
        <f t="shared" si="30"/>
        <v>37</v>
      </c>
      <c r="B54" s="17"/>
      <c r="C54" s="17"/>
      <c r="D54" s="17">
        <v>408.42700000000002</v>
      </c>
      <c r="E54" s="17">
        <v>435.03500000000003</v>
      </c>
      <c r="F54" s="17">
        <v>422.34</v>
      </c>
      <c r="G54" s="17">
        <v>398.26299999999998</v>
      </c>
      <c r="H54" s="17"/>
      <c r="I54" s="17"/>
      <c r="J54" s="17">
        <v>401.66399999999999</v>
      </c>
      <c r="K54" s="23"/>
      <c r="L54" s="17">
        <v>519.91800000000001</v>
      </c>
      <c r="M54" s="17">
        <v>396.68400000000003</v>
      </c>
      <c r="N54" s="17">
        <v>462.04399999999998</v>
      </c>
      <c r="O54" s="17">
        <v>433.34699999999998</v>
      </c>
      <c r="P54" s="17">
        <v>402.28100000000001</v>
      </c>
      <c r="Q54" s="17">
        <v>404.834</v>
      </c>
      <c r="R54" s="17">
        <v>420.18900000000002</v>
      </c>
      <c r="S54" s="17">
        <v>415.74799999999999</v>
      </c>
      <c r="T54" s="17">
        <v>391.512</v>
      </c>
      <c r="U54" s="17">
        <v>391.14100000000002</v>
      </c>
      <c r="V54" s="17">
        <v>410.45499999999998</v>
      </c>
      <c r="W54" s="17">
        <v>420.43900000000002</v>
      </c>
      <c r="X54" s="17">
        <v>445.04500000000002</v>
      </c>
      <c r="Y54" s="17">
        <v>498.49299999999999</v>
      </c>
      <c r="Z54" s="17">
        <v>451.255</v>
      </c>
      <c r="AA54" s="17">
        <v>415.68700000000001</v>
      </c>
      <c r="AB54" s="17"/>
      <c r="AC54" s="17"/>
      <c r="AD54" s="26"/>
      <c r="AE54" s="17"/>
      <c r="AF54" s="17"/>
      <c r="AG54" s="17"/>
      <c r="AH54" s="17"/>
      <c r="AI54" s="17"/>
      <c r="AJ54" s="17"/>
      <c r="AK54" s="17"/>
      <c r="AL54" s="17"/>
      <c r="AM54" s="17"/>
      <c r="AN54" s="17">
        <v>394.76400000000001</v>
      </c>
      <c r="AO54" s="17">
        <v>412.25599999999997</v>
      </c>
      <c r="AP54" s="17"/>
      <c r="AQ54" s="17">
        <v>394.6</v>
      </c>
      <c r="AR54" s="17"/>
      <c r="AS54" s="17"/>
      <c r="AT54" s="17"/>
      <c r="AU54" s="17"/>
      <c r="AV54" s="17"/>
      <c r="AW54" s="17">
        <v>476.38400000000001</v>
      </c>
    </row>
    <row r="55" spans="1:49" x14ac:dyDescent="0.35">
      <c r="A55" s="3">
        <f t="shared" si="30"/>
        <v>38</v>
      </c>
      <c r="B55" s="17"/>
      <c r="C55" s="17"/>
      <c r="D55" s="17">
        <v>409.37099999999998</v>
      </c>
      <c r="E55" s="17">
        <v>435.14800000000002</v>
      </c>
      <c r="F55" s="17">
        <v>422.59899999999999</v>
      </c>
      <c r="G55" s="17">
        <v>397.76600000000002</v>
      </c>
      <c r="H55" s="17"/>
      <c r="I55" s="17"/>
      <c r="J55" s="17">
        <v>400.738</v>
      </c>
      <c r="K55" s="23"/>
      <c r="L55" s="17">
        <v>519.73</v>
      </c>
      <c r="M55" s="17">
        <v>397.36900000000003</v>
      </c>
      <c r="N55" s="17">
        <v>461.84</v>
      </c>
      <c r="O55" s="17">
        <v>434.15800000000002</v>
      </c>
      <c r="P55" s="17">
        <v>402.59699999999998</v>
      </c>
      <c r="Q55" s="17">
        <v>406.26799999999997</v>
      </c>
      <c r="R55" s="17">
        <v>421.43200000000002</v>
      </c>
      <c r="S55" s="17">
        <v>416.06099999999998</v>
      </c>
      <c r="T55" s="17">
        <v>392.19600000000003</v>
      </c>
      <c r="U55" s="17">
        <v>392.26799999999997</v>
      </c>
      <c r="V55" s="17">
        <v>410.32400000000001</v>
      </c>
      <c r="W55" s="17">
        <v>420.37200000000001</v>
      </c>
      <c r="X55" s="17">
        <v>445.983</v>
      </c>
      <c r="Y55" s="17">
        <v>501.02499999999998</v>
      </c>
      <c r="Z55" s="17">
        <v>451.48599999999999</v>
      </c>
      <c r="AA55" s="17">
        <v>416.41699999999997</v>
      </c>
      <c r="AB55" s="17"/>
      <c r="AC55" s="17"/>
      <c r="AD55" s="26"/>
      <c r="AE55" s="17"/>
      <c r="AF55" s="17"/>
      <c r="AG55" s="17"/>
      <c r="AH55" s="17"/>
      <c r="AI55" s="17"/>
      <c r="AJ55" s="17"/>
      <c r="AK55" s="17"/>
      <c r="AL55" s="17"/>
      <c r="AM55" s="17"/>
      <c r="AN55" s="17">
        <v>394.37099999999998</v>
      </c>
      <c r="AO55" s="17">
        <v>411.33699999999999</v>
      </c>
      <c r="AP55" s="17"/>
      <c r="AQ55" s="17">
        <v>396.06599999999997</v>
      </c>
      <c r="AR55" s="17"/>
      <c r="AS55" s="17"/>
      <c r="AT55" s="17"/>
      <c r="AU55" s="17"/>
      <c r="AV55" s="17"/>
      <c r="AW55" s="17">
        <v>476.44299999999998</v>
      </c>
    </row>
    <row r="56" spans="1:49" x14ac:dyDescent="0.35">
      <c r="A56" s="3">
        <f t="shared" si="30"/>
        <v>39</v>
      </c>
      <c r="B56" s="17"/>
      <c r="C56" s="17"/>
      <c r="D56" s="17">
        <v>410.262</v>
      </c>
      <c r="E56" s="17">
        <v>435.767</v>
      </c>
      <c r="F56" s="17">
        <v>422.59500000000003</v>
      </c>
      <c r="G56" s="17">
        <v>398.78</v>
      </c>
      <c r="H56" s="17"/>
      <c r="I56" s="17"/>
      <c r="J56" s="17">
        <v>402.64800000000002</v>
      </c>
      <c r="K56" s="23"/>
      <c r="L56" s="17">
        <v>519.4</v>
      </c>
      <c r="M56" s="17">
        <v>397.553</v>
      </c>
      <c r="N56" s="17">
        <v>462.226</v>
      </c>
      <c r="O56" s="17">
        <v>432.67200000000003</v>
      </c>
      <c r="P56" s="17">
        <v>402.82400000000001</v>
      </c>
      <c r="Q56" s="17">
        <v>405.125</v>
      </c>
      <c r="R56" s="17">
        <v>421.13200000000001</v>
      </c>
      <c r="S56" s="17">
        <v>415.48399999999998</v>
      </c>
      <c r="T56" s="17">
        <v>392.22500000000002</v>
      </c>
      <c r="U56" s="17">
        <v>393.68900000000002</v>
      </c>
      <c r="V56" s="17">
        <v>412.50599999999997</v>
      </c>
      <c r="W56" s="17">
        <v>421.08300000000003</v>
      </c>
      <c r="X56" s="17">
        <v>445.327</v>
      </c>
      <c r="Y56" s="17">
        <v>498.13900000000001</v>
      </c>
      <c r="Z56" s="17">
        <v>451.565</v>
      </c>
      <c r="AA56" s="17">
        <v>417.72899999999998</v>
      </c>
      <c r="AB56" s="17"/>
      <c r="AC56" s="17"/>
      <c r="AD56" s="26"/>
      <c r="AE56" s="17"/>
      <c r="AF56" s="17"/>
      <c r="AG56" s="17"/>
      <c r="AH56" s="17"/>
      <c r="AI56" s="17"/>
      <c r="AJ56" s="17"/>
      <c r="AK56" s="17"/>
      <c r="AL56" s="17"/>
      <c r="AM56" s="17"/>
      <c r="AN56" s="17">
        <v>395.61</v>
      </c>
      <c r="AO56" s="17">
        <v>411.83300000000003</v>
      </c>
      <c r="AP56" s="17"/>
      <c r="AQ56" s="17">
        <v>395.25799999999998</v>
      </c>
      <c r="AR56" s="17"/>
      <c r="AS56" s="17"/>
      <c r="AT56" s="17"/>
      <c r="AU56" s="17"/>
      <c r="AV56" s="17"/>
      <c r="AW56" s="17">
        <v>477.36599999999999</v>
      </c>
    </row>
    <row r="57" spans="1:49" x14ac:dyDescent="0.35">
      <c r="A57" s="3">
        <f t="shared" si="30"/>
        <v>40</v>
      </c>
      <c r="B57" s="17"/>
      <c r="C57" s="17"/>
      <c r="D57" s="17">
        <v>409.17399999999998</v>
      </c>
      <c r="E57" s="17">
        <v>434.99200000000002</v>
      </c>
      <c r="F57" s="17">
        <v>423.745</v>
      </c>
      <c r="G57" s="17">
        <v>397.90199999999999</v>
      </c>
      <c r="H57" s="17"/>
      <c r="I57" s="17"/>
      <c r="J57" s="17">
        <v>402.67200000000003</v>
      </c>
      <c r="K57" s="23"/>
      <c r="L57" s="17">
        <v>519.32000000000005</v>
      </c>
      <c r="M57" s="17">
        <v>397.60300000000001</v>
      </c>
      <c r="N57" s="17">
        <v>463.072</v>
      </c>
      <c r="O57" s="17">
        <v>432.71899999999999</v>
      </c>
      <c r="P57" s="17">
        <v>401.40100000000001</v>
      </c>
      <c r="Q57" s="17">
        <v>406.90899999999999</v>
      </c>
      <c r="R57" s="17">
        <v>423.38499999999999</v>
      </c>
      <c r="S57" s="17">
        <v>416.69400000000002</v>
      </c>
      <c r="T57" s="17">
        <v>392.90499999999997</v>
      </c>
      <c r="U57" s="17">
        <v>390.63299999999998</v>
      </c>
      <c r="V57" s="17">
        <v>412.83</v>
      </c>
      <c r="W57" s="17">
        <v>421.54500000000002</v>
      </c>
      <c r="X57" s="17">
        <v>444.57299999999998</v>
      </c>
      <c r="Y57" s="17">
        <v>497.411</v>
      </c>
      <c r="Z57" s="17">
        <v>452.28199999999998</v>
      </c>
      <c r="AA57" s="17">
        <v>417.928</v>
      </c>
      <c r="AB57" s="17"/>
      <c r="AC57" s="17"/>
      <c r="AD57" s="26"/>
      <c r="AE57" s="17"/>
      <c r="AF57" s="17"/>
      <c r="AG57" s="17"/>
      <c r="AH57" s="17"/>
      <c r="AI57" s="17"/>
      <c r="AJ57" s="17"/>
      <c r="AK57" s="17"/>
      <c r="AL57" s="17"/>
      <c r="AM57" s="17"/>
      <c r="AN57" s="17">
        <v>395.78199999999998</v>
      </c>
      <c r="AO57" s="17">
        <v>411.37099999999998</v>
      </c>
      <c r="AP57" s="17"/>
      <c r="AQ57" s="17">
        <v>395.29500000000002</v>
      </c>
      <c r="AR57" s="17"/>
      <c r="AS57" s="17"/>
      <c r="AT57" s="17"/>
      <c r="AU57" s="17"/>
      <c r="AV57" s="17"/>
      <c r="AW57" s="17">
        <v>475.65899999999999</v>
      </c>
    </row>
    <row r="58" spans="1:49" x14ac:dyDescent="0.35">
      <c r="A58" s="3">
        <f t="shared" si="30"/>
        <v>41</v>
      </c>
      <c r="B58" s="17"/>
      <c r="C58" s="17"/>
      <c r="D58" s="17">
        <v>409.476</v>
      </c>
      <c r="E58" s="17">
        <v>434.98700000000002</v>
      </c>
      <c r="F58" s="17">
        <v>424.21800000000002</v>
      </c>
      <c r="G58" s="17">
        <v>399.87</v>
      </c>
      <c r="H58" s="17"/>
      <c r="I58" s="17"/>
      <c r="J58" s="17">
        <v>402.96499999999997</v>
      </c>
      <c r="K58" s="23"/>
      <c r="L58" s="17">
        <v>519.35699999999997</v>
      </c>
      <c r="M58" s="17">
        <v>396.91699999999997</v>
      </c>
      <c r="N58" s="17">
        <v>462.14299999999997</v>
      </c>
      <c r="O58" s="17">
        <v>433.35500000000002</v>
      </c>
      <c r="P58" s="17">
        <v>404.13600000000002</v>
      </c>
      <c r="Q58" s="17">
        <v>406.392</v>
      </c>
      <c r="R58" s="17">
        <v>423.06900000000002</v>
      </c>
      <c r="S58" s="17">
        <v>416.84500000000003</v>
      </c>
      <c r="T58" s="17">
        <v>392.39600000000002</v>
      </c>
      <c r="U58" s="17">
        <v>392.71899999999999</v>
      </c>
      <c r="V58" s="17">
        <v>411.423</v>
      </c>
      <c r="W58" s="17">
        <v>420.30399999999997</v>
      </c>
      <c r="X58" s="17">
        <v>446.03800000000001</v>
      </c>
      <c r="Y58" s="17">
        <v>497.87200000000001</v>
      </c>
      <c r="Z58" s="17">
        <v>453.73200000000003</v>
      </c>
      <c r="AA58" s="17">
        <v>418.95600000000002</v>
      </c>
      <c r="AB58" s="17"/>
      <c r="AC58" s="17"/>
      <c r="AD58" s="26"/>
      <c r="AE58" s="17"/>
      <c r="AF58" s="17"/>
      <c r="AG58" s="17"/>
      <c r="AH58" s="17"/>
      <c r="AI58" s="17"/>
      <c r="AJ58" s="17"/>
      <c r="AK58" s="17"/>
      <c r="AL58" s="17"/>
      <c r="AM58" s="17"/>
      <c r="AN58" s="17">
        <v>395.80099999999999</v>
      </c>
      <c r="AO58" s="17">
        <v>411.029</v>
      </c>
      <c r="AP58" s="17"/>
      <c r="AQ58" s="17">
        <v>396.61200000000002</v>
      </c>
      <c r="AR58" s="17"/>
      <c r="AS58" s="17"/>
      <c r="AT58" s="17"/>
      <c r="AU58" s="17"/>
      <c r="AV58" s="17"/>
      <c r="AW58" s="17">
        <v>476.43900000000002</v>
      </c>
    </row>
    <row r="59" spans="1:49" x14ac:dyDescent="0.35">
      <c r="A59" s="3">
        <f t="shared" si="30"/>
        <v>42</v>
      </c>
      <c r="B59" s="17"/>
      <c r="C59" s="17"/>
      <c r="D59" s="17">
        <v>410.077</v>
      </c>
      <c r="E59" s="17">
        <v>435.48099999999999</v>
      </c>
      <c r="F59" s="17">
        <v>423.447</v>
      </c>
      <c r="G59" s="17">
        <v>398.67700000000002</v>
      </c>
      <c r="H59" s="17"/>
      <c r="I59" s="17"/>
      <c r="J59" s="17">
        <v>404.30099999999999</v>
      </c>
      <c r="K59" s="23"/>
      <c r="L59" s="17">
        <v>520.17399999999998</v>
      </c>
      <c r="M59" s="17">
        <v>397.59100000000001</v>
      </c>
      <c r="N59" s="17">
        <v>463.56400000000002</v>
      </c>
      <c r="O59" s="17">
        <v>433.00900000000001</v>
      </c>
      <c r="P59" s="17">
        <v>401.89100000000002</v>
      </c>
      <c r="Q59" s="17">
        <v>404.77499999999998</v>
      </c>
      <c r="R59" s="17">
        <v>423.74299999999999</v>
      </c>
      <c r="S59" s="17">
        <v>415.76400000000001</v>
      </c>
      <c r="T59" s="17">
        <v>393.71600000000001</v>
      </c>
      <c r="U59" s="17">
        <v>392.20100000000002</v>
      </c>
      <c r="V59" s="17">
        <v>411.82100000000003</v>
      </c>
      <c r="W59" s="17">
        <v>422.02300000000002</v>
      </c>
      <c r="X59" s="17">
        <v>444.55599999999998</v>
      </c>
      <c r="Y59" s="17">
        <v>496.46199999999999</v>
      </c>
      <c r="Z59" s="17">
        <v>453.66</v>
      </c>
      <c r="AA59" s="17">
        <v>419.95699999999999</v>
      </c>
      <c r="AB59" s="17"/>
      <c r="AC59" s="17"/>
      <c r="AD59" s="26"/>
      <c r="AE59" s="17"/>
      <c r="AF59" s="17"/>
      <c r="AG59" s="17"/>
      <c r="AH59" s="17"/>
      <c r="AI59" s="17"/>
      <c r="AJ59" s="17"/>
      <c r="AK59" s="17"/>
      <c r="AL59" s="17"/>
      <c r="AM59" s="17"/>
      <c r="AN59" s="17">
        <v>394.9</v>
      </c>
      <c r="AO59" s="17">
        <v>411.01</v>
      </c>
      <c r="AP59" s="17"/>
      <c r="AQ59" s="17">
        <v>393.53699999999998</v>
      </c>
      <c r="AR59" s="17"/>
      <c r="AS59" s="17"/>
      <c r="AT59" s="17"/>
      <c r="AU59" s="17"/>
      <c r="AV59" s="17"/>
      <c r="AW59" s="17">
        <v>476.779</v>
      </c>
    </row>
    <row r="60" spans="1:49" x14ac:dyDescent="0.35">
      <c r="A60" s="3">
        <f t="shared" si="30"/>
        <v>43</v>
      </c>
      <c r="B60" s="17"/>
      <c r="C60" s="17"/>
      <c r="D60" s="17">
        <v>410.67200000000003</v>
      </c>
      <c r="E60" s="17">
        <v>435.68799999999999</v>
      </c>
      <c r="F60" s="17">
        <v>423.76600000000002</v>
      </c>
      <c r="G60" s="17">
        <v>398.11700000000002</v>
      </c>
      <c r="H60" s="17"/>
      <c r="I60" s="17"/>
      <c r="J60" s="17">
        <v>403.24</v>
      </c>
      <c r="K60" s="23"/>
      <c r="L60" s="17">
        <v>519.81299999999999</v>
      </c>
      <c r="M60" s="17">
        <v>398.041</v>
      </c>
      <c r="N60" s="17">
        <v>463.96699999999998</v>
      </c>
      <c r="O60" s="17">
        <v>433.80200000000002</v>
      </c>
      <c r="P60" s="17">
        <v>401.459</v>
      </c>
      <c r="Q60" s="17">
        <v>405.87799999999999</v>
      </c>
      <c r="R60" s="17">
        <v>424.37799999999999</v>
      </c>
      <c r="S60" s="17">
        <v>416.08100000000002</v>
      </c>
      <c r="T60" s="17">
        <v>393.28399999999999</v>
      </c>
      <c r="U60" s="17">
        <v>393.27699999999999</v>
      </c>
      <c r="V60" s="17">
        <v>411.12700000000001</v>
      </c>
      <c r="W60" s="17">
        <v>420.86900000000003</v>
      </c>
      <c r="X60" s="17">
        <v>445.37799999999999</v>
      </c>
      <c r="Y60" s="17">
        <v>497.976</v>
      </c>
      <c r="Z60" s="17">
        <v>453.476</v>
      </c>
      <c r="AA60" s="17">
        <v>419.709</v>
      </c>
      <c r="AB60" s="17"/>
      <c r="AC60" s="17"/>
      <c r="AD60" s="26"/>
      <c r="AE60" s="17"/>
      <c r="AF60" s="17"/>
      <c r="AG60" s="17"/>
      <c r="AH60" s="17"/>
      <c r="AI60" s="17"/>
      <c r="AJ60" s="17"/>
      <c r="AK60" s="17"/>
      <c r="AL60" s="17"/>
      <c r="AM60" s="17"/>
      <c r="AN60" s="17">
        <v>394.84899999999999</v>
      </c>
      <c r="AO60" s="17">
        <v>411.15100000000001</v>
      </c>
      <c r="AP60" s="17"/>
      <c r="AQ60" s="17">
        <v>395.62200000000001</v>
      </c>
      <c r="AR60" s="17"/>
      <c r="AS60" s="17"/>
      <c r="AT60" s="17"/>
      <c r="AU60" s="17"/>
      <c r="AV60" s="17"/>
      <c r="AW60" s="17">
        <v>477.84300000000002</v>
      </c>
    </row>
    <row r="61" spans="1:49" x14ac:dyDescent="0.35">
      <c r="A61" s="3">
        <f t="shared" si="30"/>
        <v>44</v>
      </c>
      <c r="B61" s="17"/>
      <c r="C61" s="17"/>
      <c r="D61" s="17">
        <v>411.44499999999999</v>
      </c>
      <c r="E61" s="17">
        <v>436.33600000000001</v>
      </c>
      <c r="F61" s="17">
        <v>422.834</v>
      </c>
      <c r="G61" s="17">
        <v>400.142</v>
      </c>
      <c r="H61" s="17"/>
      <c r="I61" s="17"/>
      <c r="J61" s="17">
        <v>403.226</v>
      </c>
      <c r="K61" s="23"/>
      <c r="L61" s="17">
        <v>520.99199999999996</v>
      </c>
      <c r="M61" s="17">
        <v>398.95699999999999</v>
      </c>
      <c r="N61" s="17">
        <v>464.048</v>
      </c>
      <c r="O61" s="17">
        <v>434.15899999999999</v>
      </c>
      <c r="P61" s="17">
        <v>402.36500000000001</v>
      </c>
      <c r="Q61" s="17">
        <v>405.97199999999998</v>
      </c>
      <c r="R61" s="17">
        <v>424.536</v>
      </c>
      <c r="S61" s="17">
        <v>417.12900000000002</v>
      </c>
      <c r="T61" s="17">
        <v>393.88600000000002</v>
      </c>
      <c r="U61" s="17">
        <v>393.41800000000001</v>
      </c>
      <c r="V61" s="17">
        <v>410.37200000000001</v>
      </c>
      <c r="W61" s="17">
        <v>420.11700000000002</v>
      </c>
      <c r="X61" s="17">
        <v>444.971</v>
      </c>
      <c r="Y61" s="17">
        <v>496.089</v>
      </c>
      <c r="Z61" s="17">
        <v>452.42</v>
      </c>
      <c r="AA61" s="17">
        <v>418.32900000000001</v>
      </c>
      <c r="AB61" s="17"/>
      <c r="AC61" s="17"/>
      <c r="AD61" s="26"/>
      <c r="AE61" s="17"/>
      <c r="AF61" s="17"/>
      <c r="AG61" s="17"/>
      <c r="AH61" s="17"/>
      <c r="AI61" s="17"/>
      <c r="AJ61" s="17"/>
      <c r="AK61" s="17"/>
      <c r="AL61" s="17"/>
      <c r="AM61" s="17"/>
      <c r="AN61" s="17">
        <v>394.71199999999999</v>
      </c>
      <c r="AO61" s="17">
        <v>412.40300000000002</v>
      </c>
      <c r="AP61" s="17"/>
      <c r="AQ61" s="17">
        <v>395.24200000000002</v>
      </c>
      <c r="AR61" s="17"/>
      <c r="AS61" s="17"/>
      <c r="AT61" s="17"/>
      <c r="AU61" s="17"/>
      <c r="AV61" s="17"/>
      <c r="AW61" s="17">
        <v>477.69499999999999</v>
      </c>
    </row>
    <row r="62" spans="1:49" x14ac:dyDescent="0.35">
      <c r="A62" s="3">
        <f t="shared" si="30"/>
        <v>45</v>
      </c>
      <c r="B62" s="17"/>
      <c r="C62" s="17"/>
      <c r="D62" s="17">
        <v>412.72199999999998</v>
      </c>
      <c r="E62" s="17">
        <v>436.09</v>
      </c>
      <c r="F62" s="17">
        <v>423.86200000000002</v>
      </c>
      <c r="G62" s="17">
        <v>399.03199999999998</v>
      </c>
      <c r="H62" s="17"/>
      <c r="I62" s="17"/>
      <c r="J62" s="17">
        <v>404.74700000000001</v>
      </c>
      <c r="K62" s="23"/>
      <c r="L62" s="17">
        <v>519.63400000000001</v>
      </c>
      <c r="M62" s="17">
        <v>399.995</v>
      </c>
      <c r="N62" s="17">
        <v>463.86900000000003</v>
      </c>
      <c r="O62" s="17">
        <v>433.94499999999999</v>
      </c>
      <c r="P62" s="17">
        <v>401.97399999999999</v>
      </c>
      <c r="Q62" s="17">
        <v>404.00299999999999</v>
      </c>
      <c r="R62" s="17">
        <v>423.38099999999997</v>
      </c>
      <c r="S62" s="17">
        <v>415.43799999999999</v>
      </c>
      <c r="T62" s="17">
        <v>394.036</v>
      </c>
      <c r="U62" s="17">
        <v>394.19099999999997</v>
      </c>
      <c r="V62" s="17">
        <v>412.61500000000001</v>
      </c>
      <c r="W62" s="17">
        <v>420.02600000000001</v>
      </c>
      <c r="X62" s="17">
        <v>445.69900000000001</v>
      </c>
      <c r="Y62" s="17">
        <v>495.22800000000001</v>
      </c>
      <c r="Z62" s="17">
        <v>452.21600000000001</v>
      </c>
      <c r="AA62" s="17">
        <v>418.32299999999998</v>
      </c>
      <c r="AB62" s="17"/>
      <c r="AC62" s="17"/>
      <c r="AD62" s="26"/>
      <c r="AE62" s="17"/>
      <c r="AF62" s="17"/>
      <c r="AG62" s="17"/>
      <c r="AH62" s="17"/>
      <c r="AI62" s="17"/>
      <c r="AJ62" s="17"/>
      <c r="AK62" s="17"/>
      <c r="AL62" s="17"/>
      <c r="AM62" s="17"/>
      <c r="AN62" s="17">
        <v>394.87799999999999</v>
      </c>
      <c r="AO62" s="17">
        <v>412.483</v>
      </c>
      <c r="AP62" s="17"/>
      <c r="AQ62" s="17">
        <v>394.58800000000002</v>
      </c>
      <c r="AR62" s="17"/>
      <c r="AS62" s="17"/>
      <c r="AT62" s="17"/>
      <c r="AU62" s="17"/>
      <c r="AV62" s="17"/>
      <c r="AW62" s="17">
        <v>478.6</v>
      </c>
    </row>
    <row r="63" spans="1:49" x14ac:dyDescent="0.35">
      <c r="A63" s="3">
        <f t="shared" si="30"/>
        <v>46</v>
      </c>
      <c r="B63" s="17"/>
      <c r="C63" s="17"/>
      <c r="D63" s="17">
        <v>413.53300000000002</v>
      </c>
      <c r="E63" s="17">
        <v>435.185</v>
      </c>
      <c r="F63" s="17">
        <v>423.822</v>
      </c>
      <c r="G63" s="17">
        <v>399.31799999999998</v>
      </c>
      <c r="H63" s="17"/>
      <c r="I63" s="17"/>
      <c r="J63" s="17">
        <v>405.452</v>
      </c>
      <c r="K63" s="23"/>
      <c r="L63" s="17">
        <v>520.27200000000005</v>
      </c>
      <c r="M63" s="17">
        <v>401.69299999999998</v>
      </c>
      <c r="N63" s="17">
        <v>464.30500000000001</v>
      </c>
      <c r="O63" s="17">
        <v>433.96300000000002</v>
      </c>
      <c r="P63" s="17">
        <v>402.58800000000002</v>
      </c>
      <c r="Q63" s="17">
        <v>405.05500000000001</v>
      </c>
      <c r="R63" s="17">
        <v>424.05200000000002</v>
      </c>
      <c r="S63" s="17">
        <v>417.37900000000002</v>
      </c>
      <c r="T63" s="17">
        <v>394.17500000000001</v>
      </c>
      <c r="U63" s="17">
        <v>393.34500000000003</v>
      </c>
      <c r="V63" s="17">
        <v>413.25099999999998</v>
      </c>
      <c r="W63" s="17">
        <v>421.14699999999999</v>
      </c>
      <c r="X63" s="17">
        <v>444.59100000000001</v>
      </c>
      <c r="Y63" s="17">
        <v>494.37200000000001</v>
      </c>
      <c r="Z63" s="17">
        <v>452.90199999999999</v>
      </c>
      <c r="AA63" s="17">
        <v>419.00599999999997</v>
      </c>
      <c r="AB63" s="17"/>
      <c r="AC63" s="17"/>
      <c r="AD63" s="26"/>
      <c r="AE63" s="17"/>
      <c r="AF63" s="17"/>
      <c r="AG63" s="17"/>
      <c r="AH63" s="17"/>
      <c r="AI63" s="17"/>
      <c r="AJ63" s="17"/>
      <c r="AK63" s="17"/>
      <c r="AL63" s="17"/>
      <c r="AM63" s="17"/>
      <c r="AN63" s="17">
        <v>395.04</v>
      </c>
      <c r="AO63" s="17">
        <v>412.75200000000001</v>
      </c>
      <c r="AP63" s="17"/>
      <c r="AQ63" s="17">
        <v>394.58800000000002</v>
      </c>
      <c r="AR63" s="17"/>
      <c r="AS63" s="17"/>
      <c r="AT63" s="17"/>
      <c r="AU63" s="17"/>
      <c r="AV63" s="17"/>
      <c r="AW63" s="17">
        <v>477.79300000000001</v>
      </c>
    </row>
    <row r="64" spans="1:49" x14ac:dyDescent="0.35">
      <c r="A64" s="3">
        <f t="shared" si="30"/>
        <v>47</v>
      </c>
      <c r="B64" s="17"/>
      <c r="C64" s="17"/>
      <c r="D64" s="17">
        <v>413.77100000000002</v>
      </c>
      <c r="E64" s="17">
        <v>435.49599999999998</v>
      </c>
      <c r="F64" s="17">
        <v>423.75700000000001</v>
      </c>
      <c r="G64" s="17">
        <v>400.18200000000002</v>
      </c>
      <c r="H64" s="17"/>
      <c r="I64" s="17"/>
      <c r="J64" s="17">
        <v>404.36599999999999</v>
      </c>
      <c r="K64" s="23"/>
      <c r="L64" s="17">
        <v>520.25900000000001</v>
      </c>
      <c r="M64" s="17">
        <v>402.11900000000003</v>
      </c>
      <c r="N64" s="17">
        <v>463.32900000000001</v>
      </c>
      <c r="O64" s="17">
        <v>434.274</v>
      </c>
      <c r="P64" s="17">
        <v>403.19900000000001</v>
      </c>
      <c r="Q64" s="17">
        <v>403.26499999999999</v>
      </c>
      <c r="R64" s="17">
        <v>424.45299999999997</v>
      </c>
      <c r="S64" s="17">
        <v>417.97500000000002</v>
      </c>
      <c r="T64" s="17">
        <v>394.423</v>
      </c>
      <c r="U64" s="17">
        <v>392.90800000000002</v>
      </c>
      <c r="V64" s="17">
        <v>413.44499999999999</v>
      </c>
      <c r="W64" s="17">
        <v>421.00400000000002</v>
      </c>
      <c r="X64" s="17">
        <v>446.46300000000002</v>
      </c>
      <c r="Y64" s="17">
        <v>496.29399999999998</v>
      </c>
      <c r="Z64" s="17">
        <v>452.6</v>
      </c>
      <c r="AA64" s="17">
        <v>419.68700000000001</v>
      </c>
      <c r="AB64" s="17"/>
      <c r="AC64" s="17"/>
      <c r="AD64" s="26"/>
      <c r="AE64" s="17"/>
      <c r="AF64" s="17"/>
      <c r="AG64" s="17"/>
      <c r="AH64" s="17"/>
      <c r="AI64" s="17"/>
      <c r="AJ64" s="17"/>
      <c r="AK64" s="17"/>
      <c r="AL64" s="17"/>
      <c r="AM64" s="17"/>
      <c r="AN64" s="17">
        <v>394.86</v>
      </c>
      <c r="AO64" s="17">
        <v>413.72500000000002</v>
      </c>
      <c r="AP64" s="17"/>
      <c r="AQ64" s="17">
        <v>394.48700000000002</v>
      </c>
      <c r="AR64" s="17"/>
      <c r="AS64" s="17"/>
      <c r="AT64" s="17"/>
      <c r="AU64" s="17"/>
      <c r="AV64" s="17"/>
      <c r="AW64" s="17">
        <v>477.85</v>
      </c>
    </row>
    <row r="65" spans="1:49" x14ac:dyDescent="0.35">
      <c r="A65" s="3">
        <f t="shared" si="30"/>
        <v>48</v>
      </c>
      <c r="B65" s="17"/>
      <c r="C65" s="17"/>
      <c r="D65" s="17">
        <v>414.75099999999998</v>
      </c>
      <c r="E65" s="17">
        <v>436.02800000000002</v>
      </c>
      <c r="F65" s="17">
        <v>424.31299999999999</v>
      </c>
      <c r="G65" s="17">
        <v>399.322</v>
      </c>
      <c r="H65" s="17"/>
      <c r="I65" s="17"/>
      <c r="J65" s="17">
        <v>406.06799999999998</v>
      </c>
      <c r="K65" s="23"/>
      <c r="L65" s="17">
        <v>520.65499999999997</v>
      </c>
      <c r="M65" s="17">
        <v>404.738</v>
      </c>
      <c r="N65" s="17">
        <v>464.98599999999999</v>
      </c>
      <c r="O65" s="17">
        <v>433.04199999999997</v>
      </c>
      <c r="P65" s="17">
        <v>401.42</v>
      </c>
      <c r="Q65" s="17">
        <v>404.25799999999998</v>
      </c>
      <c r="R65" s="17">
        <v>425.61399999999998</v>
      </c>
      <c r="S65" s="17">
        <v>417.41800000000001</v>
      </c>
      <c r="T65" s="17">
        <v>393.94299999999998</v>
      </c>
      <c r="U65" s="17">
        <v>393.69900000000001</v>
      </c>
      <c r="V65" s="17">
        <v>413.30500000000001</v>
      </c>
      <c r="W65" s="17">
        <v>421.83699999999999</v>
      </c>
      <c r="X65" s="17">
        <v>445.46</v>
      </c>
      <c r="Y65" s="17">
        <v>495.322</v>
      </c>
      <c r="Z65" s="17">
        <v>451.89499999999998</v>
      </c>
      <c r="AA65" s="17">
        <v>419.46499999999997</v>
      </c>
      <c r="AB65" s="17"/>
      <c r="AC65" s="17"/>
      <c r="AD65" s="26"/>
      <c r="AE65" s="17"/>
      <c r="AF65" s="17"/>
      <c r="AG65" s="17"/>
      <c r="AH65" s="17"/>
      <c r="AI65" s="17"/>
      <c r="AJ65" s="17"/>
      <c r="AK65" s="17"/>
      <c r="AL65" s="17"/>
      <c r="AM65" s="17"/>
      <c r="AN65" s="17">
        <v>395.089</v>
      </c>
      <c r="AO65" s="17">
        <v>414.19400000000002</v>
      </c>
      <c r="AP65" s="17"/>
      <c r="AQ65" s="17">
        <v>394.67399999999998</v>
      </c>
      <c r="AR65" s="17"/>
      <c r="AS65" s="17"/>
      <c r="AT65" s="17"/>
      <c r="AU65" s="17"/>
      <c r="AV65" s="17"/>
      <c r="AW65" s="17">
        <v>479.06400000000002</v>
      </c>
    </row>
    <row r="66" spans="1:49" x14ac:dyDescent="0.35">
      <c r="A66" s="3">
        <f t="shared" si="30"/>
        <v>49</v>
      </c>
      <c r="B66" s="17"/>
      <c r="C66" s="17"/>
      <c r="D66" s="17">
        <v>414.37200000000001</v>
      </c>
      <c r="E66" s="17">
        <v>435.84199999999998</v>
      </c>
      <c r="F66" s="17">
        <v>424.50599999999997</v>
      </c>
      <c r="G66" s="17">
        <v>399.87</v>
      </c>
      <c r="H66" s="17"/>
      <c r="I66" s="17"/>
      <c r="J66" s="17">
        <v>406.17700000000002</v>
      </c>
      <c r="K66" s="23"/>
      <c r="L66" s="17">
        <v>520.54899999999998</v>
      </c>
      <c r="M66" s="17">
        <v>404.44099999999997</v>
      </c>
      <c r="N66" s="17">
        <v>465.18900000000002</v>
      </c>
      <c r="O66" s="17">
        <v>434.31099999999998</v>
      </c>
      <c r="P66" s="17">
        <v>404.01799999999997</v>
      </c>
      <c r="Q66" s="17">
        <v>403.61900000000003</v>
      </c>
      <c r="R66" s="17">
        <v>425.61599999999999</v>
      </c>
      <c r="S66" s="17">
        <v>418.17700000000002</v>
      </c>
      <c r="T66" s="17">
        <v>395.351</v>
      </c>
      <c r="U66" s="17">
        <v>393.45600000000002</v>
      </c>
      <c r="V66" s="17">
        <v>413.82</v>
      </c>
      <c r="W66" s="17">
        <v>420.72800000000001</v>
      </c>
      <c r="X66" s="17">
        <v>444.86700000000002</v>
      </c>
      <c r="Y66" s="17">
        <v>495.57600000000002</v>
      </c>
      <c r="Z66" s="17">
        <v>452.56400000000002</v>
      </c>
      <c r="AA66" s="17">
        <v>418.11500000000001</v>
      </c>
      <c r="AB66" s="17"/>
      <c r="AC66" s="17"/>
      <c r="AD66" s="26"/>
      <c r="AE66" s="17"/>
      <c r="AF66" s="17"/>
      <c r="AG66" s="17"/>
      <c r="AH66" s="17"/>
      <c r="AI66" s="17"/>
      <c r="AJ66" s="17"/>
      <c r="AK66" s="17"/>
      <c r="AL66" s="17"/>
      <c r="AM66" s="17"/>
      <c r="AN66" s="17">
        <v>395.18400000000003</v>
      </c>
      <c r="AO66" s="17">
        <v>413.11399999999998</v>
      </c>
      <c r="AP66" s="17"/>
      <c r="AQ66" s="17">
        <v>393.88</v>
      </c>
      <c r="AR66" s="17"/>
      <c r="AS66" s="17"/>
      <c r="AT66" s="17"/>
      <c r="AU66" s="17"/>
      <c r="AV66" s="17"/>
      <c r="AW66" s="17">
        <v>479.88600000000002</v>
      </c>
    </row>
    <row r="67" spans="1:49" x14ac:dyDescent="0.35">
      <c r="A67" s="3">
        <f t="shared" si="30"/>
        <v>50</v>
      </c>
      <c r="B67" s="17"/>
      <c r="C67" s="17"/>
      <c r="D67" s="17">
        <v>414.68299999999999</v>
      </c>
      <c r="E67" s="17">
        <v>436.28899999999999</v>
      </c>
      <c r="F67" s="17">
        <v>423.75599999999997</v>
      </c>
      <c r="G67" s="17">
        <v>399.67599999999999</v>
      </c>
      <c r="H67" s="17"/>
      <c r="I67" s="17"/>
      <c r="J67" s="17">
        <v>406.65100000000001</v>
      </c>
      <c r="K67" s="23"/>
      <c r="L67" s="17">
        <v>521.08199999999999</v>
      </c>
      <c r="M67" s="17">
        <v>405.19400000000002</v>
      </c>
      <c r="N67" s="17">
        <v>463.32600000000002</v>
      </c>
      <c r="O67" s="17">
        <v>435.18700000000001</v>
      </c>
      <c r="P67" s="17">
        <v>403.61799999999999</v>
      </c>
      <c r="Q67" s="17">
        <v>401.85599999999999</v>
      </c>
      <c r="R67" s="17">
        <v>427.11200000000002</v>
      </c>
      <c r="S67" s="17">
        <v>416.38799999999998</v>
      </c>
      <c r="T67" s="17">
        <v>395.09899999999999</v>
      </c>
      <c r="U67" s="17">
        <v>393.53500000000003</v>
      </c>
      <c r="V67" s="17">
        <v>412.46699999999998</v>
      </c>
      <c r="W67" s="17">
        <v>421.87799999999999</v>
      </c>
      <c r="X67" s="17">
        <v>445.45800000000003</v>
      </c>
      <c r="Y67" s="17">
        <v>497.28100000000001</v>
      </c>
      <c r="Z67" s="17">
        <v>453.99599999999998</v>
      </c>
      <c r="AA67" s="17">
        <v>420.11599999999999</v>
      </c>
      <c r="AB67" s="17"/>
      <c r="AC67" s="17"/>
      <c r="AD67" s="26"/>
      <c r="AE67" s="17"/>
      <c r="AF67" s="17"/>
      <c r="AG67" s="17"/>
      <c r="AH67" s="17"/>
      <c r="AI67" s="17"/>
      <c r="AJ67" s="17"/>
      <c r="AK67" s="17"/>
      <c r="AL67" s="17"/>
      <c r="AM67" s="17"/>
      <c r="AN67" s="17">
        <v>396.21199999999999</v>
      </c>
      <c r="AO67" s="17">
        <v>412.279</v>
      </c>
      <c r="AP67" s="17"/>
      <c r="AQ67" s="17">
        <v>394.54899999999998</v>
      </c>
      <c r="AR67" s="17"/>
      <c r="AS67" s="17"/>
      <c r="AT67" s="17"/>
      <c r="AU67" s="17"/>
      <c r="AV67" s="17"/>
      <c r="AW67" s="17">
        <v>477.11799999999999</v>
      </c>
    </row>
    <row r="68" spans="1:49" x14ac:dyDescent="0.35">
      <c r="A68" s="3">
        <f t="shared" si="30"/>
        <v>51</v>
      </c>
      <c r="B68" s="17"/>
      <c r="C68" s="17"/>
      <c r="D68" s="17">
        <v>413.28100000000001</v>
      </c>
      <c r="E68" s="17">
        <v>436.62400000000002</v>
      </c>
      <c r="F68" s="17">
        <v>424.55500000000001</v>
      </c>
      <c r="G68" s="17">
        <v>398.91500000000002</v>
      </c>
      <c r="H68" s="17"/>
      <c r="I68" s="17"/>
      <c r="J68" s="17">
        <v>406.22699999999998</v>
      </c>
      <c r="K68" s="23"/>
      <c r="L68" s="17">
        <v>521.77099999999996</v>
      </c>
      <c r="M68" s="17">
        <v>407.517</v>
      </c>
      <c r="N68" s="17">
        <v>464.87700000000001</v>
      </c>
      <c r="O68" s="17">
        <v>433.803</v>
      </c>
      <c r="P68" s="17">
        <v>402.48399999999998</v>
      </c>
      <c r="Q68" s="17">
        <v>403.41800000000001</v>
      </c>
      <c r="R68" s="17">
        <v>426.69400000000002</v>
      </c>
      <c r="S68" s="17">
        <v>417.053</v>
      </c>
      <c r="T68" s="17">
        <v>396.20699999999999</v>
      </c>
      <c r="U68" s="17">
        <v>394.81900000000002</v>
      </c>
      <c r="V68" s="17">
        <v>413.036</v>
      </c>
      <c r="W68" s="17">
        <v>421.22800000000001</v>
      </c>
      <c r="X68" s="17">
        <v>444.791</v>
      </c>
      <c r="Y68" s="17">
        <v>498.40499999999997</v>
      </c>
      <c r="Z68" s="17">
        <v>454.41</v>
      </c>
      <c r="AA68" s="17">
        <v>419.45800000000003</v>
      </c>
      <c r="AB68" s="17"/>
      <c r="AC68" s="17"/>
      <c r="AD68" s="26"/>
      <c r="AE68" s="17"/>
      <c r="AF68" s="17"/>
      <c r="AG68" s="17"/>
      <c r="AH68" s="17"/>
      <c r="AI68" s="17"/>
      <c r="AJ68" s="17"/>
      <c r="AK68" s="17"/>
      <c r="AL68" s="17"/>
      <c r="AM68" s="17"/>
      <c r="AN68" s="17">
        <v>396.55700000000002</v>
      </c>
      <c r="AO68" s="17">
        <v>411.88799999999998</v>
      </c>
      <c r="AP68" s="17"/>
      <c r="AQ68" s="17">
        <v>395.95600000000002</v>
      </c>
      <c r="AR68" s="17"/>
      <c r="AS68" s="17"/>
      <c r="AT68" s="17"/>
      <c r="AU68" s="17"/>
      <c r="AV68" s="17"/>
      <c r="AW68" s="17">
        <v>478.70600000000002</v>
      </c>
    </row>
    <row r="69" spans="1:49" x14ac:dyDescent="0.35">
      <c r="A69" s="3">
        <f t="shared" si="30"/>
        <v>52</v>
      </c>
      <c r="B69" s="17"/>
      <c r="C69" s="17"/>
      <c r="D69" s="17">
        <v>413.38200000000001</v>
      </c>
      <c r="E69" s="17">
        <v>437.54700000000003</v>
      </c>
      <c r="F69" s="17">
        <v>424.733</v>
      </c>
      <c r="G69" s="17">
        <v>399.15199999999999</v>
      </c>
      <c r="H69" s="17"/>
      <c r="I69" s="17"/>
      <c r="J69" s="17">
        <v>405.63400000000001</v>
      </c>
      <c r="K69" s="23"/>
      <c r="L69" s="17">
        <v>521.80700000000002</v>
      </c>
      <c r="M69" s="17">
        <v>405.97399999999999</v>
      </c>
      <c r="N69" s="17">
        <v>465.42899999999997</v>
      </c>
      <c r="O69" s="17">
        <v>434.322</v>
      </c>
      <c r="P69" s="17">
        <v>403.16500000000002</v>
      </c>
      <c r="Q69" s="17">
        <v>400.97199999999998</v>
      </c>
      <c r="R69" s="17">
        <v>427.03199999999998</v>
      </c>
      <c r="S69" s="17">
        <v>416.20299999999997</v>
      </c>
      <c r="T69" s="17">
        <v>394.82499999999999</v>
      </c>
      <c r="U69" s="17">
        <v>394.17700000000002</v>
      </c>
      <c r="V69" s="17">
        <v>411.21499999999997</v>
      </c>
      <c r="W69" s="17">
        <v>420.61</v>
      </c>
      <c r="X69" s="17">
        <v>445.44600000000003</v>
      </c>
      <c r="Y69" s="17">
        <v>499.41</v>
      </c>
      <c r="Z69" s="17">
        <v>454.404</v>
      </c>
      <c r="AA69" s="17">
        <v>418.41500000000002</v>
      </c>
      <c r="AB69" s="17"/>
      <c r="AC69" s="17"/>
      <c r="AD69" s="26"/>
      <c r="AE69" s="17"/>
      <c r="AF69" s="17"/>
      <c r="AG69" s="17"/>
      <c r="AH69" s="17"/>
      <c r="AI69" s="17"/>
      <c r="AJ69" s="17"/>
      <c r="AK69" s="17"/>
      <c r="AL69" s="17"/>
      <c r="AM69" s="17"/>
      <c r="AN69" s="17">
        <v>396.79399999999998</v>
      </c>
      <c r="AO69" s="17">
        <v>411.55200000000002</v>
      </c>
      <c r="AP69" s="17"/>
      <c r="AQ69" s="17">
        <v>396.36700000000002</v>
      </c>
      <c r="AR69" s="17"/>
      <c r="AS69" s="17"/>
      <c r="AT69" s="17"/>
      <c r="AU69" s="17"/>
      <c r="AV69" s="17"/>
      <c r="AW69" s="17">
        <v>480.22800000000001</v>
      </c>
    </row>
    <row r="70" spans="1:49" x14ac:dyDescent="0.35">
      <c r="A70" s="3">
        <f t="shared" si="30"/>
        <v>53</v>
      </c>
      <c r="B70" s="17"/>
      <c r="C70" s="17"/>
      <c r="D70" s="17">
        <v>414.24</v>
      </c>
      <c r="E70" s="17">
        <v>437.178</v>
      </c>
      <c r="F70" s="17">
        <v>424.40800000000002</v>
      </c>
      <c r="G70" s="17">
        <v>399.84500000000003</v>
      </c>
      <c r="H70" s="17"/>
      <c r="I70" s="17"/>
      <c r="J70" s="17">
        <v>406.70699999999999</v>
      </c>
      <c r="K70" s="23"/>
      <c r="L70" s="17">
        <v>522.05399999999997</v>
      </c>
      <c r="M70" s="17">
        <v>405.90100000000001</v>
      </c>
      <c r="N70" s="17">
        <v>464.90899999999999</v>
      </c>
      <c r="O70" s="17">
        <v>433.66300000000001</v>
      </c>
      <c r="P70" s="17">
        <v>403.322</v>
      </c>
      <c r="Q70" s="17">
        <v>403.06</v>
      </c>
      <c r="R70" s="17">
        <v>428.63099999999997</v>
      </c>
      <c r="S70" s="17">
        <v>416.64400000000001</v>
      </c>
      <c r="T70" s="17">
        <v>394.78899999999999</v>
      </c>
      <c r="U70" s="17">
        <v>393.89600000000002</v>
      </c>
      <c r="V70" s="17">
        <v>410.38299999999998</v>
      </c>
      <c r="W70" s="17">
        <v>420.34100000000001</v>
      </c>
      <c r="X70" s="17">
        <v>444.82600000000002</v>
      </c>
      <c r="Y70" s="17">
        <v>501.22399999999999</v>
      </c>
      <c r="Z70" s="17">
        <v>454.65100000000001</v>
      </c>
      <c r="AA70" s="17">
        <v>418.9</v>
      </c>
      <c r="AB70" s="17"/>
      <c r="AC70" s="17"/>
      <c r="AD70" s="26"/>
      <c r="AE70" s="17"/>
      <c r="AF70" s="17"/>
      <c r="AG70" s="17"/>
      <c r="AH70" s="17"/>
      <c r="AI70" s="17"/>
      <c r="AJ70" s="17"/>
      <c r="AK70" s="17"/>
      <c r="AL70" s="17"/>
      <c r="AM70" s="17"/>
      <c r="AN70" s="17">
        <v>397.03899999999999</v>
      </c>
      <c r="AO70" s="17">
        <v>412.96499999999997</v>
      </c>
      <c r="AP70" s="17"/>
      <c r="AQ70" s="17">
        <v>393.827</v>
      </c>
      <c r="AR70" s="17"/>
      <c r="AS70" s="17"/>
      <c r="AT70" s="17"/>
      <c r="AU70" s="17"/>
      <c r="AV70" s="17"/>
      <c r="AW70" s="17">
        <v>480.07799999999997</v>
      </c>
    </row>
    <row r="71" spans="1:49" x14ac:dyDescent="0.35">
      <c r="A71" s="3">
        <f t="shared" si="30"/>
        <v>54</v>
      </c>
      <c r="B71" s="17"/>
      <c r="C71" s="17"/>
      <c r="D71" s="17">
        <v>413.53500000000003</v>
      </c>
      <c r="E71" s="17">
        <v>436.95699999999999</v>
      </c>
      <c r="F71" s="17">
        <v>424.67</v>
      </c>
      <c r="G71" s="17">
        <v>400.05599999999998</v>
      </c>
      <c r="H71" s="17"/>
      <c r="I71" s="17"/>
      <c r="J71" s="17">
        <v>406.43099999999998</v>
      </c>
      <c r="K71" s="23"/>
      <c r="L71" s="17">
        <v>522.52499999999998</v>
      </c>
      <c r="M71" s="17">
        <v>406.56299999999999</v>
      </c>
      <c r="N71" s="17">
        <v>465.404</v>
      </c>
      <c r="O71" s="17">
        <v>434.63200000000001</v>
      </c>
      <c r="P71" s="17">
        <v>402.75200000000001</v>
      </c>
      <c r="Q71" s="17">
        <v>402.24599999999998</v>
      </c>
      <c r="R71" s="17">
        <v>428.68400000000003</v>
      </c>
      <c r="S71" s="17">
        <v>416.45400000000001</v>
      </c>
      <c r="T71" s="17">
        <v>394.58600000000001</v>
      </c>
      <c r="U71" s="17">
        <v>394.17700000000002</v>
      </c>
      <c r="V71" s="17">
        <v>413.33300000000003</v>
      </c>
      <c r="W71" s="17">
        <v>419.86399999999998</v>
      </c>
      <c r="X71" s="17">
        <v>445.06799999999998</v>
      </c>
      <c r="Y71" s="17">
        <v>503.02300000000002</v>
      </c>
      <c r="Z71" s="17">
        <v>455.23700000000002</v>
      </c>
      <c r="AA71" s="17">
        <v>419.27600000000001</v>
      </c>
      <c r="AB71" s="17"/>
      <c r="AC71" s="17"/>
      <c r="AD71" s="26"/>
      <c r="AE71" s="17"/>
      <c r="AF71" s="17"/>
      <c r="AG71" s="17"/>
      <c r="AH71" s="17"/>
      <c r="AI71" s="17"/>
      <c r="AJ71" s="17"/>
      <c r="AK71" s="17"/>
      <c r="AL71" s="17"/>
      <c r="AM71" s="17"/>
      <c r="AN71" s="17">
        <v>397.608</v>
      </c>
      <c r="AO71" s="17">
        <v>412.26100000000002</v>
      </c>
      <c r="AP71" s="17"/>
      <c r="AQ71" s="17">
        <v>395.65600000000001</v>
      </c>
      <c r="AR71" s="17"/>
      <c r="AS71" s="17"/>
      <c r="AT71" s="17"/>
      <c r="AU71" s="17"/>
      <c r="AV71" s="17"/>
      <c r="AW71" s="17">
        <v>480.84199999999998</v>
      </c>
    </row>
    <row r="72" spans="1:49" x14ac:dyDescent="0.35">
      <c r="A72" s="3">
        <f t="shared" si="30"/>
        <v>55</v>
      </c>
      <c r="B72" s="17"/>
      <c r="C72" s="17"/>
      <c r="D72" s="17">
        <v>413.34899999999999</v>
      </c>
      <c r="E72" s="17">
        <v>437.03100000000001</v>
      </c>
      <c r="F72" s="17">
        <v>424.10700000000003</v>
      </c>
      <c r="G72" s="17">
        <v>399.38</v>
      </c>
      <c r="H72" s="17"/>
      <c r="I72" s="17"/>
      <c r="J72" s="17">
        <v>405.95299999999997</v>
      </c>
      <c r="K72" s="23"/>
      <c r="L72" s="17">
        <v>524.36599999999999</v>
      </c>
      <c r="M72" s="17">
        <v>407.53800000000001</v>
      </c>
      <c r="N72" s="17">
        <v>465.21</v>
      </c>
      <c r="O72" s="17">
        <v>432.68900000000002</v>
      </c>
      <c r="P72" s="17">
        <v>403.678</v>
      </c>
      <c r="Q72" s="17">
        <v>400.97800000000001</v>
      </c>
      <c r="R72" s="17">
        <v>430.16399999999999</v>
      </c>
      <c r="S72" s="17">
        <v>415.952</v>
      </c>
      <c r="T72" s="17">
        <v>395.52199999999999</v>
      </c>
      <c r="U72" s="17">
        <v>394.714</v>
      </c>
      <c r="V72" s="17">
        <v>409.46</v>
      </c>
      <c r="W72" s="17">
        <v>419.017</v>
      </c>
      <c r="X72" s="17">
        <v>446.38</v>
      </c>
      <c r="Y72" s="17">
        <v>503.26799999999997</v>
      </c>
      <c r="Z72" s="17">
        <v>455.64400000000001</v>
      </c>
      <c r="AA72" s="17">
        <v>419.214</v>
      </c>
      <c r="AB72" s="17"/>
      <c r="AC72" s="17"/>
      <c r="AD72" s="26"/>
      <c r="AE72" s="17"/>
      <c r="AF72" s="17"/>
      <c r="AG72" s="17"/>
      <c r="AH72" s="17"/>
      <c r="AI72" s="17"/>
      <c r="AJ72" s="17"/>
      <c r="AK72" s="17"/>
      <c r="AL72" s="17"/>
      <c r="AM72" s="17"/>
      <c r="AN72" s="17">
        <v>396.733</v>
      </c>
      <c r="AO72" s="17">
        <v>411.86500000000001</v>
      </c>
      <c r="AP72" s="17"/>
      <c r="AQ72" s="17">
        <v>395.93900000000002</v>
      </c>
      <c r="AR72" s="17"/>
      <c r="AS72" s="17"/>
      <c r="AT72" s="17"/>
      <c r="AU72" s="17"/>
      <c r="AV72" s="17"/>
      <c r="AW72" s="17">
        <v>479.5</v>
      </c>
    </row>
    <row r="73" spans="1:49" x14ac:dyDescent="0.35">
      <c r="A73" s="3">
        <f t="shared" si="30"/>
        <v>56</v>
      </c>
      <c r="B73" s="17"/>
      <c r="C73" s="17"/>
      <c r="D73" s="17">
        <v>412.94600000000003</v>
      </c>
      <c r="E73" s="17">
        <v>437.65899999999999</v>
      </c>
      <c r="F73" s="17">
        <v>424.65</v>
      </c>
      <c r="G73" s="17">
        <v>400.13900000000001</v>
      </c>
      <c r="H73" s="17"/>
      <c r="I73" s="17"/>
      <c r="J73" s="17">
        <v>406.74900000000002</v>
      </c>
      <c r="K73" s="23"/>
      <c r="L73" s="17">
        <v>524.90700000000004</v>
      </c>
      <c r="M73" s="17">
        <v>404.47800000000001</v>
      </c>
      <c r="N73" s="17">
        <v>465.25299999999999</v>
      </c>
      <c r="O73" s="17">
        <v>433.846</v>
      </c>
      <c r="P73" s="17">
        <v>402.73200000000003</v>
      </c>
      <c r="Q73" s="17">
        <v>401.82400000000001</v>
      </c>
      <c r="R73" s="17">
        <v>429.964</v>
      </c>
      <c r="S73" s="17">
        <v>415.22199999999998</v>
      </c>
      <c r="T73" s="17">
        <v>395.423</v>
      </c>
      <c r="U73" s="17">
        <v>394.089</v>
      </c>
      <c r="V73" s="17">
        <v>408.61599999999999</v>
      </c>
      <c r="W73" s="17">
        <v>421.29</v>
      </c>
      <c r="X73" s="17">
        <v>446.47</v>
      </c>
      <c r="Y73" s="17">
        <v>507.38600000000002</v>
      </c>
      <c r="Z73" s="17">
        <v>456.52699999999999</v>
      </c>
      <c r="AA73" s="17">
        <v>421.09100000000001</v>
      </c>
      <c r="AB73" s="17"/>
      <c r="AC73" s="17"/>
      <c r="AD73" s="26"/>
      <c r="AE73" s="17"/>
      <c r="AF73" s="17"/>
      <c r="AG73" s="17"/>
      <c r="AH73" s="17"/>
      <c r="AI73" s="17"/>
      <c r="AJ73" s="17"/>
      <c r="AK73" s="17"/>
      <c r="AL73" s="17"/>
      <c r="AM73" s="17"/>
      <c r="AN73" s="17">
        <v>397.00099999999998</v>
      </c>
      <c r="AO73" s="17">
        <v>411.565</v>
      </c>
      <c r="AP73" s="17"/>
      <c r="AQ73" s="17">
        <v>394.59500000000003</v>
      </c>
      <c r="AR73" s="17"/>
      <c r="AS73" s="17"/>
      <c r="AT73" s="17"/>
      <c r="AU73" s="17"/>
      <c r="AV73" s="17"/>
      <c r="AW73" s="17">
        <v>480.267</v>
      </c>
    </row>
    <row r="74" spans="1:49" x14ac:dyDescent="0.35">
      <c r="A74" s="3">
        <f t="shared" si="30"/>
        <v>57</v>
      </c>
      <c r="B74" s="17"/>
      <c r="C74" s="17"/>
      <c r="D74" s="17">
        <v>413.44299999999998</v>
      </c>
      <c r="E74" s="17">
        <v>436.928</v>
      </c>
      <c r="F74" s="17">
        <v>424.20699999999999</v>
      </c>
      <c r="G74" s="17">
        <v>400.07</v>
      </c>
      <c r="H74" s="17"/>
      <c r="I74" s="17"/>
      <c r="J74" s="17">
        <v>406.28100000000001</v>
      </c>
      <c r="K74" s="23"/>
      <c r="L74" s="17">
        <v>523.23400000000004</v>
      </c>
      <c r="M74" s="17">
        <v>405.33100000000002</v>
      </c>
      <c r="N74" s="17">
        <v>465.13600000000002</v>
      </c>
      <c r="O74" s="17">
        <v>434.42</v>
      </c>
      <c r="P74" s="17">
        <v>403.01799999999997</v>
      </c>
      <c r="Q74" s="17">
        <v>403.18</v>
      </c>
      <c r="R74" s="17">
        <v>431.202</v>
      </c>
      <c r="S74" s="17">
        <v>415.65</v>
      </c>
      <c r="T74" s="17">
        <v>396.67599999999999</v>
      </c>
      <c r="U74" s="17">
        <v>395.06400000000002</v>
      </c>
      <c r="V74" s="17">
        <v>406.86799999999999</v>
      </c>
      <c r="W74" s="17">
        <v>419.375</v>
      </c>
      <c r="X74" s="17">
        <v>445.50200000000001</v>
      </c>
      <c r="Y74" s="17">
        <v>508.07400000000001</v>
      </c>
      <c r="Z74" s="17">
        <v>454.22500000000002</v>
      </c>
      <c r="AA74" s="17">
        <v>418.72199999999998</v>
      </c>
      <c r="AB74" s="17"/>
      <c r="AC74" s="17"/>
      <c r="AD74" s="26"/>
      <c r="AE74" s="17"/>
      <c r="AF74" s="17"/>
      <c r="AG74" s="17"/>
      <c r="AH74" s="17"/>
      <c r="AI74" s="17"/>
      <c r="AJ74" s="17"/>
      <c r="AK74" s="17"/>
      <c r="AL74" s="17"/>
      <c r="AM74" s="17"/>
      <c r="AN74" s="17">
        <v>395.935</v>
      </c>
      <c r="AO74" s="17">
        <v>412.06200000000001</v>
      </c>
      <c r="AP74" s="17"/>
      <c r="AQ74" s="17">
        <v>395.71899999999999</v>
      </c>
      <c r="AR74" s="17"/>
      <c r="AS74" s="17"/>
      <c r="AT74" s="17"/>
      <c r="AU74" s="17"/>
      <c r="AV74" s="17"/>
      <c r="AW74" s="17">
        <v>480.80399999999997</v>
      </c>
    </row>
    <row r="75" spans="1:49" x14ac:dyDescent="0.35">
      <c r="A75" s="3">
        <f t="shared" si="30"/>
        <v>58</v>
      </c>
      <c r="B75" s="17"/>
      <c r="C75" s="17"/>
      <c r="D75" s="17">
        <v>414.24799999999999</v>
      </c>
      <c r="E75" s="17">
        <v>437.14299999999997</v>
      </c>
      <c r="F75" s="17">
        <v>425.22300000000001</v>
      </c>
      <c r="G75" s="17">
        <v>399.56200000000001</v>
      </c>
      <c r="H75" s="17"/>
      <c r="I75" s="17"/>
      <c r="J75" s="17">
        <v>406.90699999999998</v>
      </c>
      <c r="K75" s="23"/>
      <c r="L75" s="17">
        <v>523.79700000000003</v>
      </c>
      <c r="M75" s="17">
        <v>405.45100000000002</v>
      </c>
      <c r="N75" s="17">
        <v>465.78199999999998</v>
      </c>
      <c r="O75" s="17">
        <v>434.76</v>
      </c>
      <c r="P75" s="17">
        <v>403.60599999999999</v>
      </c>
      <c r="Q75" s="17">
        <v>404.14400000000001</v>
      </c>
      <c r="R75" s="17">
        <v>430.93400000000003</v>
      </c>
      <c r="S75" s="17">
        <v>416.25599999999997</v>
      </c>
      <c r="T75" s="17">
        <v>396.22500000000002</v>
      </c>
      <c r="U75" s="17">
        <v>395.041</v>
      </c>
      <c r="V75" s="17">
        <v>408.52199999999999</v>
      </c>
      <c r="W75" s="17">
        <v>418.572</v>
      </c>
      <c r="X75" s="17">
        <v>445.65899999999999</v>
      </c>
      <c r="Y75" s="17">
        <v>511.32100000000003</v>
      </c>
      <c r="Z75" s="17">
        <v>457.07400000000001</v>
      </c>
      <c r="AA75" s="17">
        <v>420.51</v>
      </c>
      <c r="AB75" s="17"/>
      <c r="AC75" s="17"/>
      <c r="AD75" s="26"/>
      <c r="AE75" s="17"/>
      <c r="AF75" s="17"/>
      <c r="AG75" s="17"/>
      <c r="AH75" s="17"/>
      <c r="AI75" s="17"/>
      <c r="AJ75" s="17"/>
      <c r="AK75" s="17"/>
      <c r="AL75" s="17"/>
      <c r="AM75" s="17"/>
      <c r="AN75" s="17">
        <v>395.38400000000001</v>
      </c>
      <c r="AO75" s="17">
        <v>411.63900000000001</v>
      </c>
      <c r="AP75" s="17"/>
      <c r="AQ75" s="17">
        <v>395.77300000000002</v>
      </c>
      <c r="AR75" s="17"/>
      <c r="AS75" s="17"/>
      <c r="AT75" s="17"/>
      <c r="AU75" s="17"/>
      <c r="AV75" s="17"/>
      <c r="AW75" s="17">
        <v>481.34199999999998</v>
      </c>
    </row>
    <row r="76" spans="1:49" x14ac:dyDescent="0.35">
      <c r="A76" s="3">
        <f t="shared" si="30"/>
        <v>59</v>
      </c>
      <c r="B76" s="17"/>
      <c r="C76" s="17"/>
      <c r="D76" s="17">
        <v>413.95</v>
      </c>
      <c r="E76" s="17">
        <v>437.262</v>
      </c>
      <c r="F76" s="17">
        <v>424.762</v>
      </c>
      <c r="G76" s="17">
        <v>401.89499999999998</v>
      </c>
      <c r="H76" s="17"/>
      <c r="I76" s="17"/>
      <c r="J76" s="17">
        <v>406.608</v>
      </c>
      <c r="K76" s="23"/>
      <c r="L76" s="17">
        <v>524.66899999999998</v>
      </c>
      <c r="M76" s="17">
        <v>405.45600000000002</v>
      </c>
      <c r="N76" s="17">
        <v>464.988</v>
      </c>
      <c r="O76" s="17">
        <v>435.47800000000001</v>
      </c>
      <c r="P76" s="17">
        <v>403.21100000000001</v>
      </c>
      <c r="Q76" s="17">
        <v>404.29599999999999</v>
      </c>
      <c r="R76" s="17">
        <v>432.86799999999999</v>
      </c>
      <c r="S76" s="17">
        <v>415.54300000000001</v>
      </c>
      <c r="T76" s="17">
        <v>395.92099999999999</v>
      </c>
      <c r="U76" s="17">
        <v>394.95299999999997</v>
      </c>
      <c r="V76" s="17">
        <v>405.02199999999999</v>
      </c>
      <c r="W76" s="17">
        <v>418.63600000000002</v>
      </c>
      <c r="X76" s="17">
        <v>446.33</v>
      </c>
      <c r="Y76" s="17">
        <v>511.87400000000002</v>
      </c>
      <c r="Z76" s="17">
        <v>458.53199999999998</v>
      </c>
      <c r="AA76" s="17">
        <v>420.53300000000002</v>
      </c>
      <c r="AB76" s="17"/>
      <c r="AC76" s="17"/>
      <c r="AD76" s="26"/>
      <c r="AE76" s="17"/>
      <c r="AF76" s="17"/>
      <c r="AG76" s="17"/>
      <c r="AH76" s="17"/>
      <c r="AI76" s="17"/>
      <c r="AJ76" s="17"/>
      <c r="AK76" s="17"/>
      <c r="AL76" s="17"/>
      <c r="AM76" s="17"/>
      <c r="AN76" s="17">
        <v>395.57299999999998</v>
      </c>
      <c r="AO76" s="17">
        <v>411.58300000000003</v>
      </c>
      <c r="AP76" s="17"/>
      <c r="AQ76" s="17">
        <v>396.02</v>
      </c>
      <c r="AR76" s="17"/>
      <c r="AS76" s="17"/>
      <c r="AT76" s="17"/>
      <c r="AU76" s="17"/>
      <c r="AV76" s="17"/>
      <c r="AW76" s="17">
        <v>480.82299999999998</v>
      </c>
    </row>
    <row r="77" spans="1:49" x14ac:dyDescent="0.35">
      <c r="A77" s="3">
        <f t="shared" si="30"/>
        <v>60</v>
      </c>
      <c r="B77" s="17"/>
      <c r="C77" s="17"/>
      <c r="D77" s="17">
        <v>414.26900000000001</v>
      </c>
      <c r="E77" s="17">
        <v>437.62200000000001</v>
      </c>
      <c r="F77" s="17">
        <v>425.07900000000001</v>
      </c>
      <c r="G77" s="17">
        <v>400.22300000000001</v>
      </c>
      <c r="H77" s="17"/>
      <c r="I77" s="17"/>
      <c r="J77" s="17">
        <v>406.88400000000001</v>
      </c>
      <c r="K77" s="23"/>
      <c r="L77" s="17">
        <v>524.06299999999999</v>
      </c>
      <c r="M77" s="17">
        <v>404.22399999999999</v>
      </c>
      <c r="N77" s="17">
        <v>465.34100000000001</v>
      </c>
      <c r="O77" s="17">
        <v>433.97199999999998</v>
      </c>
      <c r="P77" s="17">
        <v>403.94900000000001</v>
      </c>
      <c r="Q77" s="17">
        <v>405.42500000000001</v>
      </c>
      <c r="R77" s="17">
        <v>432.44799999999998</v>
      </c>
      <c r="S77" s="17">
        <v>416.08800000000002</v>
      </c>
      <c r="T77" s="17">
        <v>395.68599999999998</v>
      </c>
      <c r="U77" s="17">
        <v>394.767</v>
      </c>
      <c r="V77" s="17">
        <v>404.274</v>
      </c>
      <c r="W77" s="17">
        <v>417.21300000000002</v>
      </c>
      <c r="X77" s="17">
        <v>445.803</v>
      </c>
      <c r="Y77" s="17">
        <v>513.50300000000004</v>
      </c>
      <c r="Z77" s="17">
        <v>457.47</v>
      </c>
      <c r="AA77" s="17">
        <v>420.83300000000003</v>
      </c>
      <c r="AB77" s="17"/>
      <c r="AC77" s="17"/>
      <c r="AD77" s="26"/>
      <c r="AE77" s="17"/>
      <c r="AF77" s="17"/>
      <c r="AG77" s="17"/>
      <c r="AH77" s="17"/>
      <c r="AI77" s="17"/>
      <c r="AJ77" s="17"/>
      <c r="AK77" s="17"/>
      <c r="AL77" s="17"/>
      <c r="AM77" s="17"/>
      <c r="AN77" s="17">
        <v>396.11799999999999</v>
      </c>
      <c r="AO77" s="17">
        <v>412.762</v>
      </c>
      <c r="AP77" s="17"/>
      <c r="AQ77" s="17">
        <v>395.90600000000001</v>
      </c>
      <c r="AR77" s="17"/>
      <c r="AS77" s="17"/>
      <c r="AT77" s="17"/>
      <c r="AU77" s="17"/>
      <c r="AV77" s="17"/>
      <c r="AW77" s="17">
        <v>481.78300000000002</v>
      </c>
    </row>
    <row r="78" spans="1:49" x14ac:dyDescent="0.35">
      <c r="A78" s="3">
        <f t="shared" si="30"/>
        <v>61</v>
      </c>
      <c r="B78" s="17"/>
      <c r="C78" s="17"/>
      <c r="D78" s="17">
        <v>414.98099999999999</v>
      </c>
      <c r="E78" s="17">
        <v>437.29899999999998</v>
      </c>
      <c r="F78" s="17">
        <v>425.37700000000001</v>
      </c>
      <c r="G78" s="17">
        <v>401.74599999999998</v>
      </c>
      <c r="H78" s="17"/>
      <c r="I78" s="17"/>
      <c r="J78" s="17">
        <v>406.54300000000001</v>
      </c>
      <c r="K78" s="23"/>
      <c r="L78" s="17">
        <v>525.60799999999995</v>
      </c>
      <c r="M78" s="17">
        <v>403.71</v>
      </c>
      <c r="N78" s="17">
        <v>464.88900000000001</v>
      </c>
      <c r="O78" s="17">
        <v>434.86599999999999</v>
      </c>
      <c r="P78" s="17">
        <v>404.59199999999998</v>
      </c>
      <c r="Q78" s="17">
        <v>404.81099999999998</v>
      </c>
      <c r="R78" s="17">
        <v>433.50799999999998</v>
      </c>
      <c r="S78" s="17">
        <v>415.92899999999997</v>
      </c>
      <c r="T78" s="17">
        <v>396.60599999999999</v>
      </c>
      <c r="U78" s="17">
        <v>394.77100000000002</v>
      </c>
      <c r="V78" s="17">
        <v>404.81200000000001</v>
      </c>
      <c r="W78" s="17">
        <v>418.07499999999999</v>
      </c>
      <c r="X78" s="17">
        <v>446.25700000000001</v>
      </c>
      <c r="Y78" s="17">
        <v>515.029</v>
      </c>
      <c r="Z78" s="17">
        <v>456.15800000000002</v>
      </c>
      <c r="AA78" s="17">
        <v>420.49099999999999</v>
      </c>
      <c r="AB78" s="17"/>
      <c r="AC78" s="17"/>
      <c r="AD78" s="26"/>
      <c r="AE78" s="17"/>
      <c r="AF78" s="17"/>
      <c r="AG78" s="17"/>
      <c r="AH78" s="17"/>
      <c r="AI78" s="17"/>
      <c r="AJ78" s="17"/>
      <c r="AK78" s="17"/>
      <c r="AL78" s="17"/>
      <c r="AM78" s="17"/>
      <c r="AN78" s="17">
        <v>396.392</v>
      </c>
      <c r="AO78" s="17">
        <v>412.65800000000002</v>
      </c>
      <c r="AP78" s="17"/>
      <c r="AQ78" s="17">
        <v>395.58100000000002</v>
      </c>
      <c r="AR78" s="17"/>
      <c r="AS78" s="17"/>
      <c r="AT78" s="17"/>
      <c r="AU78" s="17"/>
      <c r="AV78" s="17"/>
      <c r="AW78" s="17">
        <v>480.20699999999999</v>
      </c>
    </row>
    <row r="79" spans="1:49" x14ac:dyDescent="0.35">
      <c r="A79" s="3">
        <f t="shared" si="30"/>
        <v>62</v>
      </c>
      <c r="B79" s="17"/>
      <c r="C79" s="17"/>
      <c r="D79" s="17">
        <v>415.02</v>
      </c>
      <c r="E79" s="17">
        <v>437.21800000000002</v>
      </c>
      <c r="F79" s="17">
        <v>426.07400000000001</v>
      </c>
      <c r="G79" s="17">
        <v>400.38900000000001</v>
      </c>
      <c r="H79" s="17"/>
      <c r="I79" s="17"/>
      <c r="J79" s="17">
        <v>406.00799999999998</v>
      </c>
      <c r="K79" s="23"/>
      <c r="L79" s="17">
        <v>525.50599999999997</v>
      </c>
      <c r="M79" s="17">
        <v>404.07799999999997</v>
      </c>
      <c r="N79" s="17">
        <v>465.16500000000002</v>
      </c>
      <c r="O79" s="17">
        <v>434.50200000000001</v>
      </c>
      <c r="P79" s="17">
        <v>403.71</v>
      </c>
      <c r="Q79" s="17">
        <v>404.73599999999999</v>
      </c>
      <c r="R79" s="17">
        <v>433.483</v>
      </c>
      <c r="S79" s="17">
        <v>416.43</v>
      </c>
      <c r="T79" s="17">
        <v>396.08199999999999</v>
      </c>
      <c r="U79" s="17">
        <v>396.07299999999998</v>
      </c>
      <c r="V79" s="17">
        <v>405.85500000000002</v>
      </c>
      <c r="W79" s="17">
        <v>419.32499999999999</v>
      </c>
      <c r="X79" s="17">
        <v>445.81200000000001</v>
      </c>
      <c r="Y79" s="17">
        <v>515.85400000000004</v>
      </c>
      <c r="Z79" s="17">
        <v>456.20499999999998</v>
      </c>
      <c r="AA79" s="17">
        <v>420.90300000000002</v>
      </c>
      <c r="AB79" s="17"/>
      <c r="AC79" s="17"/>
      <c r="AD79" s="26"/>
      <c r="AE79" s="17"/>
      <c r="AF79" s="17"/>
      <c r="AG79" s="17"/>
      <c r="AH79" s="17"/>
      <c r="AI79" s="17"/>
      <c r="AJ79" s="17"/>
      <c r="AK79" s="17"/>
      <c r="AL79" s="17"/>
      <c r="AM79" s="17"/>
      <c r="AN79" s="17">
        <v>397.41800000000001</v>
      </c>
      <c r="AO79" s="17">
        <v>412.91300000000001</v>
      </c>
      <c r="AP79" s="17"/>
      <c r="AQ79" s="17">
        <v>396.00099999999998</v>
      </c>
      <c r="AR79" s="17"/>
      <c r="AS79" s="17"/>
      <c r="AT79" s="17"/>
      <c r="AU79" s="17"/>
      <c r="AV79" s="17"/>
      <c r="AW79" s="17">
        <v>480.05599999999998</v>
      </c>
    </row>
    <row r="80" spans="1:49" x14ac:dyDescent="0.35">
      <c r="A80" s="3">
        <f t="shared" si="30"/>
        <v>63</v>
      </c>
      <c r="B80" s="17"/>
      <c r="C80" s="17"/>
      <c r="D80" s="17">
        <v>416.18700000000001</v>
      </c>
      <c r="E80" s="17">
        <v>437.12599999999998</v>
      </c>
      <c r="F80" s="17">
        <v>425.29500000000002</v>
      </c>
      <c r="G80" s="17">
        <v>400.892</v>
      </c>
      <c r="H80" s="17"/>
      <c r="I80" s="17"/>
      <c r="J80" s="17">
        <v>407.00200000000001</v>
      </c>
      <c r="K80" s="23"/>
      <c r="L80" s="17">
        <v>525.93600000000004</v>
      </c>
      <c r="M80" s="17">
        <v>403.88799999999998</v>
      </c>
      <c r="N80" s="17">
        <v>465.15800000000002</v>
      </c>
      <c r="O80" s="17">
        <v>434.91800000000001</v>
      </c>
      <c r="P80" s="17">
        <v>403.19600000000003</v>
      </c>
      <c r="Q80" s="17">
        <v>404.50799999999998</v>
      </c>
      <c r="R80" s="17">
        <v>434.10300000000001</v>
      </c>
      <c r="S80" s="17">
        <v>416.79899999999998</v>
      </c>
      <c r="T80" s="17">
        <v>396.96699999999998</v>
      </c>
      <c r="U80" s="17">
        <v>395.37299999999999</v>
      </c>
      <c r="V80" s="17">
        <v>406.40800000000002</v>
      </c>
      <c r="W80" s="17">
        <v>418.07799999999997</v>
      </c>
      <c r="X80" s="17">
        <v>446.41</v>
      </c>
      <c r="Y80" s="17">
        <v>516.49900000000002</v>
      </c>
      <c r="Z80" s="17">
        <v>457.22500000000002</v>
      </c>
      <c r="AA80" s="17">
        <v>421.02100000000002</v>
      </c>
      <c r="AB80" s="17"/>
      <c r="AC80" s="17"/>
      <c r="AD80" s="26"/>
      <c r="AE80" s="17"/>
      <c r="AF80" s="17"/>
      <c r="AG80" s="17"/>
      <c r="AH80" s="17"/>
      <c r="AI80" s="17"/>
      <c r="AJ80" s="17"/>
      <c r="AK80" s="17"/>
      <c r="AL80" s="17"/>
      <c r="AM80" s="17"/>
      <c r="AN80" s="17">
        <v>396.67200000000003</v>
      </c>
      <c r="AO80" s="17">
        <v>413.62099999999998</v>
      </c>
      <c r="AP80" s="17"/>
      <c r="AQ80" s="17">
        <v>395.64499999999998</v>
      </c>
      <c r="AR80" s="17"/>
      <c r="AS80" s="17"/>
      <c r="AT80" s="17"/>
      <c r="AU80" s="17"/>
      <c r="AV80" s="17"/>
      <c r="AW80" s="17">
        <v>480.90699999999998</v>
      </c>
    </row>
    <row r="81" spans="1:49" x14ac:dyDescent="0.35">
      <c r="A81" s="3">
        <f t="shared" si="30"/>
        <v>64</v>
      </c>
      <c r="B81" s="17"/>
      <c r="C81" s="17"/>
      <c r="D81" s="17">
        <v>417.38799999999998</v>
      </c>
      <c r="E81" s="17">
        <v>437.53699999999998</v>
      </c>
      <c r="F81" s="17">
        <v>427.05399999999997</v>
      </c>
      <c r="G81" s="17">
        <v>401.49400000000003</v>
      </c>
      <c r="H81" s="17"/>
      <c r="I81" s="17"/>
      <c r="J81" s="17">
        <v>406.44200000000001</v>
      </c>
      <c r="K81" s="23"/>
      <c r="L81" s="17">
        <v>526.15800000000002</v>
      </c>
      <c r="M81" s="17">
        <v>402.89299999999997</v>
      </c>
      <c r="N81" s="17">
        <v>464.625</v>
      </c>
      <c r="O81" s="17">
        <v>434.59100000000001</v>
      </c>
      <c r="P81" s="17">
        <v>402.91399999999999</v>
      </c>
      <c r="Q81" s="17">
        <v>405.81599999999997</v>
      </c>
      <c r="R81" s="17">
        <v>433.65699999999998</v>
      </c>
      <c r="S81" s="17">
        <v>416.94200000000001</v>
      </c>
      <c r="T81" s="17">
        <v>396.25099999999998</v>
      </c>
      <c r="U81" s="17">
        <v>395.11700000000002</v>
      </c>
      <c r="V81" s="17">
        <v>406.44799999999998</v>
      </c>
      <c r="W81" s="17">
        <v>418.47199999999998</v>
      </c>
      <c r="X81" s="17">
        <v>445.964</v>
      </c>
      <c r="Y81" s="17">
        <v>517.86199999999997</v>
      </c>
      <c r="Z81" s="17">
        <v>457.22699999999998</v>
      </c>
      <c r="AA81" s="17">
        <v>421.34800000000001</v>
      </c>
      <c r="AB81" s="17"/>
      <c r="AC81" s="17"/>
      <c r="AD81" s="26"/>
      <c r="AE81" s="17"/>
      <c r="AF81" s="17"/>
      <c r="AG81" s="17"/>
      <c r="AH81" s="17"/>
      <c r="AI81" s="17"/>
      <c r="AJ81" s="17"/>
      <c r="AK81" s="17"/>
      <c r="AL81" s="17"/>
      <c r="AM81" s="17"/>
      <c r="AN81" s="17">
        <v>396.69400000000002</v>
      </c>
      <c r="AO81" s="17">
        <v>414.70499999999998</v>
      </c>
      <c r="AP81" s="17"/>
      <c r="AQ81" s="17">
        <v>396.32100000000003</v>
      </c>
      <c r="AR81" s="17"/>
      <c r="AS81" s="17"/>
      <c r="AT81" s="17"/>
      <c r="AU81" s="17"/>
      <c r="AV81" s="17"/>
      <c r="AW81" s="17">
        <v>481.91199999999998</v>
      </c>
    </row>
    <row r="82" spans="1:49" x14ac:dyDescent="0.35">
      <c r="A82" s="3">
        <f t="shared" si="30"/>
        <v>65</v>
      </c>
      <c r="B82" s="17"/>
      <c r="C82" s="17"/>
      <c r="D82" s="17">
        <v>417.96699999999998</v>
      </c>
      <c r="E82" s="17">
        <v>437.42899999999997</v>
      </c>
      <c r="F82" s="17">
        <v>426.12299999999999</v>
      </c>
      <c r="G82" s="17">
        <v>400.137</v>
      </c>
      <c r="H82" s="17"/>
      <c r="I82" s="17"/>
      <c r="J82" s="17">
        <v>405.37099999999998</v>
      </c>
      <c r="K82" s="23"/>
      <c r="L82" s="17">
        <v>524.65700000000004</v>
      </c>
      <c r="M82" s="17">
        <v>403.01400000000001</v>
      </c>
      <c r="N82" s="17">
        <v>464.08600000000001</v>
      </c>
      <c r="O82" s="17">
        <v>435.31299999999999</v>
      </c>
      <c r="P82" s="17">
        <v>402.78</v>
      </c>
      <c r="Q82" s="17">
        <v>405.97199999999998</v>
      </c>
      <c r="R82" s="17">
        <v>434.74</v>
      </c>
      <c r="S82" s="17">
        <v>415.779</v>
      </c>
      <c r="T82" s="17">
        <v>396.08199999999999</v>
      </c>
      <c r="U82" s="17">
        <v>395.31299999999999</v>
      </c>
      <c r="V82" s="17">
        <v>405.702</v>
      </c>
      <c r="W82" s="17">
        <v>416.96199999999999</v>
      </c>
      <c r="X82" s="17">
        <v>446.863</v>
      </c>
      <c r="Y82" s="17">
        <v>515.28</v>
      </c>
      <c r="Z82" s="17">
        <v>458.13299999999998</v>
      </c>
      <c r="AA82" s="17">
        <v>419.80799999999999</v>
      </c>
      <c r="AB82" s="17"/>
      <c r="AC82" s="17"/>
      <c r="AD82" s="26"/>
      <c r="AE82" s="17"/>
      <c r="AF82" s="17"/>
      <c r="AG82" s="17"/>
      <c r="AH82" s="17"/>
      <c r="AI82" s="17"/>
      <c r="AJ82" s="17"/>
      <c r="AK82" s="17"/>
      <c r="AL82" s="17"/>
      <c r="AM82" s="17"/>
      <c r="AN82" s="17">
        <v>395.18599999999998</v>
      </c>
      <c r="AO82" s="17">
        <v>412.51100000000002</v>
      </c>
      <c r="AP82" s="17"/>
      <c r="AQ82" s="17">
        <v>395.19099999999997</v>
      </c>
      <c r="AR82" s="17"/>
      <c r="AS82" s="17"/>
      <c r="AT82" s="17"/>
      <c r="AU82" s="17"/>
      <c r="AV82" s="17"/>
      <c r="AW82" s="17">
        <v>481.80900000000003</v>
      </c>
    </row>
    <row r="83" spans="1:49" x14ac:dyDescent="0.35">
      <c r="A83" s="3">
        <f t="shared" si="30"/>
        <v>66</v>
      </c>
      <c r="B83" s="17"/>
      <c r="C83" s="17"/>
      <c r="D83" s="17">
        <v>418.21</v>
      </c>
      <c r="E83" s="17">
        <v>438.29500000000002</v>
      </c>
      <c r="F83" s="17">
        <v>426.21300000000002</v>
      </c>
      <c r="G83" s="17">
        <v>399.30399999999997</v>
      </c>
      <c r="H83" s="17"/>
      <c r="I83" s="17"/>
      <c r="J83" s="17">
        <v>405.637</v>
      </c>
      <c r="K83" s="23"/>
      <c r="L83" s="17">
        <v>527.11800000000005</v>
      </c>
      <c r="M83" s="17">
        <v>402.93799999999999</v>
      </c>
      <c r="N83" s="17">
        <v>464.61</v>
      </c>
      <c r="O83" s="17">
        <v>434.88200000000001</v>
      </c>
      <c r="P83" s="17">
        <v>403.73700000000002</v>
      </c>
      <c r="Q83" s="17">
        <v>405.82299999999998</v>
      </c>
      <c r="R83" s="17">
        <v>434.77100000000002</v>
      </c>
      <c r="S83" s="17">
        <v>416.31400000000002</v>
      </c>
      <c r="T83" s="17">
        <v>395.96100000000001</v>
      </c>
      <c r="U83" s="17">
        <v>394.48099999999999</v>
      </c>
      <c r="V83" s="17">
        <v>408.41399999999999</v>
      </c>
      <c r="W83" s="17">
        <v>417.54199999999997</v>
      </c>
      <c r="X83" s="17">
        <v>446.57900000000001</v>
      </c>
      <c r="Y83" s="17">
        <v>512.69600000000003</v>
      </c>
      <c r="Z83" s="17">
        <v>456.839</v>
      </c>
      <c r="AA83" s="17">
        <v>420.62299999999999</v>
      </c>
      <c r="AB83" s="17"/>
      <c r="AC83" s="17"/>
      <c r="AD83" s="26"/>
      <c r="AE83" s="17"/>
      <c r="AF83" s="17"/>
      <c r="AG83" s="17"/>
      <c r="AH83" s="17"/>
      <c r="AI83" s="17"/>
      <c r="AJ83" s="17"/>
      <c r="AK83" s="17"/>
      <c r="AL83" s="17"/>
      <c r="AM83" s="17"/>
      <c r="AN83" s="17">
        <v>397.02199999999999</v>
      </c>
      <c r="AO83" s="17">
        <v>411.91699999999997</v>
      </c>
      <c r="AP83" s="17"/>
      <c r="AQ83" s="17">
        <v>394.76900000000001</v>
      </c>
      <c r="AR83" s="17"/>
      <c r="AS83" s="17"/>
      <c r="AT83" s="17"/>
      <c r="AU83" s="17"/>
      <c r="AV83" s="17"/>
      <c r="AW83" s="17">
        <v>480.56400000000002</v>
      </c>
    </row>
    <row r="84" spans="1:49" x14ac:dyDescent="0.35">
      <c r="A84" s="3">
        <f t="shared" si="30"/>
        <v>67</v>
      </c>
      <c r="B84" s="17"/>
      <c r="C84" s="17"/>
      <c r="D84" s="17">
        <v>417.22</v>
      </c>
      <c r="E84" s="17">
        <v>438.04899999999998</v>
      </c>
      <c r="F84" s="17">
        <v>425.39400000000001</v>
      </c>
      <c r="G84" s="17">
        <v>401.37799999999999</v>
      </c>
      <c r="H84" s="17"/>
      <c r="I84" s="17"/>
      <c r="J84" s="17">
        <v>405.10700000000003</v>
      </c>
      <c r="K84" s="23"/>
      <c r="L84" s="17">
        <v>527.17399999999998</v>
      </c>
      <c r="M84" s="17">
        <v>401.738</v>
      </c>
      <c r="N84" s="17">
        <v>463.24799999999999</v>
      </c>
      <c r="O84" s="17">
        <v>434.36200000000002</v>
      </c>
      <c r="P84" s="17">
        <v>403.56400000000002</v>
      </c>
      <c r="Q84" s="17">
        <v>407.279</v>
      </c>
      <c r="R84" s="17">
        <v>435.50799999999998</v>
      </c>
      <c r="S84" s="17">
        <v>416.00799999999998</v>
      </c>
      <c r="T84" s="17">
        <v>395.61</v>
      </c>
      <c r="U84" s="17">
        <v>394.85300000000001</v>
      </c>
      <c r="V84" s="17">
        <v>408.92599999999999</v>
      </c>
      <c r="W84" s="17">
        <v>418.29</v>
      </c>
      <c r="X84" s="17">
        <v>445.41699999999997</v>
      </c>
      <c r="Y84" s="17">
        <v>510.44</v>
      </c>
      <c r="Z84" s="17">
        <v>458.04599999999999</v>
      </c>
      <c r="AA84" s="17">
        <v>418.81</v>
      </c>
      <c r="AB84" s="17"/>
      <c r="AC84" s="17"/>
      <c r="AD84" s="26"/>
      <c r="AE84" s="17"/>
      <c r="AF84" s="17"/>
      <c r="AG84" s="17"/>
      <c r="AH84" s="17"/>
      <c r="AI84" s="17"/>
      <c r="AJ84" s="17"/>
      <c r="AK84" s="17"/>
      <c r="AL84" s="17"/>
      <c r="AM84" s="17"/>
      <c r="AN84" s="17">
        <v>397.53</v>
      </c>
      <c r="AO84" s="17">
        <v>412.47500000000002</v>
      </c>
      <c r="AP84" s="17"/>
      <c r="AQ84" s="17">
        <v>396.40699999999998</v>
      </c>
      <c r="AR84" s="17"/>
      <c r="AS84" s="17"/>
      <c r="AT84" s="17"/>
      <c r="AU84" s="17"/>
      <c r="AV84" s="17"/>
      <c r="AW84" s="17">
        <v>480.85899999999998</v>
      </c>
    </row>
    <row r="85" spans="1:49" x14ac:dyDescent="0.35">
      <c r="A85" s="3">
        <f t="shared" si="30"/>
        <v>68</v>
      </c>
      <c r="B85" s="17"/>
      <c r="C85" s="17"/>
      <c r="D85" s="17">
        <v>418.55700000000002</v>
      </c>
      <c r="E85" s="17">
        <v>438.11700000000002</v>
      </c>
      <c r="F85" s="17">
        <v>426.81200000000001</v>
      </c>
      <c r="G85" s="17">
        <v>401.315</v>
      </c>
      <c r="H85" s="17"/>
      <c r="I85" s="17"/>
      <c r="J85" s="17">
        <v>405.57100000000003</v>
      </c>
      <c r="K85" s="23"/>
      <c r="L85" s="17">
        <v>525.91499999999996</v>
      </c>
      <c r="M85" s="17">
        <v>402.60700000000003</v>
      </c>
      <c r="N85" s="17">
        <v>463.46899999999999</v>
      </c>
      <c r="O85" s="17">
        <v>434.06700000000001</v>
      </c>
      <c r="P85" s="17">
        <v>402.39499999999998</v>
      </c>
      <c r="Q85" s="17">
        <v>404.56</v>
      </c>
      <c r="R85" s="17">
        <v>435.83800000000002</v>
      </c>
      <c r="S85" s="17">
        <v>417.10700000000003</v>
      </c>
      <c r="T85" s="17">
        <v>396.25200000000001</v>
      </c>
      <c r="U85" s="17">
        <v>395.13900000000001</v>
      </c>
      <c r="V85" s="17">
        <v>408.02699999999999</v>
      </c>
      <c r="W85" s="17">
        <v>416.89699999999999</v>
      </c>
      <c r="X85" s="17">
        <v>448.11</v>
      </c>
      <c r="Y85" s="17">
        <v>510.86200000000002</v>
      </c>
      <c r="Z85" s="17">
        <v>457.642</v>
      </c>
      <c r="AA85" s="17">
        <v>421.64499999999998</v>
      </c>
      <c r="AB85" s="17"/>
      <c r="AC85" s="17"/>
      <c r="AD85" s="26"/>
      <c r="AE85" s="17"/>
      <c r="AF85" s="17"/>
      <c r="AG85" s="17"/>
      <c r="AH85" s="17"/>
      <c r="AI85" s="17"/>
      <c r="AJ85" s="17"/>
      <c r="AK85" s="17"/>
      <c r="AL85" s="17"/>
      <c r="AM85" s="17"/>
      <c r="AN85" s="17">
        <v>396.404</v>
      </c>
      <c r="AO85" s="17">
        <v>413.52800000000002</v>
      </c>
      <c r="AP85" s="17"/>
      <c r="AQ85" s="17">
        <v>395.774</v>
      </c>
      <c r="AR85" s="17"/>
      <c r="AS85" s="17"/>
      <c r="AT85" s="17"/>
      <c r="AU85" s="17"/>
      <c r="AV85" s="17"/>
      <c r="AW85" s="17">
        <v>480.91399999999999</v>
      </c>
    </row>
    <row r="86" spans="1:49" x14ac:dyDescent="0.35">
      <c r="A86" s="3">
        <f t="shared" si="30"/>
        <v>69</v>
      </c>
      <c r="B86" s="17"/>
      <c r="C86" s="17"/>
      <c r="D86" s="17">
        <v>418.73</v>
      </c>
      <c r="E86" s="17">
        <v>438.09699999999998</v>
      </c>
      <c r="F86" s="17">
        <v>424.96899999999999</v>
      </c>
      <c r="G86" s="17">
        <v>402.56799999999998</v>
      </c>
      <c r="H86" s="17"/>
      <c r="I86" s="17"/>
      <c r="J86" s="17">
        <v>405.42700000000002</v>
      </c>
      <c r="K86" s="23"/>
      <c r="L86" s="17">
        <v>527.13699999999994</v>
      </c>
      <c r="M86" s="17">
        <v>403.21</v>
      </c>
      <c r="N86" s="17">
        <v>462.51100000000002</v>
      </c>
      <c r="O86" s="17">
        <v>435.89600000000002</v>
      </c>
      <c r="P86" s="17">
        <v>404.55700000000002</v>
      </c>
      <c r="Q86" s="17">
        <v>407.74799999999999</v>
      </c>
      <c r="R86" s="17">
        <v>435.976</v>
      </c>
      <c r="S86" s="17">
        <v>414.14299999999997</v>
      </c>
      <c r="T86" s="17">
        <v>395.45499999999998</v>
      </c>
      <c r="U86" s="17">
        <v>394.16</v>
      </c>
      <c r="V86" s="17">
        <v>409.40199999999999</v>
      </c>
      <c r="W86" s="17">
        <v>416.84500000000003</v>
      </c>
      <c r="X86" s="17">
        <v>447.55700000000002</v>
      </c>
      <c r="Y86" s="17">
        <v>510.16399999999999</v>
      </c>
      <c r="Z86" s="17">
        <v>459.11700000000002</v>
      </c>
      <c r="AA86" s="17">
        <v>420.41800000000001</v>
      </c>
      <c r="AB86" s="17"/>
      <c r="AC86" s="17"/>
      <c r="AD86" s="26"/>
      <c r="AE86" s="17"/>
      <c r="AF86" s="17"/>
      <c r="AG86" s="17"/>
      <c r="AH86" s="17"/>
      <c r="AI86" s="17"/>
      <c r="AJ86" s="17"/>
      <c r="AK86" s="17"/>
      <c r="AL86" s="17"/>
      <c r="AM86" s="17"/>
      <c r="AN86" s="17">
        <v>397.49700000000001</v>
      </c>
      <c r="AO86" s="17">
        <v>413.72399999999999</v>
      </c>
      <c r="AP86" s="17"/>
      <c r="AQ86" s="17">
        <v>395.43799999999999</v>
      </c>
      <c r="AR86" s="17"/>
      <c r="AS86" s="17"/>
      <c r="AT86" s="17"/>
      <c r="AU86" s="17"/>
      <c r="AV86" s="17"/>
      <c r="AW86" s="17">
        <v>481.4</v>
      </c>
    </row>
    <row r="87" spans="1:49" x14ac:dyDescent="0.35">
      <c r="A87" s="3">
        <f t="shared" si="30"/>
        <v>70</v>
      </c>
      <c r="B87" s="17"/>
      <c r="C87" s="17"/>
      <c r="D87" s="17">
        <v>417.524</v>
      </c>
      <c r="E87" s="17">
        <v>438.31099999999998</v>
      </c>
      <c r="F87" s="17">
        <v>426.12</v>
      </c>
      <c r="G87" s="17">
        <v>402.07400000000001</v>
      </c>
      <c r="H87" s="17"/>
      <c r="I87" s="17"/>
      <c r="J87" s="17">
        <v>404.48899999999998</v>
      </c>
      <c r="K87" s="23"/>
      <c r="L87" s="17">
        <v>527.70899999999995</v>
      </c>
      <c r="M87" s="17">
        <v>403.21100000000001</v>
      </c>
      <c r="N87" s="17">
        <v>462.11500000000001</v>
      </c>
      <c r="O87" s="17">
        <v>435.57799999999997</v>
      </c>
      <c r="P87" s="17">
        <v>402.41699999999997</v>
      </c>
      <c r="Q87" s="17">
        <v>407.64400000000001</v>
      </c>
      <c r="R87" s="17">
        <v>434.62799999999999</v>
      </c>
      <c r="S87" s="17">
        <v>417.08800000000002</v>
      </c>
      <c r="T87" s="17">
        <v>395.56200000000001</v>
      </c>
      <c r="U87" s="17">
        <v>393.95100000000002</v>
      </c>
      <c r="V87" s="17">
        <v>407.98599999999999</v>
      </c>
      <c r="W87" s="17">
        <v>415.55900000000003</v>
      </c>
      <c r="X87" s="17">
        <v>446.04199999999997</v>
      </c>
      <c r="Y87" s="17">
        <v>511.46100000000001</v>
      </c>
      <c r="Z87" s="17">
        <v>457.77199999999999</v>
      </c>
      <c r="AA87" s="17">
        <v>419.601</v>
      </c>
      <c r="AB87" s="17"/>
      <c r="AC87" s="17"/>
      <c r="AD87" s="26"/>
      <c r="AE87" s="17"/>
      <c r="AF87" s="17"/>
      <c r="AG87" s="17"/>
      <c r="AH87" s="17"/>
      <c r="AI87" s="17"/>
      <c r="AJ87" s="17"/>
      <c r="AK87" s="17"/>
      <c r="AL87" s="17"/>
      <c r="AM87" s="17"/>
      <c r="AN87" s="17">
        <v>397.03100000000001</v>
      </c>
      <c r="AO87" s="17">
        <v>413.05</v>
      </c>
      <c r="AP87" s="17"/>
      <c r="AQ87" s="17">
        <v>396.69299999999998</v>
      </c>
      <c r="AR87" s="17"/>
      <c r="AS87" s="17"/>
      <c r="AT87" s="17"/>
      <c r="AU87" s="17"/>
      <c r="AV87" s="17"/>
      <c r="AW87" s="17">
        <v>481.93</v>
      </c>
    </row>
    <row r="88" spans="1:49" x14ac:dyDescent="0.35">
      <c r="A88" s="3">
        <f t="shared" si="30"/>
        <v>71</v>
      </c>
      <c r="B88" s="17"/>
      <c r="C88" s="17"/>
      <c r="D88" s="17">
        <v>415.94299999999998</v>
      </c>
      <c r="E88" s="17">
        <v>438.096</v>
      </c>
      <c r="F88" s="17">
        <v>426.1</v>
      </c>
      <c r="G88" s="17">
        <v>401.56299999999999</v>
      </c>
      <c r="H88" s="17"/>
      <c r="I88" s="17"/>
      <c r="J88" s="17">
        <v>402.92700000000002</v>
      </c>
      <c r="K88" s="23"/>
      <c r="L88" s="17">
        <v>528.14300000000003</v>
      </c>
      <c r="M88" s="17">
        <v>403.46699999999998</v>
      </c>
      <c r="N88" s="17">
        <v>460.78100000000001</v>
      </c>
      <c r="O88" s="17">
        <v>433.89</v>
      </c>
      <c r="P88" s="17">
        <v>402.78699999999998</v>
      </c>
      <c r="Q88" s="17">
        <v>406.69099999999997</v>
      </c>
      <c r="R88" s="17">
        <v>435.73899999999998</v>
      </c>
      <c r="S88" s="17">
        <v>416.66</v>
      </c>
      <c r="T88" s="17">
        <v>396.02199999999999</v>
      </c>
      <c r="U88" s="17">
        <v>395.03899999999999</v>
      </c>
      <c r="V88" s="17">
        <v>409.34399999999999</v>
      </c>
      <c r="W88" s="17">
        <v>416.54199999999997</v>
      </c>
      <c r="X88" s="17">
        <v>445.262</v>
      </c>
      <c r="Y88" s="17">
        <v>510.44</v>
      </c>
      <c r="Z88" s="17">
        <v>457.07100000000003</v>
      </c>
      <c r="AA88" s="17">
        <v>421.10300000000001</v>
      </c>
      <c r="AB88" s="17"/>
      <c r="AC88" s="17"/>
      <c r="AD88" s="26"/>
      <c r="AE88" s="17"/>
      <c r="AF88" s="17"/>
      <c r="AG88" s="17"/>
      <c r="AH88" s="17"/>
      <c r="AI88" s="17"/>
      <c r="AJ88" s="17"/>
      <c r="AK88" s="17"/>
      <c r="AL88" s="17"/>
      <c r="AM88" s="17"/>
      <c r="AN88" s="17">
        <v>396.20499999999998</v>
      </c>
      <c r="AO88" s="17">
        <v>413.55</v>
      </c>
      <c r="AP88" s="17"/>
      <c r="AQ88" s="17">
        <v>395.53100000000001</v>
      </c>
      <c r="AR88" s="17"/>
      <c r="AS88" s="17"/>
      <c r="AT88" s="17"/>
      <c r="AU88" s="17"/>
      <c r="AV88" s="17"/>
      <c r="AW88" s="17">
        <v>483.142</v>
      </c>
    </row>
    <row r="89" spans="1:49" x14ac:dyDescent="0.35">
      <c r="A89" s="3">
        <f t="shared" si="30"/>
        <v>72</v>
      </c>
      <c r="B89" s="17"/>
      <c r="C89" s="17"/>
      <c r="D89" s="17">
        <v>417.97300000000001</v>
      </c>
      <c r="E89" s="17">
        <v>438.39299999999997</v>
      </c>
      <c r="F89" s="17">
        <v>427.185</v>
      </c>
      <c r="G89" s="17">
        <v>401.21800000000002</v>
      </c>
      <c r="H89" s="17"/>
      <c r="I89" s="17"/>
      <c r="J89" s="17">
        <v>403.91800000000001</v>
      </c>
      <c r="K89" s="23"/>
      <c r="L89" s="17">
        <v>526.88400000000001</v>
      </c>
      <c r="M89" s="17">
        <v>404.005</v>
      </c>
      <c r="N89" s="17">
        <v>462.29700000000003</v>
      </c>
      <c r="O89" s="17">
        <v>434.60599999999999</v>
      </c>
      <c r="P89" s="17">
        <v>404.31799999999998</v>
      </c>
      <c r="Q89" s="17">
        <v>407.91899999999998</v>
      </c>
      <c r="R89" s="17">
        <v>436.78300000000002</v>
      </c>
      <c r="S89" s="17">
        <v>415.29</v>
      </c>
      <c r="T89" s="17">
        <v>395.41</v>
      </c>
      <c r="U89" s="17">
        <v>395.00299999999999</v>
      </c>
      <c r="V89" s="17">
        <v>406.37599999999998</v>
      </c>
      <c r="W89" s="17">
        <v>416.68599999999998</v>
      </c>
      <c r="X89" s="17">
        <v>447.55</v>
      </c>
      <c r="Y89" s="17">
        <v>512.05899999999997</v>
      </c>
      <c r="Z89" s="17">
        <v>458.32</v>
      </c>
      <c r="AA89" s="17">
        <v>421.41899999999998</v>
      </c>
      <c r="AB89" s="17"/>
      <c r="AC89" s="17"/>
      <c r="AD89" s="26"/>
      <c r="AE89" s="17"/>
      <c r="AF89" s="17"/>
      <c r="AG89" s="17"/>
      <c r="AH89" s="17"/>
      <c r="AI89" s="17"/>
      <c r="AJ89" s="17"/>
      <c r="AK89" s="17"/>
      <c r="AL89" s="17"/>
      <c r="AM89" s="17"/>
      <c r="AN89" s="17">
        <v>396.79399999999998</v>
      </c>
      <c r="AO89" s="17">
        <v>412.161</v>
      </c>
      <c r="AP89" s="17"/>
      <c r="AQ89" s="17">
        <v>397.14400000000001</v>
      </c>
      <c r="AR89" s="17"/>
      <c r="AS89" s="17"/>
      <c r="AT89" s="17"/>
      <c r="AU89" s="17"/>
      <c r="AV89" s="17"/>
      <c r="AW89" s="17">
        <v>480.91199999999998</v>
      </c>
    </row>
    <row r="90" spans="1:49" x14ac:dyDescent="0.35">
      <c r="A90" s="3">
        <f t="shared" si="30"/>
        <v>73</v>
      </c>
      <c r="B90" s="17"/>
      <c r="C90" s="17"/>
      <c r="D90" s="17">
        <v>417.90300000000002</v>
      </c>
      <c r="E90" s="17">
        <v>438.51600000000002</v>
      </c>
      <c r="F90" s="17">
        <v>425.81</v>
      </c>
      <c r="G90" s="17">
        <v>401.60500000000002</v>
      </c>
      <c r="H90" s="17"/>
      <c r="I90" s="17"/>
      <c r="J90" s="17">
        <v>403.661</v>
      </c>
      <c r="K90" s="23"/>
      <c r="L90" s="17">
        <v>527.69799999999998</v>
      </c>
      <c r="M90" s="17">
        <v>405.86599999999999</v>
      </c>
      <c r="N90" s="17">
        <v>461.16699999999997</v>
      </c>
      <c r="O90" s="17">
        <v>435.78399999999999</v>
      </c>
      <c r="P90" s="17">
        <v>403.67500000000001</v>
      </c>
      <c r="Q90" s="17">
        <v>408.49400000000003</v>
      </c>
      <c r="R90" s="17">
        <v>435.92099999999999</v>
      </c>
      <c r="S90" s="17">
        <v>417.67899999999997</v>
      </c>
      <c r="T90" s="17">
        <v>395.24299999999999</v>
      </c>
      <c r="U90" s="17">
        <v>394.95100000000002</v>
      </c>
      <c r="V90" s="17">
        <v>405.97899999999998</v>
      </c>
      <c r="W90" s="17">
        <v>417.01499999999999</v>
      </c>
      <c r="X90" s="17">
        <v>447.17700000000002</v>
      </c>
      <c r="Y90" s="17">
        <v>512.15499999999997</v>
      </c>
      <c r="Z90" s="17">
        <v>459.97</v>
      </c>
      <c r="AA90" s="17">
        <v>421.226</v>
      </c>
      <c r="AB90" s="17"/>
      <c r="AC90" s="17"/>
      <c r="AD90" s="26"/>
      <c r="AE90" s="17"/>
      <c r="AF90" s="17"/>
      <c r="AG90" s="17"/>
      <c r="AH90" s="17"/>
      <c r="AI90" s="17"/>
      <c r="AJ90" s="17"/>
      <c r="AK90" s="17"/>
      <c r="AL90" s="17"/>
      <c r="AM90" s="17"/>
      <c r="AN90" s="17">
        <v>397.88400000000001</v>
      </c>
      <c r="AO90" s="17">
        <v>413.56299999999999</v>
      </c>
      <c r="AP90" s="17"/>
      <c r="AQ90" s="17">
        <v>396.71300000000002</v>
      </c>
      <c r="AR90" s="17"/>
      <c r="AS90" s="17"/>
      <c r="AT90" s="17"/>
      <c r="AU90" s="17"/>
      <c r="AV90" s="17"/>
      <c r="AW90" s="17">
        <v>481.65800000000002</v>
      </c>
    </row>
    <row r="91" spans="1:49" x14ac:dyDescent="0.35">
      <c r="A91" s="3">
        <f t="shared" si="30"/>
        <v>74</v>
      </c>
      <c r="B91" s="17"/>
      <c r="C91" s="17"/>
      <c r="D91" s="17">
        <v>416.983</v>
      </c>
      <c r="E91" s="17">
        <v>438.476</v>
      </c>
      <c r="F91" s="17">
        <v>426.05799999999999</v>
      </c>
      <c r="G91" s="17">
        <v>401.55099999999999</v>
      </c>
      <c r="H91" s="17"/>
      <c r="I91" s="17"/>
      <c r="J91" s="17">
        <v>403.69299999999998</v>
      </c>
      <c r="K91" s="23"/>
      <c r="L91" s="17">
        <v>528.47900000000004</v>
      </c>
      <c r="M91" s="17">
        <v>406.13099999999997</v>
      </c>
      <c r="N91" s="17">
        <v>460.66500000000002</v>
      </c>
      <c r="O91" s="17">
        <v>435.863</v>
      </c>
      <c r="P91" s="17">
        <v>403.07799999999997</v>
      </c>
      <c r="Q91" s="17">
        <v>410.464</v>
      </c>
      <c r="R91" s="17">
        <v>434.69900000000001</v>
      </c>
      <c r="S91" s="17">
        <v>415.86399999999998</v>
      </c>
      <c r="T91" s="17">
        <v>395.21800000000002</v>
      </c>
      <c r="U91" s="17">
        <v>395.23899999999998</v>
      </c>
      <c r="V91" s="17">
        <v>406.79399999999998</v>
      </c>
      <c r="W91" s="17">
        <v>416.61500000000001</v>
      </c>
      <c r="X91" s="17">
        <v>446.92599999999999</v>
      </c>
      <c r="Y91" s="17">
        <v>513.18499999999995</v>
      </c>
      <c r="Z91" s="17">
        <v>458.964</v>
      </c>
      <c r="AA91" s="17">
        <v>422.32900000000001</v>
      </c>
      <c r="AB91" s="17"/>
      <c r="AC91" s="17"/>
      <c r="AD91" s="26"/>
      <c r="AE91" s="17"/>
      <c r="AF91" s="17"/>
      <c r="AG91" s="17"/>
      <c r="AH91" s="17"/>
      <c r="AI91" s="17"/>
      <c r="AJ91" s="17"/>
      <c r="AK91" s="17"/>
      <c r="AL91" s="17"/>
      <c r="AM91" s="17"/>
      <c r="AN91" s="17">
        <v>396.83199999999999</v>
      </c>
      <c r="AO91" s="17">
        <v>414.18900000000002</v>
      </c>
      <c r="AP91" s="17"/>
      <c r="AQ91" s="17">
        <v>396.63400000000001</v>
      </c>
      <c r="AR91" s="17"/>
      <c r="AS91" s="17"/>
      <c r="AT91" s="17"/>
      <c r="AU91" s="17"/>
      <c r="AV91" s="17"/>
      <c r="AW91" s="17">
        <v>482.28899999999999</v>
      </c>
    </row>
    <row r="92" spans="1:49" x14ac:dyDescent="0.35">
      <c r="A92" s="3">
        <f t="shared" si="30"/>
        <v>75</v>
      </c>
      <c r="B92" s="17"/>
      <c r="C92" s="17"/>
      <c r="D92" s="17">
        <v>417.88799999999998</v>
      </c>
      <c r="E92" s="17">
        <v>439.48200000000003</v>
      </c>
      <c r="F92" s="17">
        <v>426.48899999999998</v>
      </c>
      <c r="G92" s="17">
        <v>401.71699999999998</v>
      </c>
      <c r="H92" s="17"/>
      <c r="I92" s="17"/>
      <c r="J92" s="17">
        <v>403.839</v>
      </c>
      <c r="K92" s="23"/>
      <c r="L92" s="17">
        <v>529.18700000000001</v>
      </c>
      <c r="M92" s="17">
        <v>406.113</v>
      </c>
      <c r="N92" s="17">
        <v>460.06900000000002</v>
      </c>
      <c r="O92" s="17">
        <v>435.09199999999998</v>
      </c>
      <c r="P92" s="17">
        <v>403.15499999999997</v>
      </c>
      <c r="Q92" s="17">
        <v>409.74299999999999</v>
      </c>
      <c r="R92" s="17">
        <v>434.85</v>
      </c>
      <c r="S92" s="17">
        <v>415.94799999999998</v>
      </c>
      <c r="T92" s="17">
        <v>395.00799999999998</v>
      </c>
      <c r="U92" s="17">
        <v>394.48500000000001</v>
      </c>
      <c r="V92" s="17">
        <v>405.24299999999999</v>
      </c>
      <c r="W92" s="17">
        <v>416.685</v>
      </c>
      <c r="X92" s="17">
        <v>445.73599999999999</v>
      </c>
      <c r="Y92" s="17">
        <v>513.89300000000003</v>
      </c>
      <c r="Z92" s="17">
        <v>458.67599999999999</v>
      </c>
      <c r="AA92" s="17">
        <v>423.25900000000001</v>
      </c>
      <c r="AB92" s="17"/>
      <c r="AC92" s="17"/>
      <c r="AD92" s="26"/>
      <c r="AE92" s="17"/>
      <c r="AF92" s="17"/>
      <c r="AG92" s="17"/>
      <c r="AH92" s="17"/>
      <c r="AI92" s="17"/>
      <c r="AJ92" s="17"/>
      <c r="AK92" s="17"/>
      <c r="AL92" s="17"/>
      <c r="AM92" s="17"/>
      <c r="AN92" s="17">
        <v>396.976</v>
      </c>
      <c r="AO92" s="17">
        <v>414.68099999999998</v>
      </c>
      <c r="AP92" s="17"/>
      <c r="AQ92" s="17">
        <v>396.57299999999998</v>
      </c>
      <c r="AR92" s="17"/>
      <c r="AS92" s="17"/>
      <c r="AT92" s="17"/>
      <c r="AU92" s="17"/>
      <c r="AV92" s="17"/>
      <c r="AW92" s="17">
        <v>483.32600000000002</v>
      </c>
    </row>
    <row r="93" spans="1:49" x14ac:dyDescent="0.35">
      <c r="A93" s="3">
        <f t="shared" si="30"/>
        <v>76</v>
      </c>
      <c r="B93" s="17"/>
      <c r="C93" s="17"/>
      <c r="D93" s="17">
        <v>418.65100000000001</v>
      </c>
      <c r="E93" s="17">
        <v>440.32799999999997</v>
      </c>
      <c r="F93" s="17">
        <v>424.76100000000002</v>
      </c>
      <c r="G93" s="17">
        <v>402.17200000000003</v>
      </c>
      <c r="H93" s="17"/>
      <c r="I93" s="17"/>
      <c r="J93" s="17">
        <v>402.50599999999997</v>
      </c>
      <c r="K93" s="23"/>
      <c r="L93" s="17">
        <v>528.03099999999995</v>
      </c>
      <c r="M93" s="17">
        <v>406.125</v>
      </c>
      <c r="N93" s="17">
        <v>459.26799999999997</v>
      </c>
      <c r="O93" s="17">
        <v>435.42</v>
      </c>
      <c r="P93" s="17">
        <v>403.697</v>
      </c>
      <c r="Q93" s="17">
        <v>409.42399999999998</v>
      </c>
      <c r="R93" s="17">
        <v>436.18599999999998</v>
      </c>
      <c r="S93" s="17">
        <v>416.08300000000003</v>
      </c>
      <c r="T93" s="17">
        <v>394.92700000000002</v>
      </c>
      <c r="U93" s="17">
        <v>396.01900000000001</v>
      </c>
      <c r="V93" s="17">
        <v>405.05799999999999</v>
      </c>
      <c r="W93" s="17">
        <v>416.27</v>
      </c>
      <c r="X93" s="17">
        <v>447.39400000000001</v>
      </c>
      <c r="Y93" s="17">
        <v>514.92999999999995</v>
      </c>
      <c r="Z93" s="17">
        <v>458.46</v>
      </c>
      <c r="AA93" s="17">
        <v>422.3</v>
      </c>
      <c r="AB93" s="17"/>
      <c r="AC93" s="17"/>
      <c r="AD93" s="26"/>
      <c r="AE93" s="17"/>
      <c r="AF93" s="17"/>
      <c r="AG93" s="17"/>
      <c r="AH93" s="17"/>
      <c r="AI93" s="17"/>
      <c r="AJ93" s="17"/>
      <c r="AK93" s="17"/>
      <c r="AL93" s="17"/>
      <c r="AM93" s="17"/>
      <c r="AN93" s="17">
        <v>396.39400000000001</v>
      </c>
      <c r="AO93" s="17">
        <v>413.63099999999997</v>
      </c>
      <c r="AP93" s="17"/>
      <c r="AQ93" s="17">
        <v>394.65499999999997</v>
      </c>
      <c r="AR93" s="17"/>
      <c r="AS93" s="17"/>
      <c r="AT93" s="17"/>
      <c r="AU93" s="17"/>
      <c r="AV93" s="17"/>
      <c r="AW93" s="17">
        <v>482.40300000000002</v>
      </c>
    </row>
    <row r="94" spans="1:49" x14ac:dyDescent="0.35">
      <c r="A94" s="3">
        <f t="shared" si="30"/>
        <v>77</v>
      </c>
      <c r="B94" s="17"/>
      <c r="C94" s="17"/>
      <c r="D94" s="17">
        <v>417.779</v>
      </c>
      <c r="E94" s="17">
        <v>440.26100000000002</v>
      </c>
      <c r="F94" s="17">
        <v>426.16399999999999</v>
      </c>
      <c r="G94" s="17">
        <v>400.81599999999997</v>
      </c>
      <c r="H94" s="17"/>
      <c r="I94" s="17"/>
      <c r="J94" s="17">
        <v>402.19400000000002</v>
      </c>
      <c r="K94" s="23"/>
      <c r="L94" s="17">
        <v>528.61500000000001</v>
      </c>
      <c r="M94" s="17">
        <v>406.64600000000002</v>
      </c>
      <c r="N94" s="17">
        <v>459.04</v>
      </c>
      <c r="O94" s="17">
        <v>435.71899999999999</v>
      </c>
      <c r="P94" s="17">
        <v>403.80799999999999</v>
      </c>
      <c r="Q94" s="17">
        <v>410.03500000000003</v>
      </c>
      <c r="R94" s="17">
        <v>435.75200000000001</v>
      </c>
      <c r="S94" s="17">
        <v>417.16300000000001</v>
      </c>
      <c r="T94" s="17">
        <v>395.24299999999999</v>
      </c>
      <c r="U94" s="17">
        <v>395.86200000000002</v>
      </c>
      <c r="V94" s="17">
        <v>406.411</v>
      </c>
      <c r="W94" s="17">
        <v>417.24700000000001</v>
      </c>
      <c r="X94" s="17">
        <v>446.21699999999998</v>
      </c>
      <c r="Y94" s="17">
        <v>516.928</v>
      </c>
      <c r="Z94" s="17">
        <v>458.81200000000001</v>
      </c>
      <c r="AA94" s="17">
        <v>424.54199999999997</v>
      </c>
      <c r="AB94" s="17"/>
      <c r="AC94" s="17"/>
      <c r="AD94" s="26"/>
      <c r="AE94" s="17"/>
      <c r="AF94" s="17"/>
      <c r="AG94" s="17"/>
      <c r="AH94" s="17"/>
      <c r="AI94" s="17"/>
      <c r="AJ94" s="17"/>
      <c r="AK94" s="17"/>
      <c r="AL94" s="17"/>
      <c r="AM94" s="17"/>
      <c r="AN94" s="17">
        <v>398.01</v>
      </c>
      <c r="AO94" s="17">
        <v>413.88200000000001</v>
      </c>
      <c r="AP94" s="17"/>
      <c r="AQ94" s="17">
        <v>395.21800000000002</v>
      </c>
      <c r="AR94" s="17"/>
      <c r="AS94" s="17"/>
      <c r="AT94" s="17"/>
      <c r="AU94" s="17"/>
      <c r="AV94" s="17"/>
      <c r="AW94" s="17">
        <v>483.11200000000002</v>
      </c>
    </row>
    <row r="95" spans="1:49" x14ac:dyDescent="0.35">
      <c r="A95" s="3">
        <f t="shared" si="30"/>
        <v>78</v>
      </c>
      <c r="B95" s="17"/>
      <c r="C95" s="17"/>
      <c r="D95" s="17">
        <v>418.839</v>
      </c>
      <c r="E95" s="17">
        <v>441.95499999999998</v>
      </c>
      <c r="F95" s="17">
        <v>427.18</v>
      </c>
      <c r="G95" s="17">
        <v>402.38900000000001</v>
      </c>
      <c r="H95" s="17"/>
      <c r="I95" s="17"/>
      <c r="J95" s="17">
        <v>402.45600000000002</v>
      </c>
      <c r="K95" s="23"/>
      <c r="L95" s="17">
        <v>529.77099999999996</v>
      </c>
      <c r="M95" s="17">
        <v>406.49700000000001</v>
      </c>
      <c r="N95" s="17">
        <v>458.48099999999999</v>
      </c>
      <c r="O95" s="17">
        <v>435.65699999999998</v>
      </c>
      <c r="P95" s="17">
        <v>403.89600000000002</v>
      </c>
      <c r="Q95" s="17">
        <v>410.74099999999999</v>
      </c>
      <c r="R95" s="17">
        <v>434.90699999999998</v>
      </c>
      <c r="S95" s="17">
        <v>417.178</v>
      </c>
      <c r="T95" s="17">
        <v>394.98399999999998</v>
      </c>
      <c r="U95" s="17">
        <v>394.904</v>
      </c>
      <c r="V95" s="17">
        <v>403.65600000000001</v>
      </c>
      <c r="W95" s="17">
        <v>415.91899999999998</v>
      </c>
      <c r="X95" s="17">
        <v>446.82799999999997</v>
      </c>
      <c r="Y95" s="17">
        <v>516.947</v>
      </c>
      <c r="Z95" s="17">
        <v>459.63</v>
      </c>
      <c r="AA95" s="17">
        <v>423.73</v>
      </c>
      <c r="AB95" s="17"/>
      <c r="AC95" s="17"/>
      <c r="AD95" s="26"/>
      <c r="AE95" s="17"/>
      <c r="AF95" s="17"/>
      <c r="AG95" s="17"/>
      <c r="AH95" s="17"/>
      <c r="AI95" s="17"/>
      <c r="AJ95" s="17"/>
      <c r="AK95" s="17"/>
      <c r="AL95" s="17"/>
      <c r="AM95" s="17"/>
      <c r="AN95" s="17">
        <v>398.60700000000003</v>
      </c>
      <c r="AO95" s="17">
        <v>414.35700000000003</v>
      </c>
      <c r="AP95" s="17"/>
      <c r="AQ95" s="17">
        <v>396.61399999999998</v>
      </c>
      <c r="AR95" s="17"/>
      <c r="AS95" s="17"/>
      <c r="AT95" s="17"/>
      <c r="AU95" s="17"/>
      <c r="AV95" s="17"/>
      <c r="AW95" s="17">
        <v>484.67399999999998</v>
      </c>
    </row>
    <row r="96" spans="1:49" x14ac:dyDescent="0.35">
      <c r="A96" s="3">
        <f t="shared" si="30"/>
        <v>79</v>
      </c>
      <c r="B96" s="17"/>
      <c r="C96" s="17"/>
      <c r="D96" s="17">
        <v>419.42</v>
      </c>
      <c r="E96" s="17">
        <v>441.392</v>
      </c>
      <c r="F96" s="17">
        <v>424.43400000000003</v>
      </c>
      <c r="G96" s="17">
        <v>401.108</v>
      </c>
      <c r="H96" s="17"/>
      <c r="I96" s="17"/>
      <c r="J96" s="17">
        <v>402.24700000000001</v>
      </c>
      <c r="K96" s="23"/>
      <c r="L96" s="17">
        <v>528.93100000000004</v>
      </c>
      <c r="M96" s="17">
        <v>407.36099999999999</v>
      </c>
      <c r="N96" s="17">
        <v>457.44</v>
      </c>
      <c r="O96" s="17">
        <v>436.77499999999998</v>
      </c>
      <c r="P96" s="17">
        <v>404.464</v>
      </c>
      <c r="Q96" s="17">
        <v>410.47500000000002</v>
      </c>
      <c r="R96" s="17">
        <v>434.93900000000002</v>
      </c>
      <c r="S96" s="17">
        <v>416.44799999999998</v>
      </c>
      <c r="T96" s="17">
        <v>394.93</v>
      </c>
      <c r="U96" s="17">
        <v>396.12299999999999</v>
      </c>
      <c r="V96" s="17">
        <v>403.66800000000001</v>
      </c>
      <c r="W96" s="17">
        <v>417.35899999999998</v>
      </c>
      <c r="X96" s="17">
        <v>447.77800000000002</v>
      </c>
      <c r="Y96" s="17">
        <v>516.59299999999996</v>
      </c>
      <c r="Z96" s="17">
        <v>457.55099999999999</v>
      </c>
      <c r="AA96" s="17">
        <v>424.726</v>
      </c>
      <c r="AB96" s="17"/>
      <c r="AC96" s="17"/>
      <c r="AD96" s="26"/>
      <c r="AE96" s="17"/>
      <c r="AF96" s="17"/>
      <c r="AG96" s="17"/>
      <c r="AH96" s="17"/>
      <c r="AI96" s="17"/>
      <c r="AJ96" s="17"/>
      <c r="AK96" s="17"/>
      <c r="AL96" s="17"/>
      <c r="AM96" s="17"/>
      <c r="AN96" s="17">
        <v>397.89499999999998</v>
      </c>
      <c r="AO96" s="17">
        <v>415.279</v>
      </c>
      <c r="AP96" s="17"/>
      <c r="AQ96" s="17">
        <v>397.01499999999999</v>
      </c>
      <c r="AR96" s="17"/>
      <c r="AS96" s="17"/>
      <c r="AT96" s="17"/>
      <c r="AU96" s="17"/>
      <c r="AV96" s="17"/>
      <c r="AW96" s="17">
        <v>482.56099999999998</v>
      </c>
    </row>
    <row r="97" spans="1:49" x14ac:dyDescent="0.35">
      <c r="A97" s="3">
        <f t="shared" si="30"/>
        <v>80</v>
      </c>
      <c r="B97" s="17"/>
      <c r="C97" s="17"/>
      <c r="D97" s="17">
        <v>420.34699999999998</v>
      </c>
      <c r="E97" s="17">
        <v>441.67200000000003</v>
      </c>
      <c r="F97" s="17">
        <v>425.90499999999997</v>
      </c>
      <c r="G97" s="17">
        <v>401.11399999999998</v>
      </c>
      <c r="H97" s="17"/>
      <c r="I97" s="17"/>
      <c r="J97" s="17">
        <v>400.93700000000001</v>
      </c>
      <c r="K97" s="23"/>
      <c r="L97" s="17">
        <v>529.82100000000003</v>
      </c>
      <c r="M97" s="17">
        <v>407.33800000000002</v>
      </c>
      <c r="N97" s="17">
        <v>455.80799999999999</v>
      </c>
      <c r="O97" s="17">
        <v>436.91199999999998</v>
      </c>
      <c r="P97" s="17">
        <v>403.62400000000002</v>
      </c>
      <c r="Q97" s="17">
        <v>411.589</v>
      </c>
      <c r="R97" s="17">
        <v>436.43299999999999</v>
      </c>
      <c r="S97" s="17">
        <v>415.48899999999998</v>
      </c>
      <c r="T97" s="17">
        <v>395.15899999999999</v>
      </c>
      <c r="U97" s="17">
        <v>396.54899999999998</v>
      </c>
      <c r="V97" s="17">
        <v>404.19099999999997</v>
      </c>
      <c r="W97" s="17">
        <v>416.16899999999998</v>
      </c>
      <c r="X97" s="17">
        <v>447.88099999999997</v>
      </c>
      <c r="Y97" s="17">
        <v>518.41700000000003</v>
      </c>
      <c r="Z97" s="17">
        <v>458.79399999999998</v>
      </c>
      <c r="AA97" s="17">
        <v>425.24700000000001</v>
      </c>
      <c r="AB97" s="17"/>
      <c r="AC97" s="17"/>
      <c r="AD97" s="26"/>
      <c r="AE97" s="17"/>
      <c r="AF97" s="17"/>
      <c r="AG97" s="17"/>
      <c r="AH97" s="17"/>
      <c r="AI97" s="17"/>
      <c r="AJ97" s="17"/>
      <c r="AK97" s="17"/>
      <c r="AL97" s="17"/>
      <c r="AM97" s="17"/>
      <c r="AN97" s="17">
        <v>396.80200000000002</v>
      </c>
      <c r="AO97" s="17">
        <v>415.90600000000001</v>
      </c>
      <c r="AP97" s="17"/>
      <c r="AQ97" s="17">
        <v>397.13</v>
      </c>
      <c r="AR97" s="17"/>
      <c r="AS97" s="17"/>
      <c r="AT97" s="17"/>
      <c r="AU97" s="17"/>
      <c r="AV97" s="17"/>
      <c r="AW97" s="17">
        <v>483.56599999999997</v>
      </c>
    </row>
    <row r="98" spans="1:49" x14ac:dyDescent="0.35">
      <c r="A98" s="3">
        <f t="shared" si="30"/>
        <v>81</v>
      </c>
      <c r="B98" s="17"/>
      <c r="C98" s="17"/>
      <c r="D98" s="17">
        <v>420.166</v>
      </c>
      <c r="E98" s="17">
        <v>441.26</v>
      </c>
      <c r="F98" s="17">
        <v>424.26299999999998</v>
      </c>
      <c r="G98" s="17">
        <v>401.29599999999999</v>
      </c>
      <c r="H98" s="17"/>
      <c r="I98" s="17"/>
      <c r="J98" s="17">
        <v>400.197</v>
      </c>
      <c r="K98" s="23"/>
      <c r="L98" s="17">
        <v>529.03300000000002</v>
      </c>
      <c r="M98" s="17">
        <v>408.20699999999999</v>
      </c>
      <c r="N98" s="17">
        <v>457.44400000000002</v>
      </c>
      <c r="O98" s="17">
        <v>436.34399999999999</v>
      </c>
      <c r="P98" s="17">
        <v>403.54300000000001</v>
      </c>
      <c r="Q98" s="17">
        <v>409.23399999999998</v>
      </c>
      <c r="R98" s="17">
        <v>436.03500000000003</v>
      </c>
      <c r="S98" s="17">
        <v>416.65300000000002</v>
      </c>
      <c r="T98" s="17">
        <v>395.565</v>
      </c>
      <c r="U98" s="17">
        <v>396.33199999999999</v>
      </c>
      <c r="V98" s="17">
        <v>403.34100000000001</v>
      </c>
      <c r="W98" s="17">
        <v>417.11900000000003</v>
      </c>
      <c r="X98" s="17">
        <v>447.37900000000002</v>
      </c>
      <c r="Y98" s="17">
        <v>519.21699999999998</v>
      </c>
      <c r="Z98" s="17">
        <v>460.32</v>
      </c>
      <c r="AA98" s="17">
        <v>423.447</v>
      </c>
      <c r="AB98" s="17"/>
      <c r="AC98" s="17"/>
      <c r="AD98" s="26"/>
      <c r="AE98" s="17"/>
      <c r="AF98" s="17"/>
      <c r="AG98" s="17"/>
      <c r="AH98" s="17"/>
      <c r="AI98" s="17"/>
      <c r="AJ98" s="17"/>
      <c r="AK98" s="17"/>
      <c r="AL98" s="17"/>
      <c r="AM98" s="17"/>
      <c r="AN98" s="17">
        <v>398.05799999999999</v>
      </c>
      <c r="AO98" s="17">
        <v>417.21300000000002</v>
      </c>
      <c r="AP98" s="17"/>
      <c r="AQ98" s="17">
        <v>396.52100000000002</v>
      </c>
      <c r="AR98" s="17"/>
      <c r="AS98" s="17"/>
      <c r="AT98" s="17"/>
      <c r="AU98" s="17"/>
      <c r="AV98" s="17"/>
      <c r="AW98" s="17">
        <v>484.21699999999998</v>
      </c>
    </row>
    <row r="99" spans="1:49" x14ac:dyDescent="0.35">
      <c r="A99" s="3">
        <f t="shared" si="30"/>
        <v>82</v>
      </c>
      <c r="B99" s="17"/>
      <c r="C99" s="17"/>
      <c r="D99" s="17">
        <v>419.48599999999999</v>
      </c>
      <c r="E99" s="17">
        <v>441.16500000000002</v>
      </c>
      <c r="F99" s="17">
        <v>424.79500000000002</v>
      </c>
      <c r="G99" s="17">
        <v>401.661</v>
      </c>
      <c r="H99" s="17"/>
      <c r="I99" s="17"/>
      <c r="J99" s="17">
        <v>400.97</v>
      </c>
      <c r="K99" s="23"/>
      <c r="L99" s="17">
        <v>529.74199999999996</v>
      </c>
      <c r="M99" s="17">
        <v>407.04</v>
      </c>
      <c r="N99" s="17">
        <v>456.98599999999999</v>
      </c>
      <c r="O99" s="17">
        <v>435.85700000000003</v>
      </c>
      <c r="P99" s="17">
        <v>405.113</v>
      </c>
      <c r="Q99" s="17">
        <v>408.98099999999999</v>
      </c>
      <c r="R99" s="17">
        <v>436.02499999999998</v>
      </c>
      <c r="S99" s="17">
        <v>415.02800000000002</v>
      </c>
      <c r="T99" s="17">
        <v>395.42500000000001</v>
      </c>
      <c r="U99" s="17">
        <v>397.404</v>
      </c>
      <c r="V99" s="17">
        <v>403.70800000000003</v>
      </c>
      <c r="W99" s="17">
        <v>416.577</v>
      </c>
      <c r="X99" s="17">
        <v>447.101</v>
      </c>
      <c r="Y99" s="17">
        <v>520.18399999999997</v>
      </c>
      <c r="Z99" s="17">
        <v>458.30900000000003</v>
      </c>
      <c r="AA99" s="17">
        <v>424.54</v>
      </c>
      <c r="AB99" s="17"/>
      <c r="AC99" s="17"/>
      <c r="AD99" s="26"/>
      <c r="AE99" s="17"/>
      <c r="AF99" s="17"/>
      <c r="AG99" s="17"/>
      <c r="AH99" s="17"/>
      <c r="AI99" s="17"/>
      <c r="AJ99" s="17"/>
      <c r="AK99" s="17"/>
      <c r="AL99" s="17"/>
      <c r="AM99" s="17"/>
      <c r="AN99" s="17">
        <v>397.59399999999999</v>
      </c>
      <c r="AO99" s="17">
        <v>415.29899999999998</v>
      </c>
      <c r="AP99" s="17"/>
      <c r="AQ99" s="17">
        <v>395.74400000000003</v>
      </c>
      <c r="AR99" s="17"/>
      <c r="AS99" s="17"/>
      <c r="AT99" s="17"/>
      <c r="AU99" s="17"/>
      <c r="AV99" s="17"/>
      <c r="AW99" s="17">
        <v>482.74400000000003</v>
      </c>
    </row>
    <row r="100" spans="1:49" x14ac:dyDescent="0.35">
      <c r="A100" s="3">
        <f t="shared" si="30"/>
        <v>83</v>
      </c>
      <c r="B100" s="17"/>
      <c r="C100" s="17"/>
      <c r="D100" s="17">
        <v>420.22399999999999</v>
      </c>
      <c r="E100" s="17">
        <v>442.459</v>
      </c>
      <c r="F100" s="17">
        <v>425.38900000000001</v>
      </c>
      <c r="G100" s="17">
        <v>403.351</v>
      </c>
      <c r="H100" s="17"/>
      <c r="I100" s="17"/>
      <c r="J100" s="17">
        <v>400.279</v>
      </c>
      <c r="K100" s="23"/>
      <c r="L100" s="17">
        <v>530.25599999999997</v>
      </c>
      <c r="M100" s="17">
        <v>407.92</v>
      </c>
      <c r="N100" s="17">
        <v>456.22399999999999</v>
      </c>
      <c r="O100" s="17">
        <v>435.31400000000002</v>
      </c>
      <c r="P100" s="17">
        <v>403.89499999999998</v>
      </c>
      <c r="Q100" s="17">
        <v>405.84199999999998</v>
      </c>
      <c r="R100" s="17">
        <v>434.83699999999999</v>
      </c>
      <c r="S100" s="17">
        <v>416.40100000000001</v>
      </c>
      <c r="T100" s="17">
        <v>395.71600000000001</v>
      </c>
      <c r="U100" s="17">
        <v>397.24299999999999</v>
      </c>
      <c r="V100" s="17">
        <v>405.16399999999999</v>
      </c>
      <c r="W100" s="17">
        <v>415.90899999999999</v>
      </c>
      <c r="X100" s="17">
        <v>446.56400000000002</v>
      </c>
      <c r="Y100" s="17">
        <v>519.50900000000001</v>
      </c>
      <c r="Z100" s="17">
        <v>459.13900000000001</v>
      </c>
      <c r="AA100" s="17">
        <v>422.964</v>
      </c>
      <c r="AB100" s="17"/>
      <c r="AC100" s="17"/>
      <c r="AD100" s="26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>
        <v>397.75799999999998</v>
      </c>
      <c r="AO100" s="17">
        <v>414.52</v>
      </c>
      <c r="AP100" s="17"/>
      <c r="AQ100" s="17">
        <v>395.82600000000002</v>
      </c>
      <c r="AR100" s="17"/>
      <c r="AS100" s="17"/>
      <c r="AT100" s="17"/>
      <c r="AU100" s="17"/>
      <c r="AV100" s="17"/>
      <c r="AW100" s="17">
        <v>484.31099999999998</v>
      </c>
    </row>
    <row r="101" spans="1:49" x14ac:dyDescent="0.35">
      <c r="A101" s="3">
        <f t="shared" si="30"/>
        <v>84</v>
      </c>
      <c r="B101" s="17"/>
      <c r="C101" s="17"/>
      <c r="D101" s="17">
        <v>421.13400000000001</v>
      </c>
      <c r="E101" s="17">
        <v>442.75099999999998</v>
      </c>
      <c r="F101" s="17">
        <v>424.89</v>
      </c>
      <c r="G101" s="17">
        <v>401.83</v>
      </c>
      <c r="H101" s="17"/>
      <c r="I101" s="17"/>
      <c r="J101" s="17">
        <v>400.16800000000001</v>
      </c>
      <c r="K101" s="23"/>
      <c r="L101" s="17">
        <v>530.55399999999997</v>
      </c>
      <c r="M101" s="17">
        <v>407.81700000000001</v>
      </c>
      <c r="N101" s="17">
        <v>454.93200000000002</v>
      </c>
      <c r="O101" s="17">
        <v>436.726</v>
      </c>
      <c r="P101" s="17">
        <v>403.81799999999998</v>
      </c>
      <c r="Q101" s="17">
        <v>403.48500000000001</v>
      </c>
      <c r="R101" s="17">
        <v>434.54599999999999</v>
      </c>
      <c r="S101" s="17">
        <v>415.202</v>
      </c>
      <c r="T101" s="17">
        <v>397.16199999999998</v>
      </c>
      <c r="U101" s="17">
        <v>395.89</v>
      </c>
      <c r="V101" s="17">
        <v>404.613</v>
      </c>
      <c r="W101" s="17">
        <v>417.21600000000001</v>
      </c>
      <c r="X101" s="17">
        <v>447.238</v>
      </c>
      <c r="Y101" s="17">
        <v>519.10599999999999</v>
      </c>
      <c r="Z101" s="17">
        <v>459.06400000000002</v>
      </c>
      <c r="AA101" s="17">
        <v>424.04500000000002</v>
      </c>
      <c r="AB101" s="17"/>
      <c r="AC101" s="17"/>
      <c r="AD101" s="26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>
        <v>397.37599999999998</v>
      </c>
      <c r="AO101" s="17">
        <v>413.75</v>
      </c>
      <c r="AP101" s="17"/>
      <c r="AQ101" s="17">
        <v>396.44299999999998</v>
      </c>
      <c r="AR101" s="17"/>
      <c r="AS101" s="17"/>
      <c r="AT101" s="17"/>
      <c r="AU101" s="17"/>
      <c r="AV101" s="17"/>
      <c r="AW101" s="17">
        <v>484.52499999999998</v>
      </c>
    </row>
    <row r="102" spans="1:49" x14ac:dyDescent="0.35">
      <c r="A102" s="3">
        <f t="shared" si="30"/>
        <v>85</v>
      </c>
      <c r="B102" s="17"/>
      <c r="C102" s="17"/>
      <c r="D102" s="17">
        <v>421.81799999999998</v>
      </c>
      <c r="E102" s="17">
        <v>444.101</v>
      </c>
      <c r="F102" s="17">
        <v>424.84</v>
      </c>
      <c r="G102" s="17">
        <v>401.916</v>
      </c>
      <c r="H102" s="17"/>
      <c r="I102" s="17"/>
      <c r="J102" s="17">
        <v>400.59100000000001</v>
      </c>
      <c r="K102" s="23"/>
      <c r="L102" s="17">
        <v>530.33600000000001</v>
      </c>
      <c r="M102" s="17">
        <v>407.77699999999999</v>
      </c>
      <c r="N102" s="17">
        <v>454.99599999999998</v>
      </c>
      <c r="O102" s="17">
        <v>436.065</v>
      </c>
      <c r="P102" s="17">
        <v>403.488</v>
      </c>
      <c r="Q102" s="17">
        <v>403.51100000000002</v>
      </c>
      <c r="R102" s="17">
        <v>433.36399999999998</v>
      </c>
      <c r="S102" s="17">
        <v>417.084</v>
      </c>
      <c r="T102" s="17">
        <v>395.459</v>
      </c>
      <c r="U102" s="17">
        <v>397.17399999999998</v>
      </c>
      <c r="V102" s="17">
        <v>406.83</v>
      </c>
      <c r="W102" s="17">
        <v>416.75799999999998</v>
      </c>
      <c r="X102" s="17">
        <v>446.87299999999999</v>
      </c>
      <c r="Y102" s="17">
        <v>518.45600000000002</v>
      </c>
      <c r="Z102" s="17">
        <v>460.59699999999998</v>
      </c>
      <c r="AA102" s="17">
        <v>424.79899999999998</v>
      </c>
      <c r="AB102" s="17"/>
      <c r="AC102" s="17"/>
      <c r="AD102" s="26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>
        <v>397.06700000000001</v>
      </c>
      <c r="AO102" s="17">
        <v>414.41699999999997</v>
      </c>
      <c r="AP102" s="17"/>
      <c r="AQ102" s="17">
        <v>395.26</v>
      </c>
      <c r="AR102" s="17"/>
      <c r="AS102" s="17"/>
      <c r="AT102" s="17"/>
      <c r="AU102" s="17"/>
      <c r="AV102" s="17"/>
      <c r="AW102" s="17">
        <v>483.64600000000002</v>
      </c>
    </row>
    <row r="103" spans="1:49" x14ac:dyDescent="0.35">
      <c r="A103" s="3">
        <f t="shared" si="30"/>
        <v>86</v>
      </c>
      <c r="B103" s="17"/>
      <c r="C103" s="17"/>
      <c r="D103" s="17">
        <v>422.20299999999997</v>
      </c>
      <c r="E103" s="17">
        <v>442.53399999999999</v>
      </c>
      <c r="F103" s="17">
        <v>424.60899999999998</v>
      </c>
      <c r="G103" s="17">
        <v>401.20100000000002</v>
      </c>
      <c r="H103" s="17"/>
      <c r="I103" s="17"/>
      <c r="J103" s="17">
        <v>399.73700000000002</v>
      </c>
      <c r="K103" s="23"/>
      <c r="L103" s="17">
        <v>529.54499999999996</v>
      </c>
      <c r="M103" s="17">
        <v>407.84899999999999</v>
      </c>
      <c r="N103" s="17">
        <v>454.97899999999998</v>
      </c>
      <c r="O103" s="17">
        <v>436.16399999999999</v>
      </c>
      <c r="P103" s="17">
        <v>404.71300000000002</v>
      </c>
      <c r="Q103" s="17">
        <v>404.22500000000002</v>
      </c>
      <c r="R103" s="17">
        <v>435.09500000000003</v>
      </c>
      <c r="S103" s="17">
        <v>415.553</v>
      </c>
      <c r="T103" s="17">
        <v>397.14699999999999</v>
      </c>
      <c r="U103" s="17">
        <v>396.51299999999998</v>
      </c>
      <c r="V103" s="17">
        <v>404.41399999999999</v>
      </c>
      <c r="W103" s="17">
        <v>417.255</v>
      </c>
      <c r="X103" s="17">
        <v>447.75200000000001</v>
      </c>
      <c r="Y103" s="17">
        <v>520.029</v>
      </c>
      <c r="Z103" s="17">
        <v>460.21</v>
      </c>
      <c r="AA103" s="17">
        <v>424.64</v>
      </c>
      <c r="AB103" s="17"/>
      <c r="AC103" s="17"/>
      <c r="AD103" s="26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>
        <v>397.13499999999999</v>
      </c>
      <c r="AO103" s="17">
        <v>413.70400000000001</v>
      </c>
      <c r="AP103" s="17"/>
      <c r="AQ103" s="17">
        <v>396.38400000000001</v>
      </c>
      <c r="AR103" s="17"/>
      <c r="AS103" s="17"/>
      <c r="AT103" s="17"/>
      <c r="AU103" s="17"/>
      <c r="AV103" s="17"/>
      <c r="AW103" s="17">
        <v>484.18299999999999</v>
      </c>
    </row>
    <row r="104" spans="1:49" x14ac:dyDescent="0.35">
      <c r="A104" s="3">
        <f t="shared" si="30"/>
        <v>87</v>
      </c>
      <c r="B104" s="17"/>
      <c r="C104" s="17"/>
      <c r="D104" s="17">
        <v>421.58300000000003</v>
      </c>
      <c r="E104" s="17">
        <v>443.94099999999997</v>
      </c>
      <c r="F104" s="17">
        <v>423.40100000000001</v>
      </c>
      <c r="G104" s="17">
        <v>402.14100000000002</v>
      </c>
      <c r="H104" s="17"/>
      <c r="I104" s="17"/>
      <c r="J104" s="17">
        <v>399.45499999999998</v>
      </c>
      <c r="K104" s="23"/>
      <c r="L104" s="17">
        <v>530.93200000000002</v>
      </c>
      <c r="M104" s="17">
        <v>408.28800000000001</v>
      </c>
      <c r="N104" s="17">
        <v>454.45800000000003</v>
      </c>
      <c r="O104" s="17">
        <v>436.76499999999999</v>
      </c>
      <c r="P104" s="17">
        <v>404.96199999999999</v>
      </c>
      <c r="Q104" s="17">
        <v>403.25900000000001</v>
      </c>
      <c r="R104" s="17">
        <v>434.94799999999998</v>
      </c>
      <c r="S104" s="17">
        <v>415.09</v>
      </c>
      <c r="T104" s="17">
        <v>395.59300000000002</v>
      </c>
      <c r="U104" s="17">
        <v>396.87099999999998</v>
      </c>
      <c r="V104" s="17">
        <v>405.52499999999998</v>
      </c>
      <c r="W104" s="17">
        <v>416.98099999999999</v>
      </c>
      <c r="X104" s="17">
        <v>447.37200000000001</v>
      </c>
      <c r="Y104" s="17">
        <v>520.37599999999998</v>
      </c>
      <c r="Z104" s="17">
        <v>458.42599999999999</v>
      </c>
      <c r="AA104" s="17">
        <v>425.053</v>
      </c>
      <c r="AB104" s="17"/>
      <c r="AC104" s="17"/>
      <c r="AD104" s="26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>
        <v>397.322</v>
      </c>
      <c r="AO104" s="17">
        <v>413.971</v>
      </c>
      <c r="AP104" s="17"/>
      <c r="AQ104" s="17">
        <v>395.05900000000003</v>
      </c>
      <c r="AR104" s="17"/>
      <c r="AS104" s="17"/>
      <c r="AT104" s="17"/>
      <c r="AU104" s="17"/>
      <c r="AV104" s="17"/>
      <c r="AW104" s="17">
        <v>483.14699999999999</v>
      </c>
    </row>
    <row r="105" spans="1:49" x14ac:dyDescent="0.35">
      <c r="A105" s="3">
        <f t="shared" si="30"/>
        <v>88</v>
      </c>
      <c r="B105" s="17"/>
      <c r="C105" s="17"/>
      <c r="D105" s="17">
        <v>421.42599999999999</v>
      </c>
      <c r="E105" s="17">
        <v>442.80599999999998</v>
      </c>
      <c r="F105" s="17">
        <v>424.78300000000002</v>
      </c>
      <c r="G105" s="17">
        <v>401.27300000000002</v>
      </c>
      <c r="H105" s="17"/>
      <c r="I105" s="17"/>
      <c r="J105" s="17">
        <v>400.19099999999997</v>
      </c>
      <c r="K105" s="23"/>
      <c r="L105" s="17">
        <v>529.86500000000001</v>
      </c>
      <c r="M105" s="17">
        <v>407.66300000000001</v>
      </c>
      <c r="N105" s="17">
        <v>455.07900000000001</v>
      </c>
      <c r="O105" s="17">
        <v>435.85</v>
      </c>
      <c r="P105" s="17">
        <v>404.279</v>
      </c>
      <c r="Q105" s="17">
        <v>403.26900000000001</v>
      </c>
      <c r="R105" s="17">
        <v>434.06799999999998</v>
      </c>
      <c r="S105" s="17">
        <v>415.82299999999998</v>
      </c>
      <c r="T105" s="17">
        <v>396.53899999999999</v>
      </c>
      <c r="U105" s="17">
        <v>397.18200000000002</v>
      </c>
      <c r="V105" s="17">
        <v>405.19299999999998</v>
      </c>
      <c r="W105" s="17">
        <v>417.08100000000002</v>
      </c>
      <c r="X105" s="17">
        <v>447.15499999999997</v>
      </c>
      <c r="Y105" s="17">
        <v>521.05700000000002</v>
      </c>
      <c r="Z105" s="17">
        <v>459.84800000000001</v>
      </c>
      <c r="AA105" s="17">
        <v>424.892</v>
      </c>
      <c r="AB105" s="17"/>
      <c r="AC105" s="17"/>
      <c r="AD105" s="26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>
        <v>398.67200000000003</v>
      </c>
      <c r="AO105" s="17">
        <v>414.93599999999998</v>
      </c>
      <c r="AP105" s="17"/>
      <c r="AQ105" s="17">
        <v>397.01900000000001</v>
      </c>
      <c r="AR105" s="17"/>
      <c r="AS105" s="17"/>
      <c r="AT105" s="17"/>
      <c r="AU105" s="17"/>
      <c r="AV105" s="17"/>
      <c r="AW105" s="17">
        <v>483.37599999999998</v>
      </c>
    </row>
    <row r="106" spans="1:49" x14ac:dyDescent="0.35">
      <c r="A106" s="3">
        <f t="shared" si="30"/>
        <v>89</v>
      </c>
      <c r="B106" s="17"/>
      <c r="C106" s="17"/>
      <c r="D106" s="17">
        <v>421.59399999999999</v>
      </c>
      <c r="E106" s="17">
        <v>443.31</v>
      </c>
      <c r="F106" s="17">
        <v>425.084</v>
      </c>
      <c r="G106" s="17">
        <v>402.875</v>
      </c>
      <c r="H106" s="17"/>
      <c r="I106" s="17"/>
      <c r="J106" s="17">
        <v>400.91899999999998</v>
      </c>
      <c r="K106" s="23"/>
      <c r="L106" s="17">
        <v>531.54999999999995</v>
      </c>
      <c r="M106" s="17">
        <v>407.91199999999998</v>
      </c>
      <c r="N106" s="17">
        <v>454.75700000000001</v>
      </c>
      <c r="O106" s="17">
        <v>436.17899999999997</v>
      </c>
      <c r="P106" s="17">
        <v>403.52300000000002</v>
      </c>
      <c r="Q106" s="17">
        <v>403.089</v>
      </c>
      <c r="R106" s="17">
        <v>435.88200000000001</v>
      </c>
      <c r="S106" s="17">
        <v>415.93599999999998</v>
      </c>
      <c r="T106" s="17">
        <v>396.57900000000001</v>
      </c>
      <c r="U106" s="17">
        <v>398.73</v>
      </c>
      <c r="V106" s="17">
        <v>404.41399999999999</v>
      </c>
      <c r="W106" s="17">
        <v>418.61200000000002</v>
      </c>
      <c r="X106" s="17">
        <v>447.18900000000002</v>
      </c>
      <c r="Y106" s="17">
        <v>519.02800000000002</v>
      </c>
      <c r="Z106" s="17">
        <v>459.42200000000003</v>
      </c>
      <c r="AA106" s="17">
        <v>425.23700000000002</v>
      </c>
      <c r="AB106" s="17"/>
      <c r="AC106" s="17"/>
      <c r="AD106" s="26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>
        <v>398.22800000000001</v>
      </c>
      <c r="AO106" s="17">
        <v>414.91199999999998</v>
      </c>
      <c r="AP106" s="17"/>
      <c r="AQ106" s="17">
        <v>396.49</v>
      </c>
      <c r="AR106" s="17"/>
      <c r="AS106" s="17"/>
      <c r="AT106" s="17"/>
      <c r="AU106" s="17"/>
      <c r="AV106" s="17"/>
      <c r="AW106" s="17">
        <v>483.19900000000001</v>
      </c>
    </row>
    <row r="107" spans="1:49" x14ac:dyDescent="0.35">
      <c r="A107" s="3">
        <f t="shared" si="30"/>
        <v>90</v>
      </c>
      <c r="B107" s="17"/>
      <c r="C107" s="17"/>
      <c r="D107" s="17">
        <v>422.29500000000002</v>
      </c>
      <c r="E107" s="17">
        <v>442.70600000000002</v>
      </c>
      <c r="F107" s="17">
        <v>426.03300000000002</v>
      </c>
      <c r="G107" s="17">
        <v>402.66699999999997</v>
      </c>
      <c r="H107" s="17"/>
      <c r="I107" s="17"/>
      <c r="J107" s="17">
        <v>401.08499999999998</v>
      </c>
      <c r="K107" s="23"/>
      <c r="L107" s="17">
        <v>530.23900000000003</v>
      </c>
      <c r="M107" s="17">
        <v>408.77</v>
      </c>
      <c r="N107" s="17">
        <v>455.78399999999999</v>
      </c>
      <c r="O107" s="17">
        <v>435.28800000000001</v>
      </c>
      <c r="P107" s="17">
        <v>404.39</v>
      </c>
      <c r="Q107" s="17">
        <v>404.33800000000002</v>
      </c>
      <c r="R107" s="17">
        <v>434.31700000000001</v>
      </c>
      <c r="S107" s="17">
        <v>415.19099999999997</v>
      </c>
      <c r="T107" s="17">
        <v>398.32499999999999</v>
      </c>
      <c r="U107" s="17">
        <v>398.48200000000003</v>
      </c>
      <c r="V107" s="17">
        <v>405.80599999999998</v>
      </c>
      <c r="W107" s="17">
        <v>416.79899999999998</v>
      </c>
      <c r="X107" s="17">
        <v>446.51799999999997</v>
      </c>
      <c r="Y107" s="17">
        <v>518.65899999999999</v>
      </c>
      <c r="Z107" s="17">
        <v>460.84399999999999</v>
      </c>
      <c r="AA107" s="17">
        <v>424.904</v>
      </c>
      <c r="AB107" s="17"/>
      <c r="AC107" s="17"/>
      <c r="AD107" s="26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>
        <v>399.03300000000002</v>
      </c>
      <c r="AO107" s="17">
        <v>416.37299999999999</v>
      </c>
      <c r="AP107" s="17"/>
      <c r="AQ107" s="17">
        <v>397.762</v>
      </c>
      <c r="AR107" s="17"/>
      <c r="AS107" s="17"/>
      <c r="AT107" s="17"/>
      <c r="AU107" s="17"/>
      <c r="AV107" s="17"/>
      <c r="AW107" s="17">
        <v>484.31099999999998</v>
      </c>
    </row>
    <row r="108" spans="1:49" x14ac:dyDescent="0.35">
      <c r="A108" s="3">
        <f t="shared" si="30"/>
        <v>91</v>
      </c>
      <c r="B108" s="17"/>
      <c r="C108" s="17"/>
      <c r="D108" s="17">
        <v>421.02699999999999</v>
      </c>
      <c r="E108" s="17">
        <v>444.577</v>
      </c>
      <c r="F108" s="17">
        <v>424.851</v>
      </c>
      <c r="G108" s="17">
        <v>401.68599999999998</v>
      </c>
      <c r="H108" s="17"/>
      <c r="I108" s="17"/>
      <c r="J108" s="17">
        <v>400.45800000000003</v>
      </c>
      <c r="K108" s="23"/>
      <c r="L108" s="17">
        <v>530.69399999999996</v>
      </c>
      <c r="M108" s="17">
        <v>408.88</v>
      </c>
      <c r="N108" s="17">
        <v>455.35399999999998</v>
      </c>
      <c r="O108" s="17">
        <v>436.97199999999998</v>
      </c>
      <c r="P108" s="17">
        <v>403.58800000000002</v>
      </c>
      <c r="Q108" s="17">
        <v>402.226</v>
      </c>
      <c r="R108" s="17">
        <v>435.27800000000002</v>
      </c>
      <c r="S108" s="17">
        <v>416.286</v>
      </c>
      <c r="T108" s="17">
        <v>398.25400000000002</v>
      </c>
      <c r="U108" s="17">
        <v>398.02699999999999</v>
      </c>
      <c r="V108" s="17">
        <v>405.625</v>
      </c>
      <c r="W108" s="17">
        <v>417.101</v>
      </c>
      <c r="X108" s="17">
        <v>446.78100000000001</v>
      </c>
      <c r="Y108" s="17">
        <v>519.61199999999997</v>
      </c>
      <c r="Z108" s="17">
        <v>461.74200000000002</v>
      </c>
      <c r="AA108" s="17">
        <v>425.06400000000002</v>
      </c>
      <c r="AB108" s="17"/>
      <c r="AC108" s="17"/>
      <c r="AD108" s="26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>
        <v>398.74700000000001</v>
      </c>
      <c r="AO108" s="17">
        <v>415.43400000000003</v>
      </c>
      <c r="AP108" s="17"/>
      <c r="AQ108" s="17">
        <v>397.35</v>
      </c>
      <c r="AR108" s="17"/>
      <c r="AS108" s="17"/>
      <c r="AT108" s="17"/>
      <c r="AU108" s="17"/>
      <c r="AV108" s="17"/>
      <c r="AW108" s="17">
        <v>483.33100000000002</v>
      </c>
    </row>
    <row r="109" spans="1:49" x14ac:dyDescent="0.35">
      <c r="A109" s="3">
        <f t="shared" si="30"/>
        <v>92</v>
      </c>
      <c r="B109" s="17"/>
      <c r="C109" s="17"/>
      <c r="D109" s="17">
        <v>421.55099999999999</v>
      </c>
      <c r="E109" s="17">
        <v>444.02600000000001</v>
      </c>
      <c r="F109" s="17">
        <v>424.142</v>
      </c>
      <c r="G109" s="17">
        <v>402.94499999999999</v>
      </c>
      <c r="H109" s="17"/>
      <c r="I109" s="17"/>
      <c r="J109" s="17">
        <v>400.68200000000002</v>
      </c>
      <c r="K109" s="23"/>
      <c r="L109" s="17">
        <v>530.851</v>
      </c>
      <c r="M109" s="17">
        <v>409.35500000000002</v>
      </c>
      <c r="N109" s="17">
        <v>454.84</v>
      </c>
      <c r="O109" s="17">
        <v>436.78</v>
      </c>
      <c r="P109" s="17">
        <v>404.59300000000002</v>
      </c>
      <c r="Q109" s="17">
        <v>404.43200000000002</v>
      </c>
      <c r="R109" s="17">
        <v>436.26799999999997</v>
      </c>
      <c r="S109" s="17">
        <v>414.77</v>
      </c>
      <c r="T109" s="17">
        <v>397.74299999999999</v>
      </c>
      <c r="U109" s="17">
        <v>399.923</v>
      </c>
      <c r="V109" s="17">
        <v>404.17</v>
      </c>
      <c r="W109" s="17">
        <v>416.91199999999998</v>
      </c>
      <c r="X109" s="17">
        <v>446.63099999999997</v>
      </c>
      <c r="Y109" s="17">
        <v>520.48099999999999</v>
      </c>
      <c r="Z109" s="17">
        <v>461.827</v>
      </c>
      <c r="AA109" s="17">
        <v>425.608</v>
      </c>
      <c r="AB109" s="17"/>
      <c r="AC109" s="17"/>
      <c r="AD109" s="26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>
        <v>399.22399999999999</v>
      </c>
      <c r="AO109" s="17">
        <v>415.67599999999999</v>
      </c>
      <c r="AP109" s="17"/>
      <c r="AQ109" s="17">
        <v>395.995</v>
      </c>
      <c r="AR109" s="17"/>
      <c r="AS109" s="17"/>
      <c r="AT109" s="17"/>
      <c r="AU109" s="17"/>
      <c r="AV109" s="17"/>
      <c r="AW109" s="17">
        <v>484.81400000000002</v>
      </c>
    </row>
    <row r="110" spans="1:49" x14ac:dyDescent="0.35">
      <c r="A110" s="3">
        <f t="shared" si="30"/>
        <v>93</v>
      </c>
      <c r="B110" s="17"/>
      <c r="C110" s="17"/>
      <c r="D110" s="17">
        <v>421.38299999999998</v>
      </c>
      <c r="E110" s="17">
        <v>443.99400000000003</v>
      </c>
      <c r="F110" s="17">
        <v>425.48200000000003</v>
      </c>
      <c r="G110" s="17">
        <v>401.85500000000002</v>
      </c>
      <c r="H110" s="17"/>
      <c r="I110" s="17"/>
      <c r="J110" s="17">
        <v>401.29</v>
      </c>
      <c r="K110" s="23"/>
      <c r="L110" s="17">
        <v>531.09500000000003</v>
      </c>
      <c r="M110" s="17">
        <v>409.70699999999999</v>
      </c>
      <c r="N110" s="17">
        <v>454.80399999999997</v>
      </c>
      <c r="O110" s="17">
        <v>437.24700000000001</v>
      </c>
      <c r="P110" s="17">
        <v>405.57900000000001</v>
      </c>
      <c r="Q110" s="17">
        <v>403.87799999999999</v>
      </c>
      <c r="R110" s="17">
        <v>436.54899999999998</v>
      </c>
      <c r="S110" s="17">
        <v>414.86</v>
      </c>
      <c r="T110" s="17">
        <v>397.4</v>
      </c>
      <c r="U110" s="17">
        <v>399.92700000000002</v>
      </c>
      <c r="V110" s="17">
        <v>405.76299999999998</v>
      </c>
      <c r="W110" s="17">
        <v>416.435</v>
      </c>
      <c r="X110" s="17">
        <v>446.74200000000002</v>
      </c>
      <c r="Y110" s="17">
        <v>520.30100000000004</v>
      </c>
      <c r="Z110" s="17">
        <v>461.57900000000001</v>
      </c>
      <c r="AA110" s="17">
        <v>425.37900000000002</v>
      </c>
      <c r="AB110" s="17"/>
      <c r="AC110" s="17"/>
      <c r="AD110" s="26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>
        <v>398.82400000000001</v>
      </c>
      <c r="AO110" s="17">
        <v>415.35700000000003</v>
      </c>
      <c r="AP110" s="17"/>
      <c r="AQ110" s="17">
        <v>395.84800000000001</v>
      </c>
      <c r="AR110" s="17"/>
      <c r="AS110" s="17"/>
      <c r="AT110" s="17"/>
      <c r="AU110" s="17"/>
      <c r="AV110" s="17"/>
      <c r="AW110" s="17">
        <v>483.32900000000001</v>
      </c>
    </row>
    <row r="111" spans="1:49" x14ac:dyDescent="0.35">
      <c r="A111" s="3">
        <f t="shared" si="30"/>
        <v>94</v>
      </c>
      <c r="B111" s="17"/>
      <c r="C111" s="17"/>
      <c r="D111" s="17">
        <v>421.983</v>
      </c>
      <c r="E111" s="17">
        <v>444.22699999999998</v>
      </c>
      <c r="F111" s="17">
        <v>425.709</v>
      </c>
      <c r="G111" s="17">
        <v>401.47899999999998</v>
      </c>
      <c r="H111" s="17"/>
      <c r="I111" s="17"/>
      <c r="J111" s="17">
        <v>400.62200000000001</v>
      </c>
      <c r="K111" s="23"/>
      <c r="L111" s="17">
        <v>531.702</v>
      </c>
      <c r="M111" s="17">
        <v>409.572</v>
      </c>
      <c r="N111" s="17">
        <v>454.85700000000003</v>
      </c>
      <c r="O111" s="17">
        <v>436.577</v>
      </c>
      <c r="P111" s="17">
        <v>405.48899999999998</v>
      </c>
      <c r="Q111" s="17">
        <v>407.32600000000002</v>
      </c>
      <c r="R111" s="17">
        <v>436.791</v>
      </c>
      <c r="S111" s="17">
        <v>416.31700000000001</v>
      </c>
      <c r="T111" s="17">
        <v>397.6</v>
      </c>
      <c r="U111" s="17">
        <v>400.09699999999998</v>
      </c>
      <c r="V111" s="17">
        <v>404.56799999999998</v>
      </c>
      <c r="W111" s="17">
        <v>415.44600000000003</v>
      </c>
      <c r="X111" s="17">
        <v>446.92700000000002</v>
      </c>
      <c r="Y111" s="17">
        <v>520.06100000000004</v>
      </c>
      <c r="Z111" s="17">
        <v>462.53300000000002</v>
      </c>
      <c r="AA111" s="17">
        <v>425.49099999999999</v>
      </c>
      <c r="AB111" s="17"/>
      <c r="AC111" s="17"/>
      <c r="AD111" s="26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>
        <v>398.75900000000001</v>
      </c>
      <c r="AO111" s="17">
        <v>415.49400000000003</v>
      </c>
      <c r="AP111" s="17"/>
      <c r="AQ111" s="17">
        <v>396.27100000000002</v>
      </c>
      <c r="AR111" s="17"/>
      <c r="AS111" s="17"/>
      <c r="AT111" s="17"/>
      <c r="AU111" s="17"/>
      <c r="AV111" s="17"/>
      <c r="AW111" s="17">
        <v>484.47199999999998</v>
      </c>
    </row>
    <row r="112" spans="1:49" x14ac:dyDescent="0.35">
      <c r="A112" s="3">
        <f t="shared" si="30"/>
        <v>95</v>
      </c>
      <c r="B112" s="17"/>
      <c r="C112" s="17"/>
      <c r="D112" s="17">
        <v>421.85300000000001</v>
      </c>
      <c r="E112" s="17">
        <v>444.25400000000002</v>
      </c>
      <c r="F112" s="17">
        <v>426.98700000000002</v>
      </c>
      <c r="G112" s="17">
        <v>403.74</v>
      </c>
      <c r="H112" s="17"/>
      <c r="I112" s="17"/>
      <c r="J112" s="17">
        <v>401.45699999999999</v>
      </c>
      <c r="K112" s="23"/>
      <c r="L112" s="17">
        <v>531.64400000000001</v>
      </c>
      <c r="M112" s="17">
        <v>410.38600000000002</v>
      </c>
      <c r="N112" s="17">
        <v>455.14699999999999</v>
      </c>
      <c r="O112" s="17">
        <v>435.48200000000003</v>
      </c>
      <c r="P112" s="17">
        <v>406.10500000000002</v>
      </c>
      <c r="Q112" s="17">
        <v>406.935</v>
      </c>
      <c r="R112" s="17">
        <v>437.05399999999997</v>
      </c>
      <c r="S112" s="17">
        <v>416.589</v>
      </c>
      <c r="T112" s="17">
        <v>398.36099999999999</v>
      </c>
      <c r="U112" s="17">
        <v>399.64499999999998</v>
      </c>
      <c r="V112" s="17">
        <v>403.48599999999999</v>
      </c>
      <c r="W112" s="17">
        <v>417.64400000000001</v>
      </c>
      <c r="X112" s="17">
        <v>446.64</v>
      </c>
      <c r="Y112" s="17">
        <v>519.36199999999997</v>
      </c>
      <c r="Z112" s="17">
        <v>462.59500000000003</v>
      </c>
      <c r="AA112" s="17">
        <v>423.35199999999998</v>
      </c>
      <c r="AB112" s="17"/>
      <c r="AC112" s="17"/>
      <c r="AD112" s="26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>
        <v>399.50599999999997</v>
      </c>
      <c r="AO112" s="17">
        <v>415.56299999999999</v>
      </c>
      <c r="AP112" s="17"/>
      <c r="AQ112" s="17">
        <v>397.483</v>
      </c>
      <c r="AR112" s="17"/>
      <c r="AS112" s="17"/>
      <c r="AT112" s="17"/>
      <c r="AU112" s="17"/>
      <c r="AV112" s="17"/>
      <c r="AW112" s="17">
        <v>483.93299999999999</v>
      </c>
    </row>
    <row r="113" spans="1:49" x14ac:dyDescent="0.35">
      <c r="A113" s="3">
        <f t="shared" si="30"/>
        <v>96</v>
      </c>
      <c r="B113" s="17"/>
      <c r="C113" s="17"/>
      <c r="D113" s="17">
        <v>421.31900000000002</v>
      </c>
      <c r="E113" s="17">
        <v>444.26900000000001</v>
      </c>
      <c r="F113" s="17">
        <v>426.34500000000003</v>
      </c>
      <c r="G113" s="17">
        <v>402.339</v>
      </c>
      <c r="H113" s="17"/>
      <c r="I113" s="17"/>
      <c r="J113" s="17">
        <v>400.47699999999998</v>
      </c>
      <c r="K113" s="23"/>
      <c r="L113" s="17">
        <v>532.226</v>
      </c>
      <c r="M113" s="17">
        <v>410.375</v>
      </c>
      <c r="N113" s="17">
        <v>454.96699999999998</v>
      </c>
      <c r="O113" s="17">
        <v>435.38799999999998</v>
      </c>
      <c r="P113" s="17">
        <v>405.86900000000003</v>
      </c>
      <c r="Q113" s="17">
        <v>408.774</v>
      </c>
      <c r="R113" s="17">
        <v>439.03500000000003</v>
      </c>
      <c r="S113" s="17">
        <v>416.08300000000003</v>
      </c>
      <c r="T113" s="17">
        <v>397.41399999999999</v>
      </c>
      <c r="U113" s="17">
        <v>398.68599999999998</v>
      </c>
      <c r="V113" s="17">
        <v>403.15699999999998</v>
      </c>
      <c r="W113" s="17">
        <v>416.584</v>
      </c>
      <c r="X113" s="17">
        <v>448.50599999999997</v>
      </c>
      <c r="Y113" s="17">
        <v>518.02</v>
      </c>
      <c r="Z113" s="17">
        <v>461.983</v>
      </c>
      <c r="AA113" s="17">
        <v>424.75400000000002</v>
      </c>
      <c r="AB113" s="17"/>
      <c r="AC113" s="17"/>
      <c r="AD113" s="26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>
        <v>399.29599999999999</v>
      </c>
      <c r="AO113" s="17">
        <v>414.15300000000002</v>
      </c>
      <c r="AP113" s="17"/>
      <c r="AQ113" s="17">
        <v>398.02300000000002</v>
      </c>
      <c r="AR113" s="17"/>
      <c r="AS113" s="17"/>
      <c r="AT113" s="17"/>
      <c r="AU113" s="17"/>
      <c r="AV113" s="17"/>
      <c r="AW113" s="17">
        <v>484.428</v>
      </c>
    </row>
    <row r="114" spans="1:49" x14ac:dyDescent="0.35">
      <c r="A114" s="3">
        <f t="shared" si="30"/>
        <v>97</v>
      </c>
      <c r="B114" s="17"/>
      <c r="C114" s="17"/>
      <c r="D114" s="17">
        <v>422.51600000000002</v>
      </c>
      <c r="E114" s="17">
        <v>444.48899999999998</v>
      </c>
      <c r="F114" s="17">
        <v>425.35899999999998</v>
      </c>
      <c r="G114" s="17">
        <v>401.47500000000002</v>
      </c>
      <c r="H114" s="17"/>
      <c r="I114" s="17"/>
      <c r="J114" s="17">
        <v>402.58199999999999</v>
      </c>
      <c r="K114" s="23"/>
      <c r="L114" s="17">
        <v>531.77300000000002</v>
      </c>
      <c r="M114" s="17">
        <v>411.642</v>
      </c>
      <c r="N114" s="17">
        <v>454.81599999999997</v>
      </c>
      <c r="O114" s="17">
        <v>436.11599999999999</v>
      </c>
      <c r="P114" s="17">
        <v>406.22500000000002</v>
      </c>
      <c r="Q114" s="17">
        <v>406.536</v>
      </c>
      <c r="R114" s="17">
        <v>437.79700000000003</v>
      </c>
      <c r="S114" s="17">
        <v>415.19499999999999</v>
      </c>
      <c r="T114" s="17">
        <v>398.37099999999998</v>
      </c>
      <c r="U114" s="17">
        <v>398.66500000000002</v>
      </c>
      <c r="V114" s="17">
        <v>404.75099999999998</v>
      </c>
      <c r="W114" s="17">
        <v>417.09100000000001</v>
      </c>
      <c r="X114" s="17">
        <v>448.34300000000002</v>
      </c>
      <c r="Y114" s="17">
        <v>518.62400000000002</v>
      </c>
      <c r="Z114" s="17">
        <v>462.19600000000003</v>
      </c>
      <c r="AA114" s="17">
        <v>424.79399999999998</v>
      </c>
      <c r="AB114" s="17"/>
      <c r="AC114" s="17"/>
      <c r="AD114" s="26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>
        <v>399.33300000000003</v>
      </c>
      <c r="AO114" s="17">
        <v>416.83100000000002</v>
      </c>
      <c r="AP114" s="17"/>
      <c r="AQ114" s="17">
        <v>395.89299999999997</v>
      </c>
      <c r="AR114" s="17"/>
      <c r="AS114" s="17"/>
      <c r="AT114" s="17"/>
      <c r="AU114" s="17"/>
      <c r="AV114" s="17"/>
      <c r="AW114" s="17">
        <v>485.12099999999998</v>
      </c>
    </row>
    <row r="115" spans="1:49" x14ac:dyDescent="0.35">
      <c r="A115" s="3">
        <f t="shared" ref="A115:A178" si="31">A114+1</f>
        <v>98</v>
      </c>
      <c r="B115" s="17"/>
      <c r="C115" s="17"/>
      <c r="D115" s="17">
        <v>422.35500000000002</v>
      </c>
      <c r="E115" s="17">
        <v>445.34699999999998</v>
      </c>
      <c r="F115" s="17">
        <v>426.976</v>
      </c>
      <c r="G115" s="17">
        <v>403.03199999999998</v>
      </c>
      <c r="H115" s="17"/>
      <c r="I115" s="17"/>
      <c r="J115" s="17">
        <v>402.29</v>
      </c>
      <c r="K115" s="23"/>
      <c r="L115" s="17">
        <v>530.91099999999994</v>
      </c>
      <c r="M115" s="17">
        <v>412.31200000000001</v>
      </c>
      <c r="N115" s="17">
        <v>455.71899999999999</v>
      </c>
      <c r="O115" s="17">
        <v>436.67399999999998</v>
      </c>
      <c r="P115" s="17">
        <v>407.09</v>
      </c>
      <c r="Q115" s="17">
        <v>407.59100000000001</v>
      </c>
      <c r="R115" s="17">
        <v>438.07600000000002</v>
      </c>
      <c r="S115" s="17">
        <v>415.41699999999997</v>
      </c>
      <c r="T115" s="17">
        <v>398.82900000000001</v>
      </c>
      <c r="U115" s="17">
        <v>399.41199999999998</v>
      </c>
      <c r="V115" s="17">
        <v>403.57299999999998</v>
      </c>
      <c r="W115" s="17">
        <v>417.36200000000002</v>
      </c>
      <c r="X115" s="17">
        <v>447.69400000000002</v>
      </c>
      <c r="Y115" s="17">
        <v>517.63099999999997</v>
      </c>
      <c r="Z115" s="17">
        <v>462.09</v>
      </c>
      <c r="AA115" s="17">
        <v>425.03800000000001</v>
      </c>
      <c r="AB115" s="17"/>
      <c r="AC115" s="17"/>
      <c r="AD115" s="26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>
        <v>398.27699999999999</v>
      </c>
      <c r="AO115" s="17">
        <v>414.56400000000002</v>
      </c>
      <c r="AP115" s="17"/>
      <c r="AQ115" s="17">
        <v>396.99599999999998</v>
      </c>
      <c r="AR115" s="17"/>
      <c r="AS115" s="17"/>
      <c r="AT115" s="17"/>
      <c r="AU115" s="17"/>
      <c r="AV115" s="17"/>
      <c r="AW115" s="17">
        <v>483.15300000000002</v>
      </c>
    </row>
    <row r="116" spans="1:49" x14ac:dyDescent="0.35">
      <c r="A116" s="3">
        <f t="shared" si="31"/>
        <v>99</v>
      </c>
      <c r="B116" s="17"/>
      <c r="C116" s="17"/>
      <c r="D116" s="17">
        <v>425.036</v>
      </c>
      <c r="E116" s="17">
        <v>445.04700000000003</v>
      </c>
      <c r="F116" s="17">
        <v>427.78500000000003</v>
      </c>
      <c r="G116" s="17">
        <v>403.26799999999997</v>
      </c>
      <c r="H116" s="17"/>
      <c r="I116" s="17"/>
      <c r="J116" s="17">
        <v>401.75299999999999</v>
      </c>
      <c r="K116" s="23"/>
      <c r="L116" s="17">
        <v>531.27800000000002</v>
      </c>
      <c r="M116" s="17">
        <v>412.69900000000001</v>
      </c>
      <c r="N116" s="17">
        <v>455.06299999999999</v>
      </c>
      <c r="O116" s="17">
        <v>435.45299999999997</v>
      </c>
      <c r="P116" s="17">
        <v>406.37599999999998</v>
      </c>
      <c r="Q116" s="17">
        <v>407.89400000000001</v>
      </c>
      <c r="R116" s="17">
        <v>438.85700000000003</v>
      </c>
      <c r="S116" s="17">
        <v>416.17</v>
      </c>
      <c r="T116" s="17">
        <v>397.86099999999999</v>
      </c>
      <c r="U116" s="17">
        <v>399.65499999999997</v>
      </c>
      <c r="V116" s="17">
        <v>404.54199999999997</v>
      </c>
      <c r="W116" s="17">
        <v>417.63099999999997</v>
      </c>
      <c r="X116" s="17">
        <v>448.01900000000001</v>
      </c>
      <c r="Y116" s="17">
        <v>517.69100000000003</v>
      </c>
      <c r="Z116" s="17">
        <v>461.60399999999998</v>
      </c>
      <c r="AA116" s="17">
        <v>425.755</v>
      </c>
      <c r="AB116" s="17"/>
      <c r="AC116" s="17"/>
      <c r="AD116" s="26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>
        <v>398.50799999999998</v>
      </c>
      <c r="AO116" s="17">
        <v>415.18900000000002</v>
      </c>
      <c r="AP116" s="17"/>
      <c r="AQ116" s="17">
        <v>398.05</v>
      </c>
      <c r="AR116" s="17"/>
      <c r="AS116" s="17"/>
      <c r="AT116" s="17"/>
      <c r="AU116" s="17"/>
      <c r="AV116" s="17"/>
      <c r="AW116" s="17">
        <v>483.41899999999998</v>
      </c>
    </row>
    <row r="117" spans="1:49" x14ac:dyDescent="0.35">
      <c r="A117" s="3">
        <f t="shared" si="31"/>
        <v>100</v>
      </c>
      <c r="B117" s="17"/>
      <c r="C117" s="17"/>
      <c r="D117" s="17">
        <v>422.98200000000003</v>
      </c>
      <c r="E117" s="17">
        <v>445.12400000000002</v>
      </c>
      <c r="F117" s="17">
        <v>427.02</v>
      </c>
      <c r="G117" s="17">
        <v>401.995</v>
      </c>
      <c r="H117" s="17"/>
      <c r="I117" s="17"/>
      <c r="J117" s="17">
        <v>402.85500000000002</v>
      </c>
      <c r="K117" s="23"/>
      <c r="L117" s="17">
        <v>531.50800000000004</v>
      </c>
      <c r="M117" s="17">
        <v>412.92</v>
      </c>
      <c r="N117" s="17">
        <v>455.11399999999998</v>
      </c>
      <c r="O117" s="17">
        <v>436.322</v>
      </c>
      <c r="P117" s="17">
        <v>405.86700000000002</v>
      </c>
      <c r="Q117" s="17">
        <v>410.82299999999998</v>
      </c>
      <c r="R117" s="17">
        <v>438.46300000000002</v>
      </c>
      <c r="S117" s="17">
        <v>415.625</v>
      </c>
      <c r="T117" s="17">
        <v>398.47</v>
      </c>
      <c r="U117" s="17">
        <v>400.05200000000002</v>
      </c>
      <c r="V117" s="17">
        <v>404.70800000000003</v>
      </c>
      <c r="W117" s="17">
        <v>417.00099999999998</v>
      </c>
      <c r="X117" s="17">
        <v>447.41899999999998</v>
      </c>
      <c r="Y117" s="17">
        <v>516.37400000000002</v>
      </c>
      <c r="Z117" s="17">
        <v>463.24099999999999</v>
      </c>
      <c r="AA117" s="17">
        <v>423.58499999999998</v>
      </c>
      <c r="AB117" s="17"/>
      <c r="AC117" s="17"/>
      <c r="AD117" s="26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>
        <v>397.75900000000001</v>
      </c>
      <c r="AO117" s="17">
        <v>414.72699999999998</v>
      </c>
      <c r="AP117" s="17"/>
      <c r="AQ117" s="17">
        <v>397.53</v>
      </c>
      <c r="AR117" s="17"/>
      <c r="AS117" s="17"/>
      <c r="AT117" s="17"/>
      <c r="AU117" s="17"/>
      <c r="AV117" s="17"/>
      <c r="AW117" s="17">
        <v>483.47399999999999</v>
      </c>
    </row>
    <row r="118" spans="1:49" x14ac:dyDescent="0.35">
      <c r="A118" s="3">
        <f t="shared" si="31"/>
        <v>101</v>
      </c>
      <c r="B118" s="17"/>
      <c r="C118" s="17"/>
      <c r="D118" s="17">
        <v>424.25299999999999</v>
      </c>
      <c r="E118" s="17">
        <v>444.73399999999998</v>
      </c>
      <c r="F118" s="17">
        <v>428.06400000000002</v>
      </c>
      <c r="G118" s="17">
        <v>402.721</v>
      </c>
      <c r="H118" s="17"/>
      <c r="I118" s="17"/>
      <c r="J118" s="17">
        <v>402.41699999999997</v>
      </c>
      <c r="K118" s="23"/>
      <c r="L118" s="17">
        <v>531.72199999999998</v>
      </c>
      <c r="M118" s="17">
        <v>414.29899999999998</v>
      </c>
      <c r="N118" s="17">
        <v>455.65300000000002</v>
      </c>
      <c r="O118" s="17">
        <v>434.93799999999999</v>
      </c>
      <c r="P118" s="17">
        <v>405.40600000000001</v>
      </c>
      <c r="Q118" s="17">
        <v>409.53100000000001</v>
      </c>
      <c r="R118" s="17">
        <v>437.93400000000003</v>
      </c>
      <c r="S118" s="17">
        <v>416.30900000000003</v>
      </c>
      <c r="T118" s="17">
        <v>399.108</v>
      </c>
      <c r="U118" s="17">
        <v>398.51600000000002</v>
      </c>
      <c r="V118" s="17">
        <v>404.82900000000001</v>
      </c>
      <c r="W118" s="17">
        <v>418.58300000000003</v>
      </c>
      <c r="X118" s="17">
        <v>448.471</v>
      </c>
      <c r="Y118" s="17">
        <v>517.74699999999996</v>
      </c>
      <c r="Z118" s="17">
        <v>463.24200000000002</v>
      </c>
      <c r="AA118" s="17">
        <v>424.97899999999998</v>
      </c>
      <c r="AB118" s="17"/>
      <c r="AC118" s="17"/>
      <c r="AD118" s="26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>
        <v>399.77199999999999</v>
      </c>
      <c r="AO118" s="17">
        <v>415.57600000000002</v>
      </c>
      <c r="AP118" s="17"/>
      <c r="AQ118" s="17">
        <v>396.68</v>
      </c>
      <c r="AR118" s="17"/>
      <c r="AS118" s="17"/>
      <c r="AT118" s="17"/>
      <c r="AU118" s="17"/>
      <c r="AV118" s="17"/>
      <c r="AW118" s="17">
        <v>483.57400000000001</v>
      </c>
    </row>
    <row r="119" spans="1:49" x14ac:dyDescent="0.35">
      <c r="A119" s="3">
        <f t="shared" si="31"/>
        <v>102</v>
      </c>
      <c r="B119" s="17"/>
      <c r="C119" s="17"/>
      <c r="D119" s="17">
        <v>423.17200000000003</v>
      </c>
      <c r="E119" s="17">
        <v>443.363</v>
      </c>
      <c r="F119" s="17">
        <v>426.76100000000002</v>
      </c>
      <c r="G119" s="17">
        <v>402.54700000000003</v>
      </c>
      <c r="H119" s="17"/>
      <c r="I119" s="17"/>
      <c r="J119" s="17">
        <v>403.52300000000002</v>
      </c>
      <c r="K119" s="23"/>
      <c r="L119" s="17">
        <v>531.16300000000001</v>
      </c>
      <c r="M119" s="17">
        <v>412.24299999999999</v>
      </c>
      <c r="N119" s="17">
        <v>456.02600000000001</v>
      </c>
      <c r="O119" s="17">
        <v>436.69299999999998</v>
      </c>
      <c r="P119" s="17">
        <v>405.81200000000001</v>
      </c>
      <c r="Q119" s="17">
        <v>409.49400000000003</v>
      </c>
      <c r="R119" s="17">
        <v>438.17500000000001</v>
      </c>
      <c r="S119" s="17">
        <v>415.56200000000001</v>
      </c>
      <c r="T119" s="17">
        <v>399.23</v>
      </c>
      <c r="U119" s="17">
        <v>399.505</v>
      </c>
      <c r="V119" s="17">
        <v>406.42</v>
      </c>
      <c r="W119" s="17">
        <v>418.59</v>
      </c>
      <c r="X119" s="17">
        <v>448.18900000000002</v>
      </c>
      <c r="Y119" s="17">
        <v>517.33299999999997</v>
      </c>
      <c r="Z119" s="17">
        <v>464.22699999999998</v>
      </c>
      <c r="AA119" s="17">
        <v>424.54399999999998</v>
      </c>
      <c r="AB119" s="17"/>
      <c r="AC119" s="17"/>
      <c r="AD119" s="26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>
        <v>399.19600000000003</v>
      </c>
      <c r="AO119" s="17">
        <v>415.63299999999998</v>
      </c>
      <c r="AP119" s="17"/>
      <c r="AQ119" s="17">
        <v>397.69200000000001</v>
      </c>
      <c r="AR119" s="17"/>
      <c r="AS119" s="17"/>
      <c r="AT119" s="17"/>
      <c r="AU119" s="17"/>
      <c r="AV119" s="17"/>
      <c r="AW119" s="17">
        <v>484.63900000000001</v>
      </c>
    </row>
    <row r="120" spans="1:49" x14ac:dyDescent="0.35">
      <c r="A120" s="3">
        <f t="shared" si="31"/>
        <v>103</v>
      </c>
      <c r="B120" s="17"/>
      <c r="C120" s="17"/>
      <c r="D120" s="17">
        <v>424.29500000000002</v>
      </c>
      <c r="E120" s="17">
        <v>444.44499999999999</v>
      </c>
      <c r="F120" s="17">
        <v>427.35199999999998</v>
      </c>
      <c r="G120" s="17">
        <v>403.98700000000002</v>
      </c>
      <c r="H120" s="17"/>
      <c r="I120" s="17"/>
      <c r="J120" s="17">
        <v>403.13900000000001</v>
      </c>
      <c r="K120" s="23"/>
      <c r="L120" s="17">
        <v>532.12599999999998</v>
      </c>
      <c r="M120" s="17">
        <v>415.91800000000001</v>
      </c>
      <c r="N120" s="17">
        <v>456.9</v>
      </c>
      <c r="O120" s="17">
        <v>436.17200000000003</v>
      </c>
      <c r="P120" s="17">
        <v>406.62900000000002</v>
      </c>
      <c r="Q120" s="17">
        <v>410.12599999999998</v>
      </c>
      <c r="R120" s="17">
        <v>437.97300000000001</v>
      </c>
      <c r="S120" s="17">
        <v>416.75900000000001</v>
      </c>
      <c r="T120" s="17">
        <v>399.51100000000002</v>
      </c>
      <c r="U120" s="17">
        <v>400.35700000000003</v>
      </c>
      <c r="V120" s="17">
        <v>404.74900000000002</v>
      </c>
      <c r="W120" s="17">
        <v>417.94</v>
      </c>
      <c r="X120" s="17">
        <v>449.07100000000003</v>
      </c>
      <c r="Y120" s="17">
        <v>517.53800000000001</v>
      </c>
      <c r="Z120" s="17">
        <v>462.49799999999999</v>
      </c>
      <c r="AA120" s="17">
        <v>424.71699999999998</v>
      </c>
      <c r="AB120" s="17"/>
      <c r="AC120" s="17"/>
      <c r="AD120" s="26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>
        <v>398.88099999999997</v>
      </c>
      <c r="AO120" s="17">
        <v>415.87700000000001</v>
      </c>
      <c r="AP120" s="17"/>
      <c r="AQ120" s="17">
        <v>398.37700000000001</v>
      </c>
      <c r="AR120" s="17"/>
      <c r="AS120" s="17"/>
      <c r="AT120" s="17"/>
      <c r="AU120" s="17"/>
      <c r="AV120" s="17"/>
      <c r="AW120" s="17">
        <v>485.02300000000002</v>
      </c>
    </row>
    <row r="121" spans="1:49" x14ac:dyDescent="0.35">
      <c r="A121" s="3">
        <f t="shared" si="31"/>
        <v>104</v>
      </c>
      <c r="B121" s="17"/>
      <c r="C121" s="17"/>
      <c r="D121" s="17">
        <v>424.31799999999998</v>
      </c>
      <c r="E121" s="17">
        <v>443.99200000000002</v>
      </c>
      <c r="F121" s="17">
        <v>427.29199999999997</v>
      </c>
      <c r="G121" s="17">
        <v>403.17099999999999</v>
      </c>
      <c r="H121" s="17"/>
      <c r="I121" s="17"/>
      <c r="J121" s="17">
        <v>403.58</v>
      </c>
      <c r="K121" s="23"/>
      <c r="L121" s="17">
        <v>531.88599999999997</v>
      </c>
      <c r="M121" s="17">
        <v>415.61500000000001</v>
      </c>
      <c r="N121" s="17">
        <v>456.935</v>
      </c>
      <c r="O121" s="17">
        <v>436.67899999999997</v>
      </c>
      <c r="P121" s="17">
        <v>405.75400000000002</v>
      </c>
      <c r="Q121" s="17">
        <v>410.642</v>
      </c>
      <c r="R121" s="17">
        <v>439.11500000000001</v>
      </c>
      <c r="S121" s="17">
        <v>416.41800000000001</v>
      </c>
      <c r="T121" s="17">
        <v>398.21600000000001</v>
      </c>
      <c r="U121" s="17">
        <v>400.286</v>
      </c>
      <c r="V121" s="17">
        <v>405.97699999999998</v>
      </c>
      <c r="W121" s="17">
        <v>417.517</v>
      </c>
      <c r="X121" s="17">
        <v>449.04399999999998</v>
      </c>
      <c r="Y121" s="17">
        <v>517.76900000000001</v>
      </c>
      <c r="Z121" s="17">
        <v>464.1</v>
      </c>
      <c r="AA121" s="17">
        <v>425.43599999999998</v>
      </c>
      <c r="AB121" s="17"/>
      <c r="AC121" s="17"/>
      <c r="AD121" s="26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>
        <v>399.56</v>
      </c>
      <c r="AO121" s="17">
        <v>414.35300000000001</v>
      </c>
      <c r="AP121" s="17"/>
      <c r="AQ121" s="17">
        <v>398.14699999999999</v>
      </c>
      <c r="AR121" s="17"/>
      <c r="AS121" s="17"/>
      <c r="AT121" s="17"/>
      <c r="AU121" s="17"/>
      <c r="AV121" s="17"/>
      <c r="AW121" s="17">
        <v>484.41</v>
      </c>
    </row>
    <row r="122" spans="1:49" x14ac:dyDescent="0.35">
      <c r="A122" s="3">
        <f t="shared" si="31"/>
        <v>105</v>
      </c>
      <c r="B122" s="17"/>
      <c r="C122" s="17"/>
      <c r="D122" s="17">
        <v>424.57400000000001</v>
      </c>
      <c r="E122" s="17">
        <v>444.87099999999998</v>
      </c>
      <c r="F122" s="17">
        <v>428.23599999999999</v>
      </c>
      <c r="G122" s="17">
        <v>403.24</v>
      </c>
      <c r="H122" s="17"/>
      <c r="I122" s="17"/>
      <c r="J122" s="17">
        <v>404.01</v>
      </c>
      <c r="K122" s="23"/>
      <c r="L122" s="17">
        <v>531.75400000000002</v>
      </c>
      <c r="M122" s="17">
        <v>415.774</v>
      </c>
      <c r="N122" s="17">
        <v>457.17899999999997</v>
      </c>
      <c r="O122" s="17">
        <v>436.72899999999998</v>
      </c>
      <c r="P122" s="17">
        <v>406.00599999999997</v>
      </c>
      <c r="Q122" s="17">
        <v>411.16899999999998</v>
      </c>
      <c r="R122" s="17">
        <v>439.56599999999997</v>
      </c>
      <c r="S122" s="17">
        <v>417.27600000000001</v>
      </c>
      <c r="T122" s="17">
        <v>399.33300000000003</v>
      </c>
      <c r="U122" s="17">
        <v>400.63900000000001</v>
      </c>
      <c r="V122" s="17">
        <v>407.39100000000002</v>
      </c>
      <c r="W122" s="17">
        <v>417.733</v>
      </c>
      <c r="X122" s="17">
        <v>447.86599999999999</v>
      </c>
      <c r="Y122" s="17">
        <v>517.22299999999996</v>
      </c>
      <c r="Z122" s="17">
        <v>464.19099999999997</v>
      </c>
      <c r="AA122" s="17">
        <v>425.41</v>
      </c>
      <c r="AB122" s="17"/>
      <c r="AC122" s="17"/>
      <c r="AD122" s="26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>
        <v>398.58199999999999</v>
      </c>
      <c r="AO122" s="17">
        <v>415.76100000000002</v>
      </c>
      <c r="AP122" s="17"/>
      <c r="AQ122" s="17">
        <v>396.637</v>
      </c>
      <c r="AR122" s="17"/>
      <c r="AS122" s="17"/>
      <c r="AT122" s="17"/>
      <c r="AU122" s="17"/>
      <c r="AV122" s="17"/>
      <c r="AW122" s="17">
        <v>484.36900000000003</v>
      </c>
    </row>
    <row r="123" spans="1:49" x14ac:dyDescent="0.35">
      <c r="A123" s="3">
        <f t="shared" si="31"/>
        <v>106</v>
      </c>
      <c r="B123" s="17"/>
      <c r="C123" s="17"/>
      <c r="D123" s="17">
        <v>424.13400000000001</v>
      </c>
      <c r="E123" s="17">
        <v>445.55599999999998</v>
      </c>
      <c r="F123" s="17">
        <v>426.04300000000001</v>
      </c>
      <c r="G123" s="17">
        <v>402.35899999999998</v>
      </c>
      <c r="H123" s="17"/>
      <c r="I123" s="17"/>
      <c r="J123" s="17">
        <v>403.68</v>
      </c>
      <c r="K123" s="23"/>
      <c r="L123" s="17">
        <v>532.45899999999995</v>
      </c>
      <c r="M123" s="17">
        <v>417.15899999999999</v>
      </c>
      <c r="N123" s="17">
        <v>457.68599999999998</v>
      </c>
      <c r="O123" s="17">
        <v>437.28800000000001</v>
      </c>
      <c r="P123" s="17">
        <v>405.88600000000002</v>
      </c>
      <c r="Q123" s="17">
        <v>411.55500000000001</v>
      </c>
      <c r="R123" s="17">
        <v>438.13299999999998</v>
      </c>
      <c r="S123" s="17">
        <v>417.53800000000001</v>
      </c>
      <c r="T123" s="17">
        <v>398.69299999999998</v>
      </c>
      <c r="U123" s="17">
        <v>399.37799999999999</v>
      </c>
      <c r="V123" s="17">
        <v>409.274</v>
      </c>
      <c r="W123" s="17">
        <v>417.416</v>
      </c>
      <c r="X123" s="17">
        <v>448.61</v>
      </c>
      <c r="Y123" s="17">
        <v>518.49800000000005</v>
      </c>
      <c r="Z123" s="17">
        <v>464.62900000000002</v>
      </c>
      <c r="AA123" s="17">
        <v>425.00299999999999</v>
      </c>
      <c r="AB123" s="17"/>
      <c r="AC123" s="17"/>
      <c r="AD123" s="26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>
        <v>399.03500000000003</v>
      </c>
      <c r="AO123" s="17">
        <v>414.35</v>
      </c>
      <c r="AP123" s="17"/>
      <c r="AQ123" s="17">
        <v>397.56200000000001</v>
      </c>
      <c r="AR123" s="17"/>
      <c r="AS123" s="17"/>
      <c r="AT123" s="17"/>
      <c r="AU123" s="17"/>
      <c r="AV123" s="17"/>
      <c r="AW123" s="17">
        <v>484.87900000000002</v>
      </c>
    </row>
    <row r="124" spans="1:49" x14ac:dyDescent="0.35">
      <c r="A124" s="3">
        <f t="shared" si="31"/>
        <v>107</v>
      </c>
      <c r="B124" s="17"/>
      <c r="C124" s="17"/>
      <c r="D124" s="17">
        <v>425.78199999999998</v>
      </c>
      <c r="E124" s="17">
        <v>445.20100000000002</v>
      </c>
      <c r="F124" s="17">
        <v>427.45</v>
      </c>
      <c r="G124" s="17">
        <v>403.84199999999998</v>
      </c>
      <c r="H124" s="17"/>
      <c r="I124" s="17"/>
      <c r="J124" s="17">
        <v>403.31599999999997</v>
      </c>
      <c r="K124" s="23"/>
      <c r="L124" s="17">
        <v>532.76599999999996</v>
      </c>
      <c r="M124" s="17">
        <v>416.72899999999998</v>
      </c>
      <c r="N124" s="17">
        <v>456.99799999999999</v>
      </c>
      <c r="O124" s="17">
        <v>435.726</v>
      </c>
      <c r="P124" s="17">
        <v>405.88600000000002</v>
      </c>
      <c r="Q124" s="17">
        <v>411.51400000000001</v>
      </c>
      <c r="R124" s="17">
        <v>438.46</v>
      </c>
      <c r="S124" s="17">
        <v>417.346</v>
      </c>
      <c r="T124" s="17">
        <v>398.90699999999998</v>
      </c>
      <c r="U124" s="17">
        <v>399.61700000000002</v>
      </c>
      <c r="V124" s="17">
        <v>407.02800000000002</v>
      </c>
      <c r="W124" s="17">
        <v>417.96899999999999</v>
      </c>
      <c r="X124" s="17">
        <v>448.81700000000001</v>
      </c>
      <c r="Y124" s="17">
        <v>518.452</v>
      </c>
      <c r="Z124" s="17">
        <v>465.88200000000001</v>
      </c>
      <c r="AA124" s="17">
        <v>425.91699999999997</v>
      </c>
      <c r="AB124" s="17"/>
      <c r="AC124" s="17"/>
      <c r="AD124" s="26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>
        <v>399.34199999999998</v>
      </c>
      <c r="AO124" s="17">
        <v>415.02199999999999</v>
      </c>
      <c r="AP124" s="17"/>
      <c r="AQ124" s="17">
        <v>398.18</v>
      </c>
      <c r="AR124" s="17"/>
      <c r="AS124" s="17"/>
      <c r="AT124" s="17"/>
      <c r="AU124" s="17"/>
      <c r="AV124" s="17"/>
      <c r="AW124" s="17">
        <v>483.19400000000002</v>
      </c>
    </row>
    <row r="125" spans="1:49" x14ac:dyDescent="0.35">
      <c r="A125" s="3">
        <f t="shared" si="31"/>
        <v>108</v>
      </c>
      <c r="B125" s="17"/>
      <c r="C125" s="17"/>
      <c r="D125" s="17">
        <v>426.22899999999998</v>
      </c>
      <c r="E125" s="17">
        <v>445.79300000000001</v>
      </c>
      <c r="F125" s="17">
        <v>427.38299999999998</v>
      </c>
      <c r="G125" s="17">
        <v>404.70800000000003</v>
      </c>
      <c r="H125" s="17"/>
      <c r="I125" s="17"/>
      <c r="J125" s="17">
        <v>403.154</v>
      </c>
      <c r="K125" s="23"/>
      <c r="L125" s="17">
        <v>532.51900000000001</v>
      </c>
      <c r="M125" s="17">
        <v>418.161</v>
      </c>
      <c r="N125" s="17">
        <v>457.48399999999998</v>
      </c>
      <c r="O125" s="17">
        <v>436.24599999999998</v>
      </c>
      <c r="P125" s="17">
        <v>406.673</v>
      </c>
      <c r="Q125" s="17">
        <v>411.81900000000002</v>
      </c>
      <c r="R125" s="17">
        <v>437.18799999999999</v>
      </c>
      <c r="S125" s="17">
        <v>416.84</v>
      </c>
      <c r="T125" s="17">
        <v>399.63799999999998</v>
      </c>
      <c r="U125" s="17">
        <v>399.20499999999998</v>
      </c>
      <c r="V125" s="17">
        <v>408.37</v>
      </c>
      <c r="W125" s="17">
        <v>417.56900000000002</v>
      </c>
      <c r="X125" s="17">
        <v>449.61799999999999</v>
      </c>
      <c r="Y125" s="17">
        <v>520.52</v>
      </c>
      <c r="Z125" s="17">
        <v>465.16899999999998</v>
      </c>
      <c r="AA125" s="17">
        <v>425.29599999999999</v>
      </c>
      <c r="AB125" s="17"/>
      <c r="AC125" s="17"/>
      <c r="AD125" s="26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>
        <v>398.839</v>
      </c>
      <c r="AO125" s="17">
        <v>416.779</v>
      </c>
      <c r="AP125" s="17"/>
      <c r="AQ125" s="17">
        <v>397.76799999999997</v>
      </c>
      <c r="AR125" s="17"/>
      <c r="AS125" s="17"/>
      <c r="AT125" s="17"/>
      <c r="AU125" s="17"/>
      <c r="AV125" s="17"/>
      <c r="AW125" s="17">
        <v>484.274</v>
      </c>
    </row>
    <row r="126" spans="1:49" x14ac:dyDescent="0.35">
      <c r="A126" s="3">
        <f t="shared" si="31"/>
        <v>109</v>
      </c>
      <c r="B126" s="17"/>
      <c r="C126" s="17"/>
      <c r="D126" s="17">
        <v>426.26100000000002</v>
      </c>
      <c r="E126" s="17">
        <v>446.4</v>
      </c>
      <c r="F126" s="17">
        <v>426.33499999999998</v>
      </c>
      <c r="G126" s="17">
        <v>403.78899999999999</v>
      </c>
      <c r="H126" s="17"/>
      <c r="I126" s="17"/>
      <c r="J126" s="17">
        <v>403.166</v>
      </c>
      <c r="K126" s="23"/>
      <c r="L126" s="17">
        <v>532.87099999999998</v>
      </c>
      <c r="M126" s="17">
        <v>419.32799999999997</v>
      </c>
      <c r="N126" s="17">
        <v>458.64699999999999</v>
      </c>
      <c r="O126" s="17">
        <v>436.68099999999998</v>
      </c>
      <c r="P126" s="17">
        <v>406.45</v>
      </c>
      <c r="Q126" s="17">
        <v>414.12099999999998</v>
      </c>
      <c r="R126" s="17">
        <v>436.59199999999998</v>
      </c>
      <c r="S126" s="17">
        <v>417.19600000000003</v>
      </c>
      <c r="T126" s="17">
        <v>400.12799999999999</v>
      </c>
      <c r="U126" s="17">
        <v>398.08300000000003</v>
      </c>
      <c r="V126" s="17">
        <v>407.40800000000002</v>
      </c>
      <c r="W126" s="17">
        <v>418.851</v>
      </c>
      <c r="X126" s="17">
        <v>449.71699999999998</v>
      </c>
      <c r="Y126" s="17">
        <v>518.30200000000002</v>
      </c>
      <c r="Z126" s="17">
        <v>465.05399999999997</v>
      </c>
      <c r="AA126" s="17">
        <v>424.49</v>
      </c>
      <c r="AB126" s="17"/>
      <c r="AC126" s="17"/>
      <c r="AD126" s="26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>
        <v>399.45499999999998</v>
      </c>
      <c r="AO126" s="17">
        <v>415.43200000000002</v>
      </c>
      <c r="AP126" s="17"/>
      <c r="AQ126" s="17">
        <v>397.904</v>
      </c>
      <c r="AR126" s="17"/>
      <c r="AS126" s="17"/>
      <c r="AT126" s="17"/>
      <c r="AU126" s="17"/>
      <c r="AV126" s="17"/>
      <c r="AW126" s="17">
        <v>483.82100000000003</v>
      </c>
    </row>
    <row r="127" spans="1:49" x14ac:dyDescent="0.35">
      <c r="A127" s="3">
        <f t="shared" si="31"/>
        <v>110</v>
      </c>
      <c r="B127" s="17"/>
      <c r="C127" s="17"/>
      <c r="D127" s="17">
        <v>425.68400000000003</v>
      </c>
      <c r="E127" s="17">
        <v>445.05700000000002</v>
      </c>
      <c r="F127" s="17">
        <v>426.86599999999999</v>
      </c>
      <c r="G127" s="17">
        <v>403.4</v>
      </c>
      <c r="H127" s="17"/>
      <c r="I127" s="17"/>
      <c r="J127" s="17">
        <v>403.66199999999998</v>
      </c>
      <c r="K127" s="23"/>
      <c r="L127" s="17">
        <v>533.28300000000002</v>
      </c>
      <c r="M127" s="17">
        <v>420.5</v>
      </c>
      <c r="N127" s="17">
        <v>458.995</v>
      </c>
      <c r="O127" s="17">
        <v>438.01299999999998</v>
      </c>
      <c r="P127" s="17">
        <v>406.71300000000002</v>
      </c>
      <c r="Q127" s="17">
        <v>413.93099999999998</v>
      </c>
      <c r="R127" s="17">
        <v>437.79599999999999</v>
      </c>
      <c r="S127" s="17">
        <v>418.476</v>
      </c>
      <c r="T127" s="17">
        <v>400.30599999999998</v>
      </c>
      <c r="U127" s="17">
        <v>400.25</v>
      </c>
      <c r="V127" s="17">
        <v>408.81599999999997</v>
      </c>
      <c r="W127" s="17">
        <v>418.089</v>
      </c>
      <c r="X127" s="17">
        <v>447.95100000000002</v>
      </c>
      <c r="Y127" s="17">
        <v>521.76099999999997</v>
      </c>
      <c r="Z127" s="17">
        <v>466.58699999999999</v>
      </c>
      <c r="AA127" s="17">
        <v>424.61200000000002</v>
      </c>
      <c r="AB127" s="17"/>
      <c r="AC127" s="17"/>
      <c r="AD127" s="26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>
        <v>399.089</v>
      </c>
      <c r="AO127" s="17">
        <v>415.60500000000002</v>
      </c>
      <c r="AP127" s="17"/>
      <c r="AQ127" s="17">
        <v>396.64400000000001</v>
      </c>
      <c r="AR127" s="17"/>
      <c r="AS127" s="17"/>
      <c r="AT127" s="17"/>
      <c r="AU127" s="17"/>
      <c r="AV127" s="17"/>
      <c r="AW127" s="17">
        <v>484.375</v>
      </c>
    </row>
    <row r="128" spans="1:49" x14ac:dyDescent="0.35">
      <c r="A128" s="3">
        <f t="shared" si="31"/>
        <v>111</v>
      </c>
      <c r="B128" s="17"/>
      <c r="C128" s="17"/>
      <c r="D128" s="17">
        <v>424.27800000000002</v>
      </c>
      <c r="E128" s="17">
        <v>445.54599999999999</v>
      </c>
      <c r="F128" s="17">
        <v>427.54899999999998</v>
      </c>
      <c r="G128" s="17">
        <v>404.64400000000001</v>
      </c>
      <c r="H128" s="17"/>
      <c r="I128" s="17"/>
      <c r="J128" s="17">
        <v>403.95100000000002</v>
      </c>
      <c r="K128" s="23"/>
      <c r="L128" s="17">
        <v>532.93399999999997</v>
      </c>
      <c r="M128" s="17">
        <v>417.22399999999999</v>
      </c>
      <c r="N128" s="17">
        <v>457.13200000000001</v>
      </c>
      <c r="O128" s="17">
        <v>437.32900000000001</v>
      </c>
      <c r="P128" s="17">
        <v>407.43599999999998</v>
      </c>
      <c r="Q128" s="17">
        <v>413.21199999999999</v>
      </c>
      <c r="R128" s="17">
        <v>437.91500000000002</v>
      </c>
      <c r="S128" s="17">
        <v>417.43700000000001</v>
      </c>
      <c r="T128" s="17">
        <v>399.78300000000002</v>
      </c>
      <c r="U128" s="17">
        <v>399.14600000000002</v>
      </c>
      <c r="V128" s="17">
        <v>408.26400000000001</v>
      </c>
      <c r="W128" s="17">
        <v>418.459</v>
      </c>
      <c r="X128" s="17">
        <v>449.00700000000001</v>
      </c>
      <c r="Y128" s="17">
        <v>521.71100000000001</v>
      </c>
      <c r="Z128" s="17">
        <v>465.89499999999998</v>
      </c>
      <c r="AA128" s="17">
        <v>426.21100000000001</v>
      </c>
      <c r="AB128" s="17"/>
      <c r="AC128" s="17"/>
      <c r="AD128" s="26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>
        <v>399.20499999999998</v>
      </c>
      <c r="AO128" s="17">
        <v>415.12299999999999</v>
      </c>
      <c r="AP128" s="17"/>
      <c r="AQ128" s="17">
        <v>397.916</v>
      </c>
      <c r="AR128" s="17"/>
      <c r="AS128" s="17"/>
      <c r="AT128" s="17"/>
      <c r="AU128" s="17"/>
      <c r="AV128" s="17"/>
      <c r="AW128" s="17">
        <v>485.01400000000001</v>
      </c>
    </row>
    <row r="129" spans="1:49" x14ac:dyDescent="0.35">
      <c r="A129" s="3">
        <f t="shared" si="31"/>
        <v>112</v>
      </c>
      <c r="B129" s="17"/>
      <c r="C129" s="17"/>
      <c r="D129" s="17">
        <v>425.27</v>
      </c>
      <c r="E129" s="17">
        <v>446.73399999999998</v>
      </c>
      <c r="F129" s="17">
        <v>427.21</v>
      </c>
      <c r="G129" s="17">
        <v>403.35700000000003</v>
      </c>
      <c r="H129" s="17"/>
      <c r="I129" s="17"/>
      <c r="J129" s="17">
        <v>403.90600000000001</v>
      </c>
      <c r="K129" s="23"/>
      <c r="L129" s="17">
        <v>533.39099999999996</v>
      </c>
      <c r="M129" s="17">
        <v>418.94099999999997</v>
      </c>
      <c r="N129" s="17">
        <v>457.798</v>
      </c>
      <c r="O129" s="17">
        <v>438.29500000000002</v>
      </c>
      <c r="P129" s="17">
        <v>406.81700000000001</v>
      </c>
      <c r="Q129" s="17">
        <v>414.541</v>
      </c>
      <c r="R129" s="17">
        <v>437.89699999999999</v>
      </c>
      <c r="S129" s="17">
        <v>416.05599999999998</v>
      </c>
      <c r="T129" s="17">
        <v>399.64400000000001</v>
      </c>
      <c r="U129" s="17">
        <v>399.24299999999999</v>
      </c>
      <c r="V129" s="17">
        <v>407.79500000000002</v>
      </c>
      <c r="W129" s="17">
        <v>419.56299999999999</v>
      </c>
      <c r="X129" s="17">
        <v>450.24900000000002</v>
      </c>
      <c r="Y129" s="17">
        <v>522.553</v>
      </c>
      <c r="Z129" s="17">
        <v>466.339</v>
      </c>
      <c r="AA129" s="17">
        <v>426.63799999999998</v>
      </c>
      <c r="AB129" s="17"/>
      <c r="AC129" s="17"/>
      <c r="AD129" s="26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>
        <v>397.851</v>
      </c>
      <c r="AO129" s="17">
        <v>414.41</v>
      </c>
      <c r="AP129" s="17"/>
      <c r="AQ129" s="17">
        <v>399.33499999999998</v>
      </c>
      <c r="AR129" s="17"/>
      <c r="AS129" s="17"/>
      <c r="AT129" s="17"/>
      <c r="AU129" s="17"/>
      <c r="AV129" s="17"/>
      <c r="AW129" s="17">
        <v>484.24700000000001</v>
      </c>
    </row>
    <row r="130" spans="1:49" x14ac:dyDescent="0.35">
      <c r="A130" s="3">
        <f t="shared" si="31"/>
        <v>113</v>
      </c>
      <c r="B130" s="17"/>
      <c r="C130" s="17"/>
      <c r="D130" s="17">
        <v>425.565</v>
      </c>
      <c r="E130" s="17">
        <v>446.88299999999998</v>
      </c>
      <c r="F130" s="17">
        <v>428.11799999999999</v>
      </c>
      <c r="G130" s="17">
        <v>403.291</v>
      </c>
      <c r="H130" s="17"/>
      <c r="I130" s="17"/>
      <c r="J130" s="17">
        <v>403.916</v>
      </c>
      <c r="K130" s="23"/>
      <c r="L130" s="17">
        <v>534.33299999999997</v>
      </c>
      <c r="M130" s="17">
        <v>417.88600000000002</v>
      </c>
      <c r="N130" s="17">
        <v>458.55200000000002</v>
      </c>
      <c r="O130" s="17">
        <v>437.94099999999997</v>
      </c>
      <c r="P130" s="17">
        <v>407.37299999999999</v>
      </c>
      <c r="Q130" s="17">
        <v>412.82900000000001</v>
      </c>
      <c r="R130" s="17">
        <v>438.04700000000003</v>
      </c>
      <c r="S130" s="17">
        <v>415.89299999999997</v>
      </c>
      <c r="T130" s="17">
        <v>399.52300000000002</v>
      </c>
      <c r="U130" s="17">
        <v>399.30099999999999</v>
      </c>
      <c r="V130" s="17">
        <v>408.40300000000002</v>
      </c>
      <c r="W130" s="17">
        <v>420.05599999999998</v>
      </c>
      <c r="X130" s="17">
        <v>448.35199999999998</v>
      </c>
      <c r="Y130" s="17">
        <v>523.33600000000001</v>
      </c>
      <c r="Z130" s="17">
        <v>466.23599999999999</v>
      </c>
      <c r="AA130" s="17">
        <v>426.39299999999997</v>
      </c>
      <c r="AB130" s="17"/>
      <c r="AC130" s="17"/>
      <c r="AD130" s="26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>
        <v>398.911</v>
      </c>
      <c r="AO130" s="17">
        <v>416.476</v>
      </c>
      <c r="AP130" s="17"/>
      <c r="AQ130" s="17">
        <v>398.46600000000001</v>
      </c>
      <c r="AR130" s="17"/>
      <c r="AS130" s="17"/>
      <c r="AT130" s="17"/>
      <c r="AU130" s="17"/>
      <c r="AV130" s="17"/>
      <c r="AW130" s="17">
        <v>484.69799999999998</v>
      </c>
    </row>
    <row r="131" spans="1:49" x14ac:dyDescent="0.35">
      <c r="A131" s="3">
        <f t="shared" si="31"/>
        <v>114</v>
      </c>
      <c r="B131" s="17"/>
      <c r="C131" s="17"/>
      <c r="D131" s="17">
        <v>425.97199999999998</v>
      </c>
      <c r="E131" s="17">
        <v>446.613</v>
      </c>
      <c r="F131" s="17">
        <v>427.10300000000001</v>
      </c>
      <c r="G131" s="17">
        <v>403.69200000000001</v>
      </c>
      <c r="H131" s="17"/>
      <c r="I131" s="17"/>
      <c r="J131" s="17">
        <v>404.75900000000001</v>
      </c>
      <c r="K131" s="23"/>
      <c r="L131" s="17">
        <v>534.08299999999997</v>
      </c>
      <c r="M131" s="17">
        <v>419.01900000000001</v>
      </c>
      <c r="N131" s="17">
        <v>458.46899999999999</v>
      </c>
      <c r="O131" s="17">
        <v>437.73099999999999</v>
      </c>
      <c r="P131" s="17">
        <v>407.49799999999999</v>
      </c>
      <c r="Q131" s="17">
        <v>414.05900000000003</v>
      </c>
      <c r="R131" s="17">
        <v>438.26900000000001</v>
      </c>
      <c r="S131" s="17">
        <v>417.16399999999999</v>
      </c>
      <c r="T131" s="17">
        <v>400.20499999999998</v>
      </c>
      <c r="U131" s="17">
        <v>398.19299999999998</v>
      </c>
      <c r="V131" s="17">
        <v>409.07499999999999</v>
      </c>
      <c r="W131" s="17">
        <v>420.25799999999998</v>
      </c>
      <c r="X131" s="17">
        <v>450.221</v>
      </c>
      <c r="Y131" s="17">
        <v>522.76800000000003</v>
      </c>
      <c r="Z131" s="17">
        <v>465.06299999999999</v>
      </c>
      <c r="AA131" s="17">
        <v>424.96100000000001</v>
      </c>
      <c r="AB131" s="17"/>
      <c r="AC131" s="17"/>
      <c r="AD131" s="26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>
        <v>399.54500000000002</v>
      </c>
      <c r="AO131" s="17">
        <v>415.35899999999998</v>
      </c>
      <c r="AP131" s="17"/>
      <c r="AQ131" s="17">
        <v>398.41699999999997</v>
      </c>
      <c r="AR131" s="17"/>
      <c r="AS131" s="17"/>
      <c r="AT131" s="17"/>
      <c r="AU131" s="17"/>
      <c r="AV131" s="17"/>
      <c r="AW131" s="17">
        <v>483.53199999999998</v>
      </c>
    </row>
    <row r="132" spans="1:49" x14ac:dyDescent="0.35">
      <c r="A132" s="3">
        <f t="shared" si="31"/>
        <v>115</v>
      </c>
      <c r="B132" s="17"/>
      <c r="C132" s="17"/>
      <c r="D132" s="17">
        <v>426.68599999999998</v>
      </c>
      <c r="E132" s="17">
        <v>446.85700000000003</v>
      </c>
      <c r="F132" s="17">
        <v>427.14</v>
      </c>
      <c r="G132" s="17">
        <v>405.63299999999998</v>
      </c>
      <c r="H132" s="17"/>
      <c r="I132" s="17"/>
      <c r="J132" s="17">
        <v>404.84899999999999</v>
      </c>
      <c r="K132" s="23"/>
      <c r="L132" s="17">
        <v>534.91899999999998</v>
      </c>
      <c r="M132" s="17">
        <v>418.18799999999999</v>
      </c>
      <c r="N132" s="17">
        <v>458.73099999999999</v>
      </c>
      <c r="O132" s="17">
        <v>437.97300000000001</v>
      </c>
      <c r="P132" s="17">
        <v>407.26299999999998</v>
      </c>
      <c r="Q132" s="17">
        <v>412.09899999999999</v>
      </c>
      <c r="R132" s="17">
        <v>436.536</v>
      </c>
      <c r="S132" s="17">
        <v>417.7</v>
      </c>
      <c r="T132" s="17">
        <v>400.36799999999999</v>
      </c>
      <c r="U132" s="17">
        <v>399.68900000000002</v>
      </c>
      <c r="V132" s="17">
        <v>410.75200000000001</v>
      </c>
      <c r="W132" s="17">
        <v>419.40300000000002</v>
      </c>
      <c r="X132" s="17">
        <v>448.73099999999999</v>
      </c>
      <c r="Y132" s="17">
        <v>524.16</v>
      </c>
      <c r="Z132" s="17">
        <v>465.66800000000001</v>
      </c>
      <c r="AA132" s="17">
        <v>426.72300000000001</v>
      </c>
      <c r="AB132" s="17"/>
      <c r="AC132" s="17"/>
      <c r="AD132" s="26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>
        <v>400.411</v>
      </c>
      <c r="AO132" s="17">
        <v>414.49</v>
      </c>
      <c r="AP132" s="17"/>
      <c r="AQ132" s="17">
        <v>398.67200000000003</v>
      </c>
      <c r="AR132" s="17"/>
      <c r="AS132" s="17"/>
      <c r="AT132" s="17"/>
      <c r="AU132" s="17"/>
      <c r="AV132" s="17"/>
      <c r="AW132" s="17">
        <v>483.74400000000003</v>
      </c>
    </row>
    <row r="133" spans="1:49" x14ac:dyDescent="0.35">
      <c r="A133" s="3">
        <f t="shared" si="31"/>
        <v>116</v>
      </c>
      <c r="B133" s="17"/>
      <c r="C133" s="17"/>
      <c r="D133" s="17">
        <v>425.91899999999998</v>
      </c>
      <c r="E133" s="17">
        <v>446.48399999999998</v>
      </c>
      <c r="F133" s="17">
        <v>428.47</v>
      </c>
      <c r="G133" s="17">
        <v>404.98</v>
      </c>
      <c r="H133" s="17"/>
      <c r="I133" s="17"/>
      <c r="J133" s="17">
        <v>403.94200000000001</v>
      </c>
      <c r="K133" s="23"/>
      <c r="L133" s="17">
        <v>533.85599999999999</v>
      </c>
      <c r="M133" s="17">
        <v>418.99099999999999</v>
      </c>
      <c r="N133" s="17">
        <v>457.49700000000001</v>
      </c>
      <c r="O133" s="17">
        <v>437.19900000000001</v>
      </c>
      <c r="P133" s="17">
        <v>407.53800000000001</v>
      </c>
      <c r="Q133" s="17">
        <v>414.71100000000001</v>
      </c>
      <c r="R133" s="17">
        <v>438.93599999999998</v>
      </c>
      <c r="S133" s="17">
        <v>417.363</v>
      </c>
      <c r="T133" s="17">
        <v>399.33300000000003</v>
      </c>
      <c r="U133" s="17">
        <v>400.072</v>
      </c>
      <c r="V133" s="17">
        <v>409.92599999999999</v>
      </c>
      <c r="W133" s="17">
        <v>419.20100000000002</v>
      </c>
      <c r="X133" s="17">
        <v>449.47399999999999</v>
      </c>
      <c r="Y133" s="17">
        <v>524.13099999999997</v>
      </c>
      <c r="Z133" s="17">
        <v>466.517</v>
      </c>
      <c r="AA133" s="17">
        <v>426.53199999999998</v>
      </c>
      <c r="AB133" s="17"/>
      <c r="AC133" s="17"/>
      <c r="AD133" s="26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>
        <v>400.238</v>
      </c>
      <c r="AO133" s="17">
        <v>413.98700000000002</v>
      </c>
      <c r="AP133" s="17"/>
      <c r="AQ133" s="17">
        <v>397.649</v>
      </c>
      <c r="AR133" s="17"/>
      <c r="AS133" s="17"/>
      <c r="AT133" s="17"/>
      <c r="AU133" s="17"/>
      <c r="AV133" s="17"/>
      <c r="AW133" s="17">
        <v>484.00099999999998</v>
      </c>
    </row>
    <row r="134" spans="1:49" x14ac:dyDescent="0.35">
      <c r="A134" s="3">
        <f t="shared" si="31"/>
        <v>117</v>
      </c>
      <c r="B134" s="17"/>
      <c r="C134" s="17"/>
      <c r="D134" s="17">
        <v>426.91399999999999</v>
      </c>
      <c r="E134" s="17">
        <v>445.42899999999997</v>
      </c>
      <c r="F134" s="17">
        <v>427.303</v>
      </c>
      <c r="G134" s="17">
        <v>403.827</v>
      </c>
      <c r="H134" s="17"/>
      <c r="I134" s="17"/>
      <c r="J134" s="17">
        <v>404.17599999999999</v>
      </c>
      <c r="K134" s="23"/>
      <c r="L134" s="17">
        <v>534.98900000000003</v>
      </c>
      <c r="M134" s="17">
        <v>417.88299999999998</v>
      </c>
      <c r="N134" s="17">
        <v>458.87</v>
      </c>
      <c r="O134" s="17">
        <v>438.22500000000002</v>
      </c>
      <c r="P134" s="17">
        <v>406.59500000000003</v>
      </c>
      <c r="Q134" s="17">
        <v>413.15</v>
      </c>
      <c r="R134" s="17">
        <v>437.55099999999999</v>
      </c>
      <c r="S134" s="17">
        <v>417.024</v>
      </c>
      <c r="T134" s="17">
        <v>398.57600000000002</v>
      </c>
      <c r="U134" s="17">
        <v>400.12200000000001</v>
      </c>
      <c r="V134" s="17">
        <v>410.04199999999997</v>
      </c>
      <c r="W134" s="17">
        <v>420.18599999999998</v>
      </c>
      <c r="X134" s="17">
        <v>449.245</v>
      </c>
      <c r="Y134" s="17">
        <v>524.98299999999995</v>
      </c>
      <c r="Z134" s="17">
        <v>465.875</v>
      </c>
      <c r="AA134" s="17">
        <v>426.42599999999999</v>
      </c>
      <c r="AB134" s="17"/>
      <c r="AC134" s="17"/>
      <c r="AD134" s="26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>
        <v>399.22</v>
      </c>
      <c r="AO134" s="17">
        <v>415.625</v>
      </c>
      <c r="AP134" s="17"/>
      <c r="AQ134" s="17">
        <v>399.27499999999998</v>
      </c>
      <c r="AR134" s="17"/>
      <c r="AS134" s="17"/>
      <c r="AT134" s="17"/>
      <c r="AU134" s="17"/>
      <c r="AV134" s="17"/>
      <c r="AW134" s="17">
        <v>484.22199999999998</v>
      </c>
    </row>
    <row r="135" spans="1:49" x14ac:dyDescent="0.35">
      <c r="A135" s="3">
        <f t="shared" si="31"/>
        <v>118</v>
      </c>
      <c r="B135" s="17"/>
      <c r="C135" s="17"/>
      <c r="D135" s="17">
        <v>427.858</v>
      </c>
      <c r="E135" s="17">
        <v>447.09300000000002</v>
      </c>
      <c r="F135" s="17">
        <v>429.37099999999998</v>
      </c>
      <c r="G135" s="17">
        <v>405.36</v>
      </c>
      <c r="H135" s="17"/>
      <c r="I135" s="17"/>
      <c r="J135" s="17">
        <v>404.78100000000001</v>
      </c>
      <c r="K135" s="23"/>
      <c r="L135" s="17">
        <v>534.32100000000003</v>
      </c>
      <c r="M135" s="17">
        <v>419.69299999999998</v>
      </c>
      <c r="N135" s="17">
        <v>458.209</v>
      </c>
      <c r="O135" s="17">
        <v>438.09</v>
      </c>
      <c r="P135" s="17">
        <v>407.56900000000002</v>
      </c>
      <c r="Q135" s="17">
        <v>414.10399999999998</v>
      </c>
      <c r="R135" s="17">
        <v>438.09199999999998</v>
      </c>
      <c r="S135" s="17">
        <v>417.71199999999999</v>
      </c>
      <c r="T135" s="17">
        <v>400.73099999999999</v>
      </c>
      <c r="U135" s="17">
        <v>400.45</v>
      </c>
      <c r="V135" s="17">
        <v>410.37200000000001</v>
      </c>
      <c r="W135" s="17">
        <v>419.57100000000003</v>
      </c>
      <c r="X135" s="17">
        <v>450.43299999999999</v>
      </c>
      <c r="Y135" s="17">
        <v>524.92899999999997</v>
      </c>
      <c r="Z135" s="17">
        <v>466.71199999999999</v>
      </c>
      <c r="AA135" s="17">
        <v>426.69299999999998</v>
      </c>
      <c r="AB135" s="17"/>
      <c r="AC135" s="17"/>
      <c r="AD135" s="26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>
        <v>398.99900000000002</v>
      </c>
      <c r="AO135" s="17">
        <v>415.83600000000001</v>
      </c>
      <c r="AP135" s="17"/>
      <c r="AQ135" s="17">
        <v>398.173</v>
      </c>
      <c r="AR135" s="17"/>
      <c r="AS135" s="17"/>
      <c r="AT135" s="17"/>
      <c r="AU135" s="17"/>
      <c r="AV135" s="17"/>
      <c r="AW135" s="17">
        <v>484.53500000000003</v>
      </c>
    </row>
    <row r="136" spans="1:49" x14ac:dyDescent="0.35">
      <c r="A136" s="3">
        <f t="shared" si="31"/>
        <v>119</v>
      </c>
      <c r="B136" s="17"/>
      <c r="C136" s="17"/>
      <c r="D136" s="17">
        <v>426.71</v>
      </c>
      <c r="E136" s="17">
        <v>445.685</v>
      </c>
      <c r="F136" s="17">
        <v>427.49799999999999</v>
      </c>
      <c r="G136" s="17">
        <v>405.07600000000002</v>
      </c>
      <c r="H136" s="17"/>
      <c r="I136" s="17"/>
      <c r="J136" s="17">
        <v>404.62400000000002</v>
      </c>
      <c r="K136" s="23"/>
      <c r="L136" s="17">
        <v>535.13699999999994</v>
      </c>
      <c r="M136" s="17">
        <v>418.50200000000001</v>
      </c>
      <c r="N136" s="17">
        <v>458.85899999999998</v>
      </c>
      <c r="O136" s="17">
        <v>438.22899999999998</v>
      </c>
      <c r="P136" s="17">
        <v>408.04599999999999</v>
      </c>
      <c r="Q136" s="17">
        <v>414.11</v>
      </c>
      <c r="R136" s="17">
        <v>438.29500000000002</v>
      </c>
      <c r="S136" s="17">
        <v>417.17599999999999</v>
      </c>
      <c r="T136" s="17">
        <v>399.19799999999998</v>
      </c>
      <c r="U136" s="17">
        <v>400.23099999999999</v>
      </c>
      <c r="V136" s="17">
        <v>411.08300000000003</v>
      </c>
      <c r="W136" s="17">
        <v>422.16</v>
      </c>
      <c r="X136" s="17">
        <v>450.80799999999999</v>
      </c>
      <c r="Y136" s="17">
        <v>525.01700000000005</v>
      </c>
      <c r="Z136" s="17">
        <v>466.00400000000002</v>
      </c>
      <c r="AA136" s="17">
        <v>425.952</v>
      </c>
      <c r="AB136" s="17"/>
      <c r="AC136" s="17"/>
      <c r="AD136" s="26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>
        <v>398.88900000000001</v>
      </c>
      <c r="AO136" s="17">
        <v>415.57</v>
      </c>
      <c r="AP136" s="17"/>
      <c r="AQ136" s="17">
        <v>398.25799999999998</v>
      </c>
      <c r="AR136" s="17"/>
      <c r="AS136" s="17"/>
      <c r="AT136" s="17"/>
      <c r="AU136" s="17"/>
      <c r="AV136" s="17"/>
      <c r="AW136" s="17">
        <v>484.84199999999998</v>
      </c>
    </row>
    <row r="137" spans="1:49" x14ac:dyDescent="0.35">
      <c r="A137" s="3">
        <f t="shared" si="31"/>
        <v>120</v>
      </c>
      <c r="B137" s="17"/>
      <c r="C137" s="17"/>
      <c r="D137" s="17">
        <v>427.29300000000001</v>
      </c>
      <c r="E137" s="17">
        <v>447.34300000000002</v>
      </c>
      <c r="F137" s="17">
        <v>427.95400000000001</v>
      </c>
      <c r="G137" s="17">
        <v>405.94099999999997</v>
      </c>
      <c r="H137" s="17"/>
      <c r="I137" s="17"/>
      <c r="J137" s="17">
        <v>404.59300000000002</v>
      </c>
      <c r="K137" s="23"/>
      <c r="L137" s="17">
        <v>535.19399999999996</v>
      </c>
      <c r="M137" s="17">
        <v>419.05</v>
      </c>
      <c r="N137" s="17">
        <v>457.52499999999998</v>
      </c>
      <c r="O137" s="17">
        <v>437.51400000000001</v>
      </c>
      <c r="P137" s="17">
        <v>409.05399999999997</v>
      </c>
      <c r="Q137" s="17">
        <v>414.46899999999999</v>
      </c>
      <c r="R137" s="17">
        <v>437.38499999999999</v>
      </c>
      <c r="S137" s="17">
        <v>418.74200000000002</v>
      </c>
      <c r="T137" s="17">
        <v>399.27699999999999</v>
      </c>
      <c r="U137" s="17">
        <v>399.48099999999999</v>
      </c>
      <c r="V137" s="17">
        <v>410.32600000000002</v>
      </c>
      <c r="W137" s="17">
        <v>421.29599999999999</v>
      </c>
      <c r="X137" s="17">
        <v>449.57499999999999</v>
      </c>
      <c r="Y137" s="17">
        <v>525.34</v>
      </c>
      <c r="Z137" s="17">
        <v>465.654</v>
      </c>
      <c r="AA137" s="17">
        <v>428.12599999999998</v>
      </c>
      <c r="AB137" s="17"/>
      <c r="AC137" s="17"/>
      <c r="AD137" s="26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>
        <v>397.88900000000001</v>
      </c>
      <c r="AO137" s="17">
        <v>414.017</v>
      </c>
      <c r="AP137" s="17"/>
      <c r="AQ137" s="17">
        <v>397.233</v>
      </c>
      <c r="AR137" s="17"/>
      <c r="AS137" s="17"/>
      <c r="AT137" s="17"/>
      <c r="AU137" s="17"/>
      <c r="AV137" s="17"/>
      <c r="AW137" s="17">
        <v>484.041</v>
      </c>
    </row>
    <row r="138" spans="1:49" x14ac:dyDescent="0.35">
      <c r="A138" s="3">
        <f t="shared" si="31"/>
        <v>121</v>
      </c>
      <c r="B138" s="17"/>
      <c r="C138" s="17"/>
      <c r="D138" s="17">
        <v>427.76900000000001</v>
      </c>
      <c r="E138" s="17">
        <v>446.38799999999998</v>
      </c>
      <c r="F138" s="17">
        <v>427.512</v>
      </c>
      <c r="G138" s="17">
        <v>405.84199999999998</v>
      </c>
      <c r="H138" s="17"/>
      <c r="I138" s="17"/>
      <c r="J138" s="17">
        <v>404.38799999999998</v>
      </c>
      <c r="K138" s="23"/>
      <c r="L138" s="17">
        <v>535.19799999999998</v>
      </c>
      <c r="M138" s="17">
        <v>419.91300000000001</v>
      </c>
      <c r="N138" s="17">
        <v>458.30799999999999</v>
      </c>
      <c r="O138" s="17">
        <v>439.05099999999999</v>
      </c>
      <c r="P138" s="17">
        <v>407.47399999999999</v>
      </c>
      <c r="Q138" s="17">
        <v>413.88600000000002</v>
      </c>
      <c r="R138" s="17">
        <v>437.86700000000002</v>
      </c>
      <c r="S138" s="17">
        <v>417.351</v>
      </c>
      <c r="T138" s="17">
        <v>401.01</v>
      </c>
      <c r="U138" s="17">
        <v>400.65899999999999</v>
      </c>
      <c r="V138" s="17">
        <v>410.16500000000002</v>
      </c>
      <c r="W138" s="17">
        <v>422.58600000000001</v>
      </c>
      <c r="X138" s="17">
        <v>450.24200000000002</v>
      </c>
      <c r="Y138" s="17">
        <v>525.19000000000005</v>
      </c>
      <c r="Z138" s="17">
        <v>467.54300000000001</v>
      </c>
      <c r="AA138" s="17">
        <v>426.43299999999999</v>
      </c>
      <c r="AB138" s="17"/>
      <c r="AC138" s="17"/>
      <c r="AD138" s="26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>
        <v>398.94099999999997</v>
      </c>
      <c r="AO138" s="17">
        <v>415.00200000000001</v>
      </c>
      <c r="AP138" s="17"/>
      <c r="AQ138" s="17">
        <v>398.20100000000002</v>
      </c>
      <c r="AR138" s="17"/>
      <c r="AS138" s="17"/>
      <c r="AT138" s="17"/>
      <c r="AU138" s="17"/>
      <c r="AV138" s="17"/>
      <c r="AW138" s="17">
        <v>484.04599999999999</v>
      </c>
    </row>
    <row r="139" spans="1:49" x14ac:dyDescent="0.35">
      <c r="A139" s="3">
        <f t="shared" si="31"/>
        <v>122</v>
      </c>
      <c r="B139" s="17"/>
      <c r="C139" s="17"/>
      <c r="D139" s="17">
        <v>427.21499999999997</v>
      </c>
      <c r="E139" s="17">
        <v>448.02600000000001</v>
      </c>
      <c r="F139" s="17">
        <v>428.45100000000002</v>
      </c>
      <c r="G139" s="17">
        <v>403.89100000000002</v>
      </c>
      <c r="H139" s="17"/>
      <c r="I139" s="17"/>
      <c r="J139" s="17">
        <v>402.95299999999997</v>
      </c>
      <c r="K139" s="23"/>
      <c r="L139" s="17">
        <v>536.20600000000002</v>
      </c>
      <c r="M139" s="17">
        <v>419.72300000000001</v>
      </c>
      <c r="N139" s="17">
        <v>458.39299999999997</v>
      </c>
      <c r="O139" s="17">
        <v>438.089</v>
      </c>
      <c r="P139" s="17">
        <v>408.81</v>
      </c>
      <c r="Q139" s="17">
        <v>414.26299999999998</v>
      </c>
      <c r="R139" s="17">
        <v>438.238</v>
      </c>
      <c r="S139" s="17">
        <v>417.67500000000001</v>
      </c>
      <c r="T139" s="17">
        <v>399.851</v>
      </c>
      <c r="U139" s="17">
        <v>398.61099999999999</v>
      </c>
      <c r="V139" s="17">
        <v>409.46</v>
      </c>
      <c r="W139" s="17">
        <v>421.61900000000003</v>
      </c>
      <c r="X139" s="17">
        <v>450.53699999999998</v>
      </c>
      <c r="Y139" s="17">
        <v>524.39400000000001</v>
      </c>
      <c r="Z139" s="17">
        <v>466.49700000000001</v>
      </c>
      <c r="AA139" s="17">
        <v>426.577</v>
      </c>
      <c r="AB139" s="17"/>
      <c r="AC139" s="17"/>
      <c r="AD139" s="26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>
        <v>399.54599999999999</v>
      </c>
      <c r="AO139" s="17">
        <v>416.37700000000001</v>
      </c>
      <c r="AP139" s="17"/>
      <c r="AQ139" s="17">
        <v>398.45800000000003</v>
      </c>
      <c r="AR139" s="17"/>
      <c r="AS139" s="17"/>
      <c r="AT139" s="17"/>
      <c r="AU139" s="17"/>
      <c r="AV139" s="17"/>
      <c r="AW139" s="17">
        <v>484.47300000000001</v>
      </c>
    </row>
    <row r="140" spans="1:49" x14ac:dyDescent="0.35">
      <c r="A140" s="3">
        <f t="shared" si="31"/>
        <v>123</v>
      </c>
      <c r="B140" s="17"/>
      <c r="C140" s="17"/>
      <c r="D140" s="17">
        <v>428.77600000000001</v>
      </c>
      <c r="E140" s="17">
        <v>447.416</v>
      </c>
      <c r="F140" s="17">
        <v>428.40499999999997</v>
      </c>
      <c r="G140" s="17">
        <v>404.24799999999999</v>
      </c>
      <c r="H140" s="17"/>
      <c r="I140" s="17"/>
      <c r="J140" s="17">
        <v>403.93400000000003</v>
      </c>
      <c r="K140" s="23"/>
      <c r="L140" s="17">
        <v>535.79499999999996</v>
      </c>
      <c r="M140" s="17">
        <v>419.38499999999999</v>
      </c>
      <c r="N140" s="17">
        <v>456.36700000000002</v>
      </c>
      <c r="O140" s="17">
        <v>438.41300000000001</v>
      </c>
      <c r="P140" s="17">
        <v>407.91399999999999</v>
      </c>
      <c r="Q140" s="17">
        <v>414.86099999999999</v>
      </c>
      <c r="R140" s="17">
        <v>437.85</v>
      </c>
      <c r="S140" s="17">
        <v>416.69499999999999</v>
      </c>
      <c r="T140" s="17">
        <v>400.00299999999999</v>
      </c>
      <c r="U140" s="17">
        <v>398.858</v>
      </c>
      <c r="V140" s="17">
        <v>410.57</v>
      </c>
      <c r="W140" s="17">
        <v>421.59</v>
      </c>
      <c r="X140" s="17">
        <v>451.21</v>
      </c>
      <c r="Y140" s="17">
        <v>524.529</v>
      </c>
      <c r="Z140" s="17">
        <v>465.678</v>
      </c>
      <c r="AA140" s="17">
        <v>427.81299999999999</v>
      </c>
      <c r="AB140" s="17"/>
      <c r="AC140" s="17"/>
      <c r="AD140" s="26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>
        <v>397.53300000000002</v>
      </c>
      <c r="AO140" s="17">
        <v>414.34899999999999</v>
      </c>
      <c r="AP140" s="17"/>
      <c r="AQ140" s="17">
        <v>398.875</v>
      </c>
      <c r="AR140" s="17"/>
      <c r="AS140" s="17"/>
      <c r="AT140" s="17"/>
      <c r="AU140" s="17"/>
      <c r="AV140" s="17"/>
      <c r="AW140" s="17">
        <v>485.34199999999998</v>
      </c>
    </row>
    <row r="141" spans="1:49" x14ac:dyDescent="0.35">
      <c r="A141" s="3">
        <f t="shared" si="31"/>
        <v>124</v>
      </c>
      <c r="B141" s="17"/>
      <c r="C141" s="17"/>
      <c r="D141" s="17">
        <v>427.97300000000001</v>
      </c>
      <c r="E141" s="17">
        <v>446.60300000000001</v>
      </c>
      <c r="F141" s="17">
        <v>429.14600000000002</v>
      </c>
      <c r="G141" s="17">
        <v>406.226</v>
      </c>
      <c r="H141" s="17"/>
      <c r="I141" s="17"/>
      <c r="J141" s="17">
        <v>404.39</v>
      </c>
      <c r="K141" s="23"/>
      <c r="L141" s="17">
        <v>536.39700000000005</v>
      </c>
      <c r="M141" s="17">
        <v>419.86799999999999</v>
      </c>
      <c r="N141" s="17">
        <v>457.06099999999998</v>
      </c>
      <c r="O141" s="17">
        <v>437.90899999999999</v>
      </c>
      <c r="P141" s="17">
        <v>407.55900000000003</v>
      </c>
      <c r="Q141" s="17">
        <v>416.12400000000002</v>
      </c>
      <c r="R141" s="17">
        <v>439.28</v>
      </c>
      <c r="S141" s="17">
        <v>417.96800000000002</v>
      </c>
      <c r="T141" s="17">
        <v>399.78699999999998</v>
      </c>
      <c r="U141" s="17">
        <v>399.08199999999999</v>
      </c>
      <c r="V141" s="17">
        <v>410.77499999999998</v>
      </c>
      <c r="W141" s="17">
        <v>424.07100000000003</v>
      </c>
      <c r="X141" s="17">
        <v>450.55</v>
      </c>
      <c r="Y141" s="17">
        <v>523.52499999999998</v>
      </c>
      <c r="Z141" s="17">
        <v>467.596</v>
      </c>
      <c r="AA141" s="17">
        <v>428.13900000000001</v>
      </c>
      <c r="AB141" s="17"/>
      <c r="AC141" s="17"/>
      <c r="AD141" s="26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>
        <v>398.09300000000002</v>
      </c>
      <c r="AO141" s="17">
        <v>416.77499999999998</v>
      </c>
      <c r="AP141" s="17"/>
      <c r="AQ141" s="17">
        <v>398.43900000000002</v>
      </c>
      <c r="AR141" s="17"/>
      <c r="AS141" s="17"/>
      <c r="AT141" s="17"/>
      <c r="AU141" s="17"/>
      <c r="AV141" s="17"/>
      <c r="AW141" s="17">
        <v>485.13900000000001</v>
      </c>
    </row>
    <row r="142" spans="1:49" x14ac:dyDescent="0.35">
      <c r="A142" s="3">
        <f t="shared" si="31"/>
        <v>125</v>
      </c>
      <c r="B142" s="17"/>
      <c r="C142" s="17"/>
      <c r="D142" s="17">
        <v>428.62299999999999</v>
      </c>
      <c r="E142" s="17">
        <v>448.05700000000002</v>
      </c>
      <c r="F142" s="17">
        <v>427.71600000000001</v>
      </c>
      <c r="G142" s="17">
        <v>404.56700000000001</v>
      </c>
      <c r="H142" s="17"/>
      <c r="I142" s="17"/>
      <c r="J142" s="17">
        <v>404.67200000000003</v>
      </c>
      <c r="K142" s="23"/>
      <c r="L142" s="17">
        <v>537.65499999999997</v>
      </c>
      <c r="M142" s="17">
        <v>419.81</v>
      </c>
      <c r="N142" s="17">
        <v>456.67200000000003</v>
      </c>
      <c r="O142" s="17">
        <v>437.99700000000001</v>
      </c>
      <c r="P142" s="17">
        <v>407.41500000000002</v>
      </c>
      <c r="Q142" s="17">
        <v>415.339</v>
      </c>
      <c r="R142" s="17">
        <v>439.16500000000002</v>
      </c>
      <c r="S142" s="17">
        <v>418.67399999999998</v>
      </c>
      <c r="T142" s="17">
        <v>400.22300000000001</v>
      </c>
      <c r="U142" s="17">
        <v>400.27499999999998</v>
      </c>
      <c r="V142" s="17">
        <v>410.54399999999998</v>
      </c>
      <c r="W142" s="17">
        <v>421.68400000000003</v>
      </c>
      <c r="X142" s="17">
        <v>451.8</v>
      </c>
      <c r="Y142" s="17">
        <v>525.495</v>
      </c>
      <c r="Z142" s="17">
        <v>466.03500000000003</v>
      </c>
      <c r="AA142" s="17">
        <v>425.98099999999999</v>
      </c>
      <c r="AB142" s="17"/>
      <c r="AC142" s="17"/>
      <c r="AD142" s="26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>
        <v>398.31</v>
      </c>
      <c r="AO142" s="17">
        <v>416.03899999999999</v>
      </c>
      <c r="AP142" s="17"/>
      <c r="AQ142" s="17">
        <v>397.88900000000001</v>
      </c>
      <c r="AR142" s="17"/>
      <c r="AS142" s="17"/>
      <c r="AT142" s="17"/>
      <c r="AU142" s="17"/>
      <c r="AV142" s="17"/>
      <c r="AW142" s="17">
        <v>484.77100000000002</v>
      </c>
    </row>
    <row r="143" spans="1:49" x14ac:dyDescent="0.35">
      <c r="A143" s="3">
        <f t="shared" si="31"/>
        <v>126</v>
      </c>
      <c r="B143" s="17"/>
      <c r="C143" s="17"/>
      <c r="D143" s="17">
        <v>429.83</v>
      </c>
      <c r="E143" s="17">
        <v>447.48500000000001</v>
      </c>
      <c r="F143" s="17">
        <v>429.50099999999998</v>
      </c>
      <c r="G143" s="17">
        <v>405.87799999999999</v>
      </c>
      <c r="H143" s="17"/>
      <c r="I143" s="17"/>
      <c r="J143" s="17">
        <v>404.58499999999998</v>
      </c>
      <c r="K143" s="23"/>
      <c r="L143" s="17">
        <v>535.88800000000003</v>
      </c>
      <c r="M143" s="17">
        <v>420.36900000000003</v>
      </c>
      <c r="N143" s="17">
        <v>457.62099999999998</v>
      </c>
      <c r="O143" s="17">
        <v>437.41399999999999</v>
      </c>
      <c r="P143" s="17">
        <v>409.90800000000002</v>
      </c>
      <c r="Q143" s="17">
        <v>413.31799999999998</v>
      </c>
      <c r="R143" s="17">
        <v>439.35199999999998</v>
      </c>
      <c r="S143" s="17">
        <v>418.28</v>
      </c>
      <c r="T143" s="17">
        <v>400.21499999999997</v>
      </c>
      <c r="U143" s="17">
        <v>400.916</v>
      </c>
      <c r="V143" s="17">
        <v>409.036</v>
      </c>
      <c r="W143" s="17">
        <v>423.24799999999999</v>
      </c>
      <c r="X143" s="17">
        <v>451.154</v>
      </c>
      <c r="Y143" s="17">
        <v>524.68499999999995</v>
      </c>
      <c r="Z143" s="17">
        <v>466.68400000000003</v>
      </c>
      <c r="AA143" s="17">
        <v>428.488</v>
      </c>
      <c r="AB143" s="17"/>
      <c r="AC143" s="17"/>
      <c r="AD143" s="26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>
        <v>398.40899999999999</v>
      </c>
      <c r="AO143" s="17">
        <v>415.423</v>
      </c>
      <c r="AP143" s="17"/>
      <c r="AQ143" s="17">
        <v>399.81</v>
      </c>
      <c r="AR143" s="17"/>
      <c r="AS143" s="17"/>
      <c r="AT143" s="17"/>
      <c r="AU143" s="17"/>
      <c r="AV143" s="17"/>
      <c r="AW143" s="17">
        <v>484.45</v>
      </c>
    </row>
    <row r="144" spans="1:49" x14ac:dyDescent="0.35">
      <c r="A144" s="3">
        <f t="shared" si="31"/>
        <v>127</v>
      </c>
      <c r="B144" s="17"/>
      <c r="C144" s="17"/>
      <c r="D144" s="17">
        <v>428.89100000000002</v>
      </c>
      <c r="E144" s="17">
        <v>448.14600000000002</v>
      </c>
      <c r="F144" s="17">
        <v>428.63200000000001</v>
      </c>
      <c r="G144" s="17">
        <v>406.346</v>
      </c>
      <c r="H144" s="17"/>
      <c r="I144" s="17"/>
      <c r="J144" s="17">
        <v>405.71199999999999</v>
      </c>
      <c r="K144" s="23"/>
      <c r="L144" s="17">
        <v>537.63199999999995</v>
      </c>
      <c r="M144" s="17">
        <v>420.267</v>
      </c>
      <c r="N144" s="17">
        <v>456.86799999999999</v>
      </c>
      <c r="O144" s="17">
        <v>438.89299999999997</v>
      </c>
      <c r="P144" s="17">
        <v>408.45100000000002</v>
      </c>
      <c r="Q144" s="17">
        <v>415.798</v>
      </c>
      <c r="R144" s="17">
        <v>438.738</v>
      </c>
      <c r="S144" s="17">
        <v>417.75700000000001</v>
      </c>
      <c r="T144" s="17">
        <v>399.68799999999999</v>
      </c>
      <c r="U144" s="17">
        <v>399.95800000000003</v>
      </c>
      <c r="V144" s="17">
        <v>408.56900000000002</v>
      </c>
      <c r="W144" s="17">
        <v>424.22199999999998</v>
      </c>
      <c r="X144" s="17">
        <v>450.35500000000002</v>
      </c>
      <c r="Y144" s="17">
        <v>526.11300000000006</v>
      </c>
      <c r="Z144" s="17">
        <v>467.11900000000003</v>
      </c>
      <c r="AA144" s="17">
        <v>426.28300000000002</v>
      </c>
      <c r="AB144" s="17"/>
      <c r="AC144" s="17"/>
      <c r="AD144" s="26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>
        <v>398.57400000000001</v>
      </c>
      <c r="AO144" s="17">
        <v>414.95299999999997</v>
      </c>
      <c r="AP144" s="17"/>
      <c r="AQ144" s="17">
        <v>399.71199999999999</v>
      </c>
      <c r="AR144" s="17"/>
      <c r="AS144" s="17"/>
      <c r="AT144" s="17"/>
      <c r="AU144" s="17"/>
      <c r="AV144" s="17"/>
      <c r="AW144" s="17">
        <v>484.05099999999999</v>
      </c>
    </row>
    <row r="145" spans="1:49" x14ac:dyDescent="0.35">
      <c r="A145" s="3">
        <f t="shared" si="31"/>
        <v>128</v>
      </c>
      <c r="B145" s="17"/>
      <c r="C145" s="17"/>
      <c r="D145" s="17">
        <v>429.11599999999999</v>
      </c>
      <c r="E145" s="17">
        <v>447.93900000000002</v>
      </c>
      <c r="F145" s="17">
        <v>429.03</v>
      </c>
      <c r="G145" s="17">
        <v>405.30399999999997</v>
      </c>
      <c r="H145" s="17"/>
      <c r="I145" s="17"/>
      <c r="J145" s="17">
        <v>404.09800000000001</v>
      </c>
      <c r="K145" s="23"/>
      <c r="L145" s="17">
        <v>537.86800000000005</v>
      </c>
      <c r="M145" s="17">
        <v>421.05399999999997</v>
      </c>
      <c r="N145" s="17">
        <v>455.36599999999999</v>
      </c>
      <c r="O145" s="17">
        <v>438.745</v>
      </c>
      <c r="P145" s="17">
        <v>408.47</v>
      </c>
      <c r="Q145" s="17">
        <v>415.22800000000001</v>
      </c>
      <c r="R145" s="17">
        <v>438.27100000000002</v>
      </c>
      <c r="S145" s="17">
        <v>417.995</v>
      </c>
      <c r="T145" s="17">
        <v>400.98</v>
      </c>
      <c r="U145" s="17">
        <v>400.22</v>
      </c>
      <c r="V145" s="17">
        <v>409.46899999999999</v>
      </c>
      <c r="W145" s="17">
        <v>423.96199999999999</v>
      </c>
      <c r="X145" s="17">
        <v>450.911</v>
      </c>
      <c r="Y145" s="17">
        <v>526.14300000000003</v>
      </c>
      <c r="Z145" s="17">
        <v>467.339</v>
      </c>
      <c r="AA145" s="17">
        <v>427.62599999999998</v>
      </c>
      <c r="AB145" s="17"/>
      <c r="AC145" s="17"/>
      <c r="AD145" s="26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>
        <v>399.28899999999999</v>
      </c>
      <c r="AO145" s="17">
        <v>415.96800000000002</v>
      </c>
      <c r="AP145" s="17"/>
      <c r="AQ145" s="17">
        <v>397.97500000000002</v>
      </c>
      <c r="AR145" s="17"/>
      <c r="AS145" s="17"/>
      <c r="AT145" s="17"/>
      <c r="AU145" s="17"/>
      <c r="AV145" s="17"/>
      <c r="AW145" s="17">
        <v>483.76100000000002</v>
      </c>
    </row>
    <row r="146" spans="1:49" x14ac:dyDescent="0.35">
      <c r="A146" s="3">
        <f t="shared" si="31"/>
        <v>129</v>
      </c>
      <c r="B146" s="17"/>
      <c r="C146" s="17"/>
      <c r="D146" s="17">
        <v>429.96899999999999</v>
      </c>
      <c r="E146" s="17">
        <v>448.44600000000003</v>
      </c>
      <c r="F146" s="17">
        <v>428.95499999999998</v>
      </c>
      <c r="G146" s="17">
        <v>405.43299999999999</v>
      </c>
      <c r="H146" s="17"/>
      <c r="I146" s="17"/>
      <c r="J146" s="17">
        <v>405.39400000000001</v>
      </c>
      <c r="K146" s="23"/>
      <c r="L146" s="17">
        <v>537.39300000000003</v>
      </c>
      <c r="M146" s="17">
        <v>420.57299999999998</v>
      </c>
      <c r="N146" s="17">
        <v>456.90100000000001</v>
      </c>
      <c r="O146" s="17">
        <v>438.49799999999999</v>
      </c>
      <c r="P146" s="17">
        <v>407.59399999999999</v>
      </c>
      <c r="Q146" s="17">
        <v>417.108</v>
      </c>
      <c r="R146" s="17">
        <v>438.548</v>
      </c>
      <c r="S146" s="17">
        <v>419.53899999999999</v>
      </c>
      <c r="T146" s="17">
        <v>400.62700000000001</v>
      </c>
      <c r="U146" s="17">
        <v>399.34699999999998</v>
      </c>
      <c r="V146" s="17">
        <v>408.98599999999999</v>
      </c>
      <c r="W146" s="17">
        <v>422.93</v>
      </c>
      <c r="X146" s="17">
        <v>450.762</v>
      </c>
      <c r="Y146" s="17">
        <v>526.25599999999997</v>
      </c>
      <c r="Z146" s="17">
        <v>467.93</v>
      </c>
      <c r="AA146" s="17">
        <v>427.60899999999998</v>
      </c>
      <c r="AB146" s="17"/>
      <c r="AC146" s="17"/>
      <c r="AD146" s="26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>
        <v>398.85300000000001</v>
      </c>
      <c r="AO146" s="17">
        <v>414.58699999999999</v>
      </c>
      <c r="AP146" s="17"/>
      <c r="AQ146" s="17">
        <v>398.96100000000001</v>
      </c>
      <c r="AR146" s="17"/>
      <c r="AS146" s="17"/>
      <c r="AT146" s="17"/>
      <c r="AU146" s="17"/>
      <c r="AV146" s="17"/>
      <c r="AW146" s="17">
        <v>484.56900000000002</v>
      </c>
    </row>
    <row r="147" spans="1:49" x14ac:dyDescent="0.35">
      <c r="A147" s="3">
        <f t="shared" si="31"/>
        <v>130</v>
      </c>
      <c r="B147" s="17"/>
      <c r="C147" s="17"/>
      <c r="D147" s="17">
        <v>429.68799999999999</v>
      </c>
      <c r="E147" s="17">
        <v>448.28699999999998</v>
      </c>
      <c r="F147" s="17">
        <v>429.2</v>
      </c>
      <c r="G147" s="17">
        <v>404.98599999999999</v>
      </c>
      <c r="H147" s="17"/>
      <c r="I147" s="17"/>
      <c r="J147" s="17">
        <v>404.92</v>
      </c>
      <c r="K147" s="23"/>
      <c r="L147" s="17">
        <v>536.846</v>
      </c>
      <c r="M147" s="17">
        <v>420.81400000000002</v>
      </c>
      <c r="N147" s="17">
        <v>457.09100000000001</v>
      </c>
      <c r="O147" s="17">
        <v>438.464</v>
      </c>
      <c r="P147" s="17">
        <v>407.64299999999997</v>
      </c>
      <c r="Q147" s="17">
        <v>416.58300000000003</v>
      </c>
      <c r="R147" s="17">
        <v>438.59199999999998</v>
      </c>
      <c r="S147" s="17">
        <v>418.26299999999998</v>
      </c>
      <c r="T147" s="17">
        <v>400.38299999999998</v>
      </c>
      <c r="U147" s="17">
        <v>400.61799999999999</v>
      </c>
      <c r="V147" s="17">
        <v>408.34699999999998</v>
      </c>
      <c r="W147" s="17">
        <v>423.04500000000002</v>
      </c>
      <c r="X147" s="17">
        <v>450.24</v>
      </c>
      <c r="Y147" s="17">
        <v>528.42499999999995</v>
      </c>
      <c r="Z147" s="17">
        <v>467.87799999999999</v>
      </c>
      <c r="AA147" s="17">
        <v>428.83100000000002</v>
      </c>
      <c r="AB147" s="17"/>
      <c r="AC147" s="17"/>
      <c r="AD147" s="26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>
        <v>398.20600000000002</v>
      </c>
      <c r="AO147" s="17">
        <v>417.82499999999999</v>
      </c>
      <c r="AP147" s="17"/>
      <c r="AQ147" s="17">
        <v>397.49299999999999</v>
      </c>
      <c r="AR147" s="17"/>
      <c r="AS147" s="17"/>
      <c r="AT147" s="17"/>
      <c r="AU147" s="17"/>
      <c r="AV147" s="17"/>
      <c r="AW147" s="17">
        <v>484.50599999999997</v>
      </c>
    </row>
    <row r="148" spans="1:49" x14ac:dyDescent="0.35">
      <c r="A148" s="3">
        <f t="shared" si="31"/>
        <v>131</v>
      </c>
      <c r="B148" s="17"/>
      <c r="C148" s="17"/>
      <c r="D148" s="17">
        <v>430.36099999999999</v>
      </c>
      <c r="E148" s="17">
        <v>447.49700000000001</v>
      </c>
      <c r="F148" s="17">
        <v>429.31700000000001</v>
      </c>
      <c r="G148" s="17">
        <v>405.73200000000003</v>
      </c>
      <c r="H148" s="17"/>
      <c r="I148" s="17"/>
      <c r="J148" s="17">
        <v>405.649</v>
      </c>
      <c r="K148" s="23"/>
      <c r="L148" s="17">
        <v>537.98800000000006</v>
      </c>
      <c r="M148" s="17">
        <v>421.733</v>
      </c>
      <c r="N148" s="17">
        <v>456.07400000000001</v>
      </c>
      <c r="O148" s="17">
        <v>437.678</v>
      </c>
      <c r="P148" s="17">
        <v>409.28300000000002</v>
      </c>
      <c r="Q148" s="17">
        <v>416.89699999999999</v>
      </c>
      <c r="R148" s="17">
        <v>440.375</v>
      </c>
      <c r="S148" s="17">
        <v>418.78399999999999</v>
      </c>
      <c r="T148" s="17">
        <v>400.07400000000001</v>
      </c>
      <c r="U148" s="17">
        <v>400.02100000000002</v>
      </c>
      <c r="V148" s="17">
        <v>407.35199999999998</v>
      </c>
      <c r="W148" s="17">
        <v>423.29700000000003</v>
      </c>
      <c r="X148" s="17">
        <v>451.83600000000001</v>
      </c>
      <c r="Y148" s="17">
        <v>528.24199999999996</v>
      </c>
      <c r="Z148" s="17">
        <v>465.81</v>
      </c>
      <c r="AA148" s="17">
        <v>426.83499999999998</v>
      </c>
      <c r="AB148" s="17"/>
      <c r="AC148" s="17"/>
      <c r="AD148" s="26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>
        <v>398.92099999999999</v>
      </c>
      <c r="AO148" s="17">
        <v>416.70699999999999</v>
      </c>
      <c r="AP148" s="17"/>
      <c r="AQ148" s="17">
        <v>398.01900000000001</v>
      </c>
      <c r="AR148" s="17"/>
      <c r="AS148" s="17"/>
      <c r="AT148" s="17"/>
      <c r="AU148" s="17"/>
      <c r="AV148" s="17"/>
      <c r="AW148" s="17">
        <v>484.34100000000001</v>
      </c>
    </row>
    <row r="149" spans="1:49" x14ac:dyDescent="0.35">
      <c r="A149" s="3">
        <f t="shared" si="31"/>
        <v>132</v>
      </c>
      <c r="B149" s="17"/>
      <c r="C149" s="17"/>
      <c r="D149" s="17">
        <v>429.822</v>
      </c>
      <c r="E149" s="17">
        <v>447.42500000000001</v>
      </c>
      <c r="F149" s="17">
        <v>428.69</v>
      </c>
      <c r="G149" s="17">
        <v>405.46800000000002</v>
      </c>
      <c r="H149" s="17"/>
      <c r="I149" s="17"/>
      <c r="J149" s="17">
        <v>405.55599999999998</v>
      </c>
      <c r="K149" s="23"/>
      <c r="L149" s="17">
        <v>538.31899999999996</v>
      </c>
      <c r="M149" s="17">
        <v>420.93400000000003</v>
      </c>
      <c r="N149" s="17">
        <v>455.58499999999998</v>
      </c>
      <c r="O149" s="17">
        <v>437.98</v>
      </c>
      <c r="P149" s="17">
        <v>408.45</v>
      </c>
      <c r="Q149" s="17">
        <v>416.584</v>
      </c>
      <c r="R149" s="17">
        <v>439.096</v>
      </c>
      <c r="S149" s="17">
        <v>418.98599999999999</v>
      </c>
      <c r="T149" s="17">
        <v>400.75799999999998</v>
      </c>
      <c r="U149" s="17">
        <v>399.92899999999997</v>
      </c>
      <c r="V149" s="17">
        <v>407.738</v>
      </c>
      <c r="W149" s="17">
        <v>424.10599999999999</v>
      </c>
      <c r="X149" s="17">
        <v>452.99700000000001</v>
      </c>
      <c r="Y149" s="17">
        <v>529.11500000000001</v>
      </c>
      <c r="Z149" s="17">
        <v>466.69299999999998</v>
      </c>
      <c r="AA149" s="17">
        <v>428.82100000000003</v>
      </c>
      <c r="AB149" s="17"/>
      <c r="AC149" s="17"/>
      <c r="AD149" s="26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>
        <v>398.93</v>
      </c>
      <c r="AO149" s="17">
        <v>415.67099999999999</v>
      </c>
      <c r="AP149" s="17"/>
      <c r="AQ149" s="17">
        <v>398.73500000000001</v>
      </c>
      <c r="AR149" s="17"/>
      <c r="AS149" s="17"/>
      <c r="AT149" s="17"/>
      <c r="AU149" s="17"/>
      <c r="AV149" s="17"/>
      <c r="AW149" s="17">
        <v>484.50799999999998</v>
      </c>
    </row>
    <row r="150" spans="1:49" x14ac:dyDescent="0.35">
      <c r="A150" s="3">
        <f t="shared" si="31"/>
        <v>133</v>
      </c>
      <c r="B150" s="17"/>
      <c r="C150" s="17"/>
      <c r="D150" s="17">
        <v>429.12599999999998</v>
      </c>
      <c r="E150" s="17">
        <v>448.512</v>
      </c>
      <c r="F150" s="17">
        <v>428.84800000000001</v>
      </c>
      <c r="G150" s="17">
        <v>405.245</v>
      </c>
      <c r="H150" s="17"/>
      <c r="I150" s="17"/>
      <c r="J150" s="17">
        <v>404.64499999999998</v>
      </c>
      <c r="K150" s="23"/>
      <c r="L150" s="17">
        <v>538.53399999999999</v>
      </c>
      <c r="M150" s="17">
        <v>420.96199999999999</v>
      </c>
      <c r="N150" s="17">
        <v>457.41500000000002</v>
      </c>
      <c r="O150" s="17">
        <v>438.13299999999998</v>
      </c>
      <c r="P150" s="17">
        <v>407.79599999999999</v>
      </c>
      <c r="Q150" s="17">
        <v>416.30599999999998</v>
      </c>
      <c r="R150" s="17">
        <v>439.31400000000002</v>
      </c>
      <c r="S150" s="17">
        <v>419.00299999999999</v>
      </c>
      <c r="T150" s="17">
        <v>402.06400000000002</v>
      </c>
      <c r="U150" s="17">
        <v>400.45400000000001</v>
      </c>
      <c r="V150" s="17">
        <v>406.93900000000002</v>
      </c>
      <c r="W150" s="17">
        <v>423.86900000000003</v>
      </c>
      <c r="X150" s="17">
        <v>452.315</v>
      </c>
      <c r="Y150" s="17">
        <v>529.524</v>
      </c>
      <c r="Z150" s="17">
        <v>466.50799999999998</v>
      </c>
      <c r="AA150" s="17">
        <v>426.85899999999998</v>
      </c>
      <c r="AB150" s="17"/>
      <c r="AC150" s="17"/>
      <c r="AD150" s="26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>
        <v>399.29</v>
      </c>
      <c r="AO150" s="17">
        <v>415.19200000000001</v>
      </c>
      <c r="AP150" s="17"/>
      <c r="AQ150" s="17">
        <v>398.01799999999997</v>
      </c>
      <c r="AR150" s="17"/>
      <c r="AS150" s="17"/>
      <c r="AT150" s="17"/>
      <c r="AU150" s="17"/>
      <c r="AV150" s="17"/>
      <c r="AW150" s="17">
        <v>485.50099999999998</v>
      </c>
    </row>
    <row r="151" spans="1:49" x14ac:dyDescent="0.35">
      <c r="A151" s="3">
        <f t="shared" si="31"/>
        <v>134</v>
      </c>
      <c r="B151" s="17"/>
      <c r="C151" s="17"/>
      <c r="D151" s="17">
        <v>428.85500000000002</v>
      </c>
      <c r="E151" s="17">
        <v>448.03699999999998</v>
      </c>
      <c r="F151" s="17">
        <v>430.82100000000003</v>
      </c>
      <c r="G151" s="17">
        <v>405.15199999999999</v>
      </c>
      <c r="H151" s="17"/>
      <c r="I151" s="17"/>
      <c r="J151" s="17">
        <v>407.19799999999998</v>
      </c>
      <c r="K151" s="23"/>
      <c r="L151" s="17">
        <v>540.005</v>
      </c>
      <c r="M151" s="17">
        <v>421.74299999999999</v>
      </c>
      <c r="N151" s="17">
        <v>456.81</v>
      </c>
      <c r="O151" s="17">
        <v>437.54199999999997</v>
      </c>
      <c r="P151" s="17">
        <v>407.84699999999998</v>
      </c>
      <c r="Q151" s="17">
        <v>416.738</v>
      </c>
      <c r="R151" s="17">
        <v>439.27</v>
      </c>
      <c r="S151" s="17">
        <v>419.20400000000001</v>
      </c>
      <c r="T151" s="17">
        <v>400.24700000000001</v>
      </c>
      <c r="U151" s="17">
        <v>400.976</v>
      </c>
      <c r="V151" s="17">
        <v>407.86700000000002</v>
      </c>
      <c r="W151" s="17">
        <v>426.34899999999999</v>
      </c>
      <c r="X151" s="17">
        <v>451.077</v>
      </c>
      <c r="Y151" s="17">
        <v>530.15499999999997</v>
      </c>
      <c r="Z151" s="17">
        <v>466.858</v>
      </c>
      <c r="AA151" s="17">
        <v>427.65899999999999</v>
      </c>
      <c r="AB151" s="17"/>
      <c r="AC151" s="17"/>
      <c r="AD151" s="26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>
        <v>397.80500000000001</v>
      </c>
      <c r="AO151" s="17">
        <v>416.67</v>
      </c>
      <c r="AP151" s="17"/>
      <c r="AQ151" s="17">
        <v>398.90600000000001</v>
      </c>
      <c r="AR151" s="17"/>
      <c r="AS151" s="17"/>
      <c r="AT151" s="17"/>
      <c r="AU151" s="17"/>
      <c r="AV151" s="17"/>
      <c r="AW151" s="17">
        <v>483.94</v>
      </c>
    </row>
    <row r="152" spans="1:49" x14ac:dyDescent="0.35">
      <c r="A152" s="3">
        <f t="shared" si="31"/>
        <v>135</v>
      </c>
      <c r="B152" s="17"/>
      <c r="C152" s="17"/>
      <c r="D152" s="17">
        <v>429.32</v>
      </c>
      <c r="E152" s="17">
        <v>448.14600000000002</v>
      </c>
      <c r="F152" s="17">
        <v>428.24</v>
      </c>
      <c r="G152" s="17">
        <v>405.59399999999999</v>
      </c>
      <c r="H152" s="17"/>
      <c r="I152" s="17"/>
      <c r="J152" s="17">
        <v>406.34399999999999</v>
      </c>
      <c r="K152" s="23"/>
      <c r="L152" s="17">
        <v>539.74599999999998</v>
      </c>
      <c r="M152" s="17">
        <v>422.88</v>
      </c>
      <c r="N152" s="17">
        <v>457.267</v>
      </c>
      <c r="O152" s="17">
        <v>438.08300000000003</v>
      </c>
      <c r="P152" s="17">
        <v>407.92899999999997</v>
      </c>
      <c r="Q152" s="17">
        <v>418.31900000000002</v>
      </c>
      <c r="R152" s="17">
        <v>439.13299999999998</v>
      </c>
      <c r="S152" s="17">
        <v>419.81200000000001</v>
      </c>
      <c r="T152" s="17">
        <v>401.75</v>
      </c>
      <c r="U152" s="17">
        <v>400.61900000000003</v>
      </c>
      <c r="V152" s="17">
        <v>407.46600000000001</v>
      </c>
      <c r="W152" s="17">
        <v>425.524</v>
      </c>
      <c r="X152" s="17">
        <v>452.33300000000003</v>
      </c>
      <c r="Y152" s="17">
        <v>529.49099999999999</v>
      </c>
      <c r="Z152" s="17">
        <v>466.31599999999997</v>
      </c>
      <c r="AA152" s="17">
        <v>429.86399999999998</v>
      </c>
      <c r="AB152" s="17"/>
      <c r="AC152" s="17"/>
      <c r="AD152" s="26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>
        <v>399.23700000000002</v>
      </c>
      <c r="AO152" s="17">
        <v>416.351</v>
      </c>
      <c r="AP152" s="17"/>
      <c r="AQ152" s="17">
        <v>399.05799999999999</v>
      </c>
      <c r="AR152" s="17"/>
      <c r="AS152" s="17"/>
      <c r="AT152" s="17"/>
      <c r="AU152" s="17"/>
      <c r="AV152" s="17"/>
      <c r="AW152" s="17">
        <v>484.29199999999997</v>
      </c>
    </row>
    <row r="153" spans="1:49" x14ac:dyDescent="0.35">
      <c r="A153" s="3">
        <f t="shared" si="31"/>
        <v>136</v>
      </c>
      <c r="B153" s="17"/>
      <c r="C153" s="17"/>
      <c r="D153" s="17">
        <v>429.82100000000003</v>
      </c>
      <c r="E153" s="17">
        <v>447.28699999999998</v>
      </c>
      <c r="F153" s="17">
        <v>429.83600000000001</v>
      </c>
      <c r="G153" s="17">
        <v>406.38</v>
      </c>
      <c r="H153" s="17"/>
      <c r="I153" s="17"/>
      <c r="J153" s="17">
        <v>406.54500000000002</v>
      </c>
      <c r="K153" s="23"/>
      <c r="L153" s="17">
        <v>540.17200000000003</v>
      </c>
      <c r="M153" s="17">
        <v>421.39400000000001</v>
      </c>
      <c r="N153" s="17">
        <v>458.02300000000002</v>
      </c>
      <c r="O153" s="17">
        <v>438.43799999999999</v>
      </c>
      <c r="P153" s="17">
        <v>407.97300000000001</v>
      </c>
      <c r="Q153" s="17">
        <v>418.18599999999998</v>
      </c>
      <c r="R153" s="17">
        <v>440.428</v>
      </c>
      <c r="S153" s="17">
        <v>418.30900000000003</v>
      </c>
      <c r="T153" s="17">
        <v>399.262</v>
      </c>
      <c r="U153" s="17">
        <v>400.80599999999998</v>
      </c>
      <c r="V153" s="17">
        <v>407.53800000000001</v>
      </c>
      <c r="W153" s="17">
        <v>424.97699999999998</v>
      </c>
      <c r="X153" s="17">
        <v>451.988</v>
      </c>
      <c r="Y153" s="17">
        <v>530.923</v>
      </c>
      <c r="Z153" s="17">
        <v>465.98399999999998</v>
      </c>
      <c r="AA153" s="17">
        <v>427.14499999999998</v>
      </c>
      <c r="AB153" s="17"/>
      <c r="AC153" s="17"/>
      <c r="AD153" s="26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>
        <v>398.50599999999997</v>
      </c>
      <c r="AO153" s="17">
        <v>415.60599999999999</v>
      </c>
      <c r="AP153" s="17"/>
      <c r="AQ153" s="17">
        <v>398.83600000000001</v>
      </c>
      <c r="AR153" s="17"/>
      <c r="AS153" s="17"/>
      <c r="AT153" s="17"/>
      <c r="AU153" s="17"/>
      <c r="AV153" s="17"/>
      <c r="AW153" s="17">
        <v>484.221</v>
      </c>
    </row>
    <row r="154" spans="1:49" x14ac:dyDescent="0.35">
      <c r="A154" s="3">
        <f t="shared" si="31"/>
        <v>137</v>
      </c>
      <c r="B154" s="17"/>
      <c r="C154" s="17"/>
      <c r="D154" s="17">
        <v>429.00900000000001</v>
      </c>
      <c r="E154" s="17">
        <v>448.339</v>
      </c>
      <c r="F154" s="17">
        <v>428.601</v>
      </c>
      <c r="G154" s="17">
        <v>405.57</v>
      </c>
      <c r="H154" s="17"/>
      <c r="I154" s="17"/>
      <c r="J154" s="17">
        <v>407.68400000000003</v>
      </c>
      <c r="K154" s="23"/>
      <c r="L154" s="17">
        <v>538.71699999999998</v>
      </c>
      <c r="M154" s="17">
        <v>422.25799999999998</v>
      </c>
      <c r="N154" s="17">
        <v>458.40300000000002</v>
      </c>
      <c r="O154" s="17">
        <v>438.73399999999998</v>
      </c>
      <c r="P154" s="17">
        <v>408.27800000000002</v>
      </c>
      <c r="Q154" s="17">
        <v>417.61</v>
      </c>
      <c r="R154" s="17">
        <v>438.56700000000001</v>
      </c>
      <c r="S154" s="17">
        <v>419.25400000000002</v>
      </c>
      <c r="T154" s="17">
        <v>401.14499999999998</v>
      </c>
      <c r="U154" s="17">
        <v>401.721</v>
      </c>
      <c r="V154" s="17">
        <v>404.18400000000003</v>
      </c>
      <c r="W154" s="17">
        <v>425.04700000000003</v>
      </c>
      <c r="X154" s="17">
        <v>452.77100000000002</v>
      </c>
      <c r="Y154" s="17">
        <v>530.721</v>
      </c>
      <c r="Z154" s="17">
        <v>464.26400000000001</v>
      </c>
      <c r="AA154" s="17">
        <v>428.57400000000001</v>
      </c>
      <c r="AB154" s="17"/>
      <c r="AC154" s="17"/>
      <c r="AD154" s="26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>
        <v>399.31900000000002</v>
      </c>
      <c r="AO154" s="17">
        <v>417.98899999999998</v>
      </c>
      <c r="AP154" s="17"/>
      <c r="AQ154" s="17">
        <v>399.21899999999999</v>
      </c>
      <c r="AR154" s="17"/>
      <c r="AS154" s="17"/>
      <c r="AT154" s="17"/>
      <c r="AU154" s="17"/>
      <c r="AV154" s="17"/>
      <c r="AW154" s="17">
        <v>485.52300000000002</v>
      </c>
    </row>
    <row r="155" spans="1:49" x14ac:dyDescent="0.35">
      <c r="A155" s="3">
        <f t="shared" si="31"/>
        <v>138</v>
      </c>
      <c r="B155" s="17"/>
      <c r="C155" s="17"/>
      <c r="D155" s="17">
        <v>429.46499999999997</v>
      </c>
      <c r="E155" s="17">
        <v>447.79</v>
      </c>
      <c r="F155" s="17">
        <v>430.20499999999998</v>
      </c>
      <c r="G155" s="17">
        <v>404.51799999999997</v>
      </c>
      <c r="H155" s="17"/>
      <c r="I155" s="17"/>
      <c r="J155" s="17">
        <v>408.51900000000001</v>
      </c>
      <c r="K155" s="23"/>
      <c r="L155" s="17">
        <v>540.39200000000005</v>
      </c>
      <c r="M155" s="17">
        <v>423.24400000000003</v>
      </c>
      <c r="N155" s="17">
        <v>458.39800000000002</v>
      </c>
      <c r="O155" s="17">
        <v>438.51499999999999</v>
      </c>
      <c r="P155" s="17">
        <v>408.39299999999997</v>
      </c>
      <c r="Q155" s="17">
        <v>417.03500000000003</v>
      </c>
      <c r="R155" s="17">
        <v>440.94</v>
      </c>
      <c r="S155" s="17">
        <v>418.334</v>
      </c>
      <c r="T155" s="17">
        <v>402.07</v>
      </c>
      <c r="U155" s="17">
        <v>402.36500000000001</v>
      </c>
      <c r="V155" s="17">
        <v>407.02499999999998</v>
      </c>
      <c r="W155" s="17">
        <v>425.88600000000002</v>
      </c>
      <c r="X155" s="17">
        <v>452.166</v>
      </c>
      <c r="Y155" s="17">
        <v>532.20600000000002</v>
      </c>
      <c r="Z155" s="17">
        <v>466.02499999999998</v>
      </c>
      <c r="AA155" s="17">
        <v>428.6</v>
      </c>
      <c r="AB155" s="17"/>
      <c r="AC155" s="17"/>
      <c r="AD155" s="26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>
        <v>399.35899999999998</v>
      </c>
      <c r="AO155" s="17">
        <v>417.81599999999997</v>
      </c>
      <c r="AP155" s="17"/>
      <c r="AQ155" s="17">
        <v>399.45800000000003</v>
      </c>
      <c r="AR155" s="17"/>
      <c r="AS155" s="17"/>
      <c r="AT155" s="17"/>
      <c r="AU155" s="17"/>
      <c r="AV155" s="17"/>
      <c r="AW155" s="17">
        <v>485.77300000000002</v>
      </c>
    </row>
    <row r="156" spans="1:49" x14ac:dyDescent="0.35">
      <c r="A156" s="3">
        <f t="shared" si="31"/>
        <v>139</v>
      </c>
      <c r="B156" s="17"/>
      <c r="C156" s="17"/>
      <c r="D156" s="17">
        <v>429.911</v>
      </c>
      <c r="E156" s="17">
        <v>448.29399999999998</v>
      </c>
      <c r="F156" s="17">
        <v>428.70299999999997</v>
      </c>
      <c r="G156" s="17">
        <v>405.89499999999998</v>
      </c>
      <c r="H156" s="17"/>
      <c r="I156" s="17"/>
      <c r="J156" s="17">
        <v>407.75</v>
      </c>
      <c r="K156" s="23"/>
      <c r="L156" s="17">
        <v>539.91</v>
      </c>
      <c r="M156" s="17">
        <v>424.11700000000002</v>
      </c>
      <c r="N156" s="17">
        <v>458.93799999999999</v>
      </c>
      <c r="O156" s="17">
        <v>437.75599999999997</v>
      </c>
      <c r="P156" s="17">
        <v>408.21899999999999</v>
      </c>
      <c r="Q156" s="17">
        <v>419.31299999999999</v>
      </c>
      <c r="R156" s="17">
        <v>439.85399999999998</v>
      </c>
      <c r="S156" s="17">
        <v>418.77100000000002</v>
      </c>
      <c r="T156" s="17">
        <v>402.339</v>
      </c>
      <c r="U156" s="17">
        <v>401.48399999999998</v>
      </c>
      <c r="V156" s="17">
        <v>406.75099999999998</v>
      </c>
      <c r="W156" s="17">
        <v>425.79700000000003</v>
      </c>
      <c r="X156" s="17">
        <v>450.73</v>
      </c>
      <c r="Y156" s="17">
        <v>531.13900000000001</v>
      </c>
      <c r="Z156" s="17">
        <v>465.37599999999998</v>
      </c>
      <c r="AA156" s="17">
        <v>428.24200000000002</v>
      </c>
      <c r="AB156" s="17"/>
      <c r="AC156" s="17"/>
      <c r="AD156" s="26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>
        <v>399.43200000000002</v>
      </c>
      <c r="AO156" s="17">
        <v>415.59300000000002</v>
      </c>
      <c r="AP156" s="17"/>
      <c r="AQ156" s="17">
        <v>399.779</v>
      </c>
      <c r="AR156" s="17"/>
      <c r="AS156" s="17"/>
      <c r="AT156" s="17"/>
      <c r="AU156" s="17"/>
      <c r="AV156" s="17"/>
      <c r="AW156" s="17">
        <v>484.54300000000001</v>
      </c>
    </row>
    <row r="157" spans="1:49" x14ac:dyDescent="0.35">
      <c r="A157" s="3">
        <f t="shared" si="31"/>
        <v>140</v>
      </c>
      <c r="B157" s="17"/>
      <c r="C157" s="17"/>
      <c r="D157" s="17">
        <v>431.50799999999998</v>
      </c>
      <c r="E157" s="17">
        <v>448.15</v>
      </c>
      <c r="F157" s="17">
        <v>429.01499999999999</v>
      </c>
      <c r="G157" s="17">
        <v>406.875</v>
      </c>
      <c r="H157" s="17"/>
      <c r="I157" s="17"/>
      <c r="J157" s="17">
        <v>408.17399999999998</v>
      </c>
      <c r="K157" s="23"/>
      <c r="L157" s="17">
        <v>540.26599999999996</v>
      </c>
      <c r="M157" s="17">
        <v>424.80399999999997</v>
      </c>
      <c r="N157" s="17">
        <v>459.21600000000001</v>
      </c>
      <c r="O157" s="17">
        <v>438.20400000000001</v>
      </c>
      <c r="P157" s="17">
        <v>407.31400000000002</v>
      </c>
      <c r="Q157" s="17">
        <v>420.37099999999998</v>
      </c>
      <c r="R157" s="17">
        <v>440.71600000000001</v>
      </c>
      <c r="S157" s="17">
        <v>420.79</v>
      </c>
      <c r="T157" s="17">
        <v>402.92200000000003</v>
      </c>
      <c r="U157" s="17">
        <v>402.04700000000003</v>
      </c>
      <c r="V157" s="17">
        <v>409.11900000000003</v>
      </c>
      <c r="W157" s="17">
        <v>426.38900000000001</v>
      </c>
      <c r="X157" s="17">
        <v>453.03</v>
      </c>
      <c r="Y157" s="17">
        <v>532.91099999999994</v>
      </c>
      <c r="Z157" s="17">
        <v>464.73099999999999</v>
      </c>
      <c r="AA157" s="17">
        <v>428.93</v>
      </c>
      <c r="AB157" s="17"/>
      <c r="AC157" s="17"/>
      <c r="AD157" s="26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>
        <v>399.71199999999999</v>
      </c>
      <c r="AO157" s="17">
        <v>416.173</v>
      </c>
      <c r="AP157" s="17"/>
      <c r="AQ157" s="17">
        <v>399.32100000000003</v>
      </c>
      <c r="AR157" s="17"/>
      <c r="AS157" s="17"/>
      <c r="AT157" s="17"/>
      <c r="AU157" s="17"/>
      <c r="AV157" s="17"/>
      <c r="AW157" s="17">
        <v>484.36</v>
      </c>
    </row>
    <row r="158" spans="1:49" x14ac:dyDescent="0.35">
      <c r="A158" s="3">
        <f t="shared" si="31"/>
        <v>141</v>
      </c>
      <c r="B158" s="17"/>
      <c r="C158" s="17"/>
      <c r="D158" s="17">
        <v>430.935</v>
      </c>
      <c r="E158" s="17">
        <v>448.34899999999999</v>
      </c>
      <c r="F158" s="17">
        <v>429.67399999999998</v>
      </c>
      <c r="G158" s="17">
        <v>406.72300000000001</v>
      </c>
      <c r="H158" s="17"/>
      <c r="I158" s="17"/>
      <c r="J158" s="17">
        <v>409.48200000000003</v>
      </c>
      <c r="K158" s="23"/>
      <c r="L158" s="17">
        <v>541.03700000000003</v>
      </c>
      <c r="M158" s="17">
        <v>423.92599999999999</v>
      </c>
      <c r="N158" s="17">
        <v>459.279</v>
      </c>
      <c r="O158" s="17">
        <v>437.91199999999998</v>
      </c>
      <c r="P158" s="17">
        <v>408.654</v>
      </c>
      <c r="Q158" s="17">
        <v>420.46899999999999</v>
      </c>
      <c r="R158" s="17">
        <v>441.82400000000001</v>
      </c>
      <c r="S158" s="17">
        <v>418.70800000000003</v>
      </c>
      <c r="T158" s="17">
        <v>402.99599999999998</v>
      </c>
      <c r="U158" s="17">
        <v>401.37700000000001</v>
      </c>
      <c r="V158" s="17">
        <v>406.78800000000001</v>
      </c>
      <c r="W158" s="17">
        <v>427.952</v>
      </c>
      <c r="X158" s="17">
        <v>451.85700000000003</v>
      </c>
      <c r="Y158" s="17">
        <v>532.798</v>
      </c>
      <c r="Z158" s="17">
        <v>464.39800000000002</v>
      </c>
      <c r="AA158" s="17">
        <v>426.37900000000002</v>
      </c>
      <c r="AB158" s="17"/>
      <c r="AC158" s="17"/>
      <c r="AD158" s="26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>
        <v>400.59500000000003</v>
      </c>
      <c r="AO158" s="17">
        <v>417.10899999999998</v>
      </c>
      <c r="AP158" s="17"/>
      <c r="AQ158" s="17">
        <v>399.13400000000001</v>
      </c>
      <c r="AR158" s="17"/>
      <c r="AS158" s="17"/>
      <c r="AT158" s="17"/>
      <c r="AU158" s="17"/>
      <c r="AV158" s="17"/>
      <c r="AW158" s="17">
        <v>485.74599999999998</v>
      </c>
    </row>
    <row r="159" spans="1:49" x14ac:dyDescent="0.35">
      <c r="A159" s="3">
        <f t="shared" si="31"/>
        <v>142</v>
      </c>
      <c r="B159" s="17"/>
      <c r="C159" s="17"/>
      <c r="D159" s="17">
        <v>432.36200000000002</v>
      </c>
      <c r="E159" s="17">
        <v>448.02300000000002</v>
      </c>
      <c r="F159" s="17">
        <v>429.77300000000002</v>
      </c>
      <c r="G159" s="17">
        <v>407.09100000000001</v>
      </c>
      <c r="H159" s="17"/>
      <c r="I159" s="17"/>
      <c r="J159" s="17">
        <v>409.77699999999999</v>
      </c>
      <c r="K159" s="23"/>
      <c r="L159" s="17">
        <v>540.12599999999998</v>
      </c>
      <c r="M159" s="17">
        <v>424.87400000000002</v>
      </c>
      <c r="N159" s="17">
        <v>458.43799999999999</v>
      </c>
      <c r="O159" s="17">
        <v>438.35500000000002</v>
      </c>
      <c r="P159" s="17">
        <v>409.15300000000002</v>
      </c>
      <c r="Q159" s="17">
        <v>420.57499999999999</v>
      </c>
      <c r="R159" s="17">
        <v>441.87099999999998</v>
      </c>
      <c r="S159" s="17">
        <v>418.05</v>
      </c>
      <c r="T159" s="17">
        <v>403.77600000000001</v>
      </c>
      <c r="U159" s="17">
        <v>401.16300000000001</v>
      </c>
      <c r="V159" s="17">
        <v>406.72699999999998</v>
      </c>
      <c r="W159" s="17">
        <v>427.83</v>
      </c>
      <c r="X159" s="17">
        <v>452.43799999999999</v>
      </c>
      <c r="Y159" s="17">
        <v>531.16600000000005</v>
      </c>
      <c r="Z159" s="17">
        <v>465.803</v>
      </c>
      <c r="AA159" s="17">
        <v>427.06299999999999</v>
      </c>
      <c r="AB159" s="17"/>
      <c r="AC159" s="17"/>
      <c r="AD159" s="26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>
        <v>400.81</v>
      </c>
      <c r="AO159" s="17">
        <v>416.08100000000002</v>
      </c>
      <c r="AP159" s="17"/>
      <c r="AQ159" s="17">
        <v>399.125</v>
      </c>
      <c r="AR159" s="17"/>
      <c r="AS159" s="17"/>
      <c r="AT159" s="17"/>
      <c r="AU159" s="17"/>
      <c r="AV159" s="17"/>
      <c r="AW159" s="17">
        <v>485.78899999999999</v>
      </c>
    </row>
    <row r="160" spans="1:49" x14ac:dyDescent="0.35">
      <c r="A160" s="3">
        <f t="shared" si="31"/>
        <v>143</v>
      </c>
      <c r="B160" s="17"/>
      <c r="C160" s="17"/>
      <c r="D160" s="17">
        <v>432.685</v>
      </c>
      <c r="E160" s="17">
        <v>447.84699999999998</v>
      </c>
      <c r="F160" s="17">
        <v>429.75700000000001</v>
      </c>
      <c r="G160" s="17">
        <v>406.15100000000001</v>
      </c>
      <c r="H160" s="17"/>
      <c r="I160" s="17"/>
      <c r="J160" s="17">
        <v>410.09</v>
      </c>
      <c r="K160" s="23"/>
      <c r="L160" s="17">
        <v>541.26700000000005</v>
      </c>
      <c r="M160" s="17">
        <v>425.52100000000002</v>
      </c>
      <c r="N160" s="17">
        <v>459.10500000000002</v>
      </c>
      <c r="O160" s="17">
        <v>439.75200000000001</v>
      </c>
      <c r="P160" s="17">
        <v>409.06299999999999</v>
      </c>
      <c r="Q160" s="17">
        <v>421.34100000000001</v>
      </c>
      <c r="R160" s="17">
        <v>442.37099999999998</v>
      </c>
      <c r="S160" s="17">
        <v>418.42</v>
      </c>
      <c r="T160" s="17">
        <v>403.428</v>
      </c>
      <c r="U160" s="17">
        <v>401.82499999999999</v>
      </c>
      <c r="V160" s="17">
        <v>407.64100000000002</v>
      </c>
      <c r="W160" s="17">
        <v>427.75</v>
      </c>
      <c r="X160" s="17">
        <v>452.68799999999999</v>
      </c>
      <c r="Y160" s="17">
        <v>533.39200000000005</v>
      </c>
      <c r="Z160" s="17">
        <v>464.56599999999997</v>
      </c>
      <c r="AA160" s="17">
        <v>427.49599999999998</v>
      </c>
      <c r="AB160" s="17"/>
      <c r="AC160" s="17"/>
      <c r="AD160" s="26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>
        <v>400.22399999999999</v>
      </c>
      <c r="AO160" s="17">
        <v>416.44900000000001</v>
      </c>
      <c r="AP160" s="17"/>
      <c r="AQ160" s="17">
        <v>399.42</v>
      </c>
      <c r="AR160" s="17"/>
      <c r="AS160" s="17"/>
      <c r="AT160" s="17"/>
      <c r="AU160" s="17"/>
      <c r="AV160" s="17"/>
      <c r="AW160" s="17">
        <v>485.238</v>
      </c>
    </row>
    <row r="161" spans="1:49" x14ac:dyDescent="0.35">
      <c r="A161" s="3">
        <f t="shared" si="31"/>
        <v>144</v>
      </c>
      <c r="B161" s="17"/>
      <c r="C161" s="17"/>
      <c r="D161" s="17">
        <v>432.536</v>
      </c>
      <c r="E161" s="17">
        <v>447.68400000000003</v>
      </c>
      <c r="F161" s="17">
        <v>430.363</v>
      </c>
      <c r="G161" s="17">
        <v>405.82600000000002</v>
      </c>
      <c r="H161" s="17"/>
      <c r="I161" s="17"/>
      <c r="J161" s="17">
        <v>410.70699999999999</v>
      </c>
      <c r="K161" s="23"/>
      <c r="L161" s="17">
        <v>540.84900000000005</v>
      </c>
      <c r="M161" s="17">
        <v>423.97300000000001</v>
      </c>
      <c r="N161" s="17">
        <v>460.44099999999997</v>
      </c>
      <c r="O161" s="17">
        <v>439.15</v>
      </c>
      <c r="P161" s="17">
        <v>408.245</v>
      </c>
      <c r="Q161" s="17">
        <v>421.03300000000002</v>
      </c>
      <c r="R161" s="17">
        <v>440.56299999999999</v>
      </c>
      <c r="S161" s="17">
        <v>420.09500000000003</v>
      </c>
      <c r="T161" s="17">
        <v>404.30599999999998</v>
      </c>
      <c r="U161" s="17">
        <v>402.43900000000002</v>
      </c>
      <c r="V161" s="17">
        <v>407.45699999999999</v>
      </c>
      <c r="W161" s="17">
        <v>427.66300000000001</v>
      </c>
      <c r="X161" s="17">
        <v>451.46</v>
      </c>
      <c r="Y161" s="17">
        <v>532.07100000000003</v>
      </c>
      <c r="Z161" s="17">
        <v>463.95</v>
      </c>
      <c r="AA161" s="17">
        <v>429.77499999999998</v>
      </c>
      <c r="AB161" s="17"/>
      <c r="AC161" s="17"/>
      <c r="AD161" s="26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>
        <v>400.80900000000003</v>
      </c>
      <c r="AO161" s="17">
        <v>415.88799999999998</v>
      </c>
      <c r="AP161" s="17"/>
      <c r="AQ161" s="17">
        <v>400</v>
      </c>
      <c r="AR161" s="17"/>
      <c r="AS161" s="17"/>
      <c r="AT161" s="17"/>
      <c r="AU161" s="17"/>
      <c r="AV161" s="17"/>
      <c r="AW161" s="17">
        <v>485.96499999999997</v>
      </c>
    </row>
    <row r="162" spans="1:49" x14ac:dyDescent="0.35">
      <c r="A162" s="3">
        <f t="shared" si="31"/>
        <v>145</v>
      </c>
      <c r="B162" s="17"/>
      <c r="C162" s="17"/>
      <c r="D162" s="17">
        <v>434.63499999999999</v>
      </c>
      <c r="E162" s="17">
        <v>448.86</v>
      </c>
      <c r="F162" s="17">
        <v>428.82100000000003</v>
      </c>
      <c r="G162" s="17">
        <v>406.44</v>
      </c>
      <c r="H162" s="17"/>
      <c r="I162" s="17"/>
      <c r="J162" s="17">
        <v>409.98</v>
      </c>
      <c r="K162" s="23"/>
      <c r="L162" s="17">
        <v>540.67600000000004</v>
      </c>
      <c r="M162" s="17">
        <v>426.28199999999998</v>
      </c>
      <c r="N162" s="17">
        <v>459.916</v>
      </c>
      <c r="O162" s="17">
        <v>437.66</v>
      </c>
      <c r="P162" s="17">
        <v>409.08699999999999</v>
      </c>
      <c r="Q162" s="17">
        <v>420.161</v>
      </c>
      <c r="R162" s="17">
        <v>441.358</v>
      </c>
      <c r="S162" s="17">
        <v>420.21100000000001</v>
      </c>
      <c r="T162" s="17">
        <v>404.25400000000002</v>
      </c>
      <c r="U162" s="17">
        <v>401.13099999999997</v>
      </c>
      <c r="V162" s="17">
        <v>406.42099999999999</v>
      </c>
      <c r="W162" s="17">
        <v>428.61799999999999</v>
      </c>
      <c r="X162" s="17">
        <v>452.75799999999998</v>
      </c>
      <c r="Y162" s="17">
        <v>532.42200000000003</v>
      </c>
      <c r="Z162" s="17">
        <v>464.36200000000002</v>
      </c>
      <c r="AA162" s="17">
        <v>427.96699999999998</v>
      </c>
      <c r="AB162" s="17"/>
      <c r="AC162" s="17"/>
      <c r="AD162" s="26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>
        <v>400.74599999999998</v>
      </c>
      <c r="AO162" s="17">
        <v>415.74599999999998</v>
      </c>
      <c r="AP162" s="17"/>
      <c r="AQ162" s="17">
        <v>400.37799999999999</v>
      </c>
      <c r="AR162" s="17"/>
      <c r="AS162" s="17"/>
      <c r="AT162" s="17"/>
      <c r="AU162" s="17"/>
      <c r="AV162" s="17"/>
      <c r="AW162" s="17">
        <v>486.71100000000001</v>
      </c>
    </row>
    <row r="163" spans="1:49" x14ac:dyDescent="0.35">
      <c r="A163" s="3">
        <f t="shared" si="31"/>
        <v>146</v>
      </c>
      <c r="B163" s="17"/>
      <c r="C163" s="17"/>
      <c r="D163" s="17">
        <v>433.76600000000002</v>
      </c>
      <c r="E163" s="17">
        <v>446.875</v>
      </c>
      <c r="F163" s="17">
        <v>429.69</v>
      </c>
      <c r="G163" s="17">
        <v>406.56200000000001</v>
      </c>
      <c r="H163" s="17"/>
      <c r="I163" s="17"/>
      <c r="J163" s="17">
        <v>411.3</v>
      </c>
      <c r="K163" s="23"/>
      <c r="L163" s="17">
        <v>539.71799999999996</v>
      </c>
      <c r="M163" s="17">
        <v>424.286</v>
      </c>
      <c r="N163" s="17">
        <v>459.75700000000001</v>
      </c>
      <c r="O163" s="17">
        <v>438.69200000000001</v>
      </c>
      <c r="P163" s="17">
        <v>409.86099999999999</v>
      </c>
      <c r="Q163" s="17">
        <v>422.50900000000001</v>
      </c>
      <c r="R163" s="17">
        <v>443.06099999999998</v>
      </c>
      <c r="S163" s="17">
        <v>419.05</v>
      </c>
      <c r="T163" s="17">
        <v>405.54899999999998</v>
      </c>
      <c r="U163" s="17">
        <v>401.33499999999998</v>
      </c>
      <c r="V163" s="17">
        <v>408.089</v>
      </c>
      <c r="W163" s="17">
        <v>426.62200000000001</v>
      </c>
      <c r="X163" s="17">
        <v>451.274</v>
      </c>
      <c r="Y163" s="17">
        <v>534.077</v>
      </c>
      <c r="Z163" s="17">
        <v>462.81200000000001</v>
      </c>
      <c r="AA163" s="17">
        <v>430.54700000000003</v>
      </c>
      <c r="AB163" s="17"/>
      <c r="AC163" s="17"/>
      <c r="AD163" s="26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>
        <v>400.73599999999999</v>
      </c>
      <c r="AO163" s="17">
        <v>416.27699999999999</v>
      </c>
      <c r="AP163" s="17"/>
      <c r="AQ163" s="17">
        <v>398.75</v>
      </c>
      <c r="AR163" s="17"/>
      <c r="AS163" s="17"/>
      <c r="AT163" s="17"/>
      <c r="AU163" s="17"/>
      <c r="AV163" s="17"/>
      <c r="AW163" s="17">
        <v>486.09500000000003</v>
      </c>
    </row>
    <row r="164" spans="1:49" x14ac:dyDescent="0.35">
      <c r="A164" s="3">
        <f t="shared" si="31"/>
        <v>147</v>
      </c>
      <c r="B164" s="17"/>
      <c r="C164" s="17"/>
      <c r="D164" s="17">
        <v>433.84500000000003</v>
      </c>
      <c r="E164" s="17">
        <v>448.43599999999998</v>
      </c>
      <c r="F164" s="17">
        <v>430.774</v>
      </c>
      <c r="G164" s="17">
        <v>405.88799999999998</v>
      </c>
      <c r="H164" s="17"/>
      <c r="I164" s="17"/>
      <c r="J164" s="17">
        <v>410.904</v>
      </c>
      <c r="K164" s="23"/>
      <c r="L164" s="17">
        <v>540.572</v>
      </c>
      <c r="M164" s="17">
        <v>427.16199999999998</v>
      </c>
      <c r="N164" s="17">
        <v>459.46899999999999</v>
      </c>
      <c r="O164" s="17">
        <v>438.57</v>
      </c>
      <c r="P164" s="17">
        <v>408.42099999999999</v>
      </c>
      <c r="Q164" s="17">
        <v>422.47399999999999</v>
      </c>
      <c r="R164" s="17">
        <v>441.56599999999997</v>
      </c>
      <c r="S164" s="17">
        <v>417.94299999999998</v>
      </c>
      <c r="T164" s="17">
        <v>405.98899999999998</v>
      </c>
      <c r="U164" s="17">
        <v>401.221</v>
      </c>
      <c r="V164" s="17">
        <v>408.26100000000002</v>
      </c>
      <c r="W164" s="17">
        <v>428.47500000000002</v>
      </c>
      <c r="X164" s="17">
        <v>451.74599999999998</v>
      </c>
      <c r="Y164" s="17">
        <v>534.61599999999999</v>
      </c>
      <c r="Z164" s="17">
        <v>463.67099999999999</v>
      </c>
      <c r="AA164" s="17">
        <v>429.91399999999999</v>
      </c>
      <c r="AB164" s="17"/>
      <c r="AC164" s="17"/>
      <c r="AD164" s="26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>
        <v>399.447</v>
      </c>
      <c r="AO164" s="17">
        <v>416.483</v>
      </c>
      <c r="AP164" s="17"/>
      <c r="AQ164" s="17">
        <v>399.488</v>
      </c>
      <c r="AR164" s="17"/>
      <c r="AS164" s="17"/>
      <c r="AT164" s="17"/>
      <c r="AU164" s="17"/>
      <c r="AV164" s="17"/>
      <c r="AW164" s="17">
        <v>485.87200000000001</v>
      </c>
    </row>
    <row r="165" spans="1:49" x14ac:dyDescent="0.35">
      <c r="A165" s="3">
        <f t="shared" si="31"/>
        <v>148</v>
      </c>
      <c r="B165" s="17"/>
      <c r="C165" s="17"/>
      <c r="D165" s="17">
        <v>435.43</v>
      </c>
      <c r="E165" s="17">
        <v>447.08600000000001</v>
      </c>
      <c r="F165" s="17">
        <v>430.70699999999999</v>
      </c>
      <c r="G165" s="17">
        <v>405.46100000000001</v>
      </c>
      <c r="H165" s="17"/>
      <c r="I165" s="17"/>
      <c r="J165" s="17">
        <v>411.755</v>
      </c>
      <c r="K165" s="23"/>
      <c r="L165" s="17">
        <v>542.69100000000003</v>
      </c>
      <c r="M165" s="17">
        <v>425.935</v>
      </c>
      <c r="N165" s="17">
        <v>459.36</v>
      </c>
      <c r="O165" s="17">
        <v>438.26600000000002</v>
      </c>
      <c r="P165" s="17">
        <v>409.24900000000002</v>
      </c>
      <c r="Q165" s="17">
        <v>422.94499999999999</v>
      </c>
      <c r="R165" s="17">
        <v>442.84500000000003</v>
      </c>
      <c r="S165" s="17">
        <v>417.78699999999998</v>
      </c>
      <c r="T165" s="17">
        <v>405.06700000000001</v>
      </c>
      <c r="U165" s="17">
        <v>401.767</v>
      </c>
      <c r="V165" s="17">
        <v>408.238</v>
      </c>
      <c r="W165" s="17">
        <v>426.387</v>
      </c>
      <c r="X165" s="17">
        <v>452.68700000000001</v>
      </c>
      <c r="Y165" s="17">
        <v>533.51099999999997</v>
      </c>
      <c r="Z165" s="17">
        <v>463.77800000000002</v>
      </c>
      <c r="AA165" s="17">
        <v>430.26299999999998</v>
      </c>
      <c r="AB165" s="17"/>
      <c r="AC165" s="17"/>
      <c r="AD165" s="26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>
        <v>399.96</v>
      </c>
      <c r="AO165" s="17">
        <v>415.31</v>
      </c>
      <c r="AP165" s="17"/>
      <c r="AQ165" s="17">
        <v>399.60500000000002</v>
      </c>
      <c r="AR165" s="17"/>
      <c r="AS165" s="17"/>
      <c r="AT165" s="17"/>
      <c r="AU165" s="17"/>
      <c r="AV165" s="17"/>
      <c r="AW165" s="17">
        <v>487.41500000000002</v>
      </c>
    </row>
    <row r="166" spans="1:49" x14ac:dyDescent="0.35">
      <c r="A166" s="3">
        <f t="shared" si="31"/>
        <v>149</v>
      </c>
      <c r="B166" s="17"/>
      <c r="C166" s="17"/>
      <c r="D166" s="17">
        <v>434.20400000000001</v>
      </c>
      <c r="E166" s="17">
        <v>448.04500000000002</v>
      </c>
      <c r="F166" s="17">
        <v>431.27100000000002</v>
      </c>
      <c r="G166" s="17">
        <v>407.29</v>
      </c>
      <c r="H166" s="17"/>
      <c r="I166" s="17"/>
      <c r="J166" s="17">
        <v>411.99</v>
      </c>
      <c r="K166" s="23"/>
      <c r="L166" s="17">
        <v>541.02</v>
      </c>
      <c r="M166" s="17">
        <v>424.46199999999999</v>
      </c>
      <c r="N166" s="17">
        <v>460.41500000000002</v>
      </c>
      <c r="O166" s="17">
        <v>439.43599999999998</v>
      </c>
      <c r="P166" s="17">
        <v>408.80799999999999</v>
      </c>
      <c r="Q166" s="17">
        <v>424.02100000000002</v>
      </c>
      <c r="R166" s="17">
        <v>442.52300000000002</v>
      </c>
      <c r="S166" s="17">
        <v>417.96899999999999</v>
      </c>
      <c r="T166" s="17">
        <v>404.72399999999999</v>
      </c>
      <c r="U166" s="17">
        <v>401.00099999999998</v>
      </c>
      <c r="V166" s="17">
        <v>405.44299999999998</v>
      </c>
      <c r="W166" s="17">
        <v>427.69</v>
      </c>
      <c r="X166" s="17">
        <v>452.73099999999999</v>
      </c>
      <c r="Y166" s="17">
        <v>534.50900000000001</v>
      </c>
      <c r="Z166" s="17">
        <v>463.36799999999999</v>
      </c>
      <c r="AA166" s="17">
        <v>427.79300000000001</v>
      </c>
      <c r="AB166" s="17"/>
      <c r="AC166" s="17"/>
      <c r="AD166" s="26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>
        <v>400.11900000000003</v>
      </c>
      <c r="AO166" s="17">
        <v>415.71300000000002</v>
      </c>
      <c r="AP166" s="17"/>
      <c r="AQ166" s="17">
        <v>400.51299999999998</v>
      </c>
      <c r="AR166" s="17"/>
      <c r="AS166" s="17"/>
      <c r="AT166" s="17"/>
      <c r="AU166" s="17"/>
      <c r="AV166" s="17"/>
      <c r="AW166" s="17">
        <v>486.17399999999998</v>
      </c>
    </row>
    <row r="167" spans="1:49" x14ac:dyDescent="0.35">
      <c r="A167" s="3">
        <f t="shared" si="31"/>
        <v>150</v>
      </c>
      <c r="B167" s="17"/>
      <c r="C167" s="17"/>
      <c r="D167" s="17">
        <v>434.82499999999999</v>
      </c>
      <c r="E167" s="17">
        <v>447.08199999999999</v>
      </c>
      <c r="F167" s="17">
        <v>430.46800000000002</v>
      </c>
      <c r="G167" s="17">
        <v>407.05</v>
      </c>
      <c r="H167" s="17"/>
      <c r="I167" s="17"/>
      <c r="J167" s="17">
        <v>412.14699999999999</v>
      </c>
      <c r="K167" s="23"/>
      <c r="L167" s="17">
        <v>541.24699999999996</v>
      </c>
      <c r="M167" s="17">
        <v>425.60599999999999</v>
      </c>
      <c r="N167" s="17">
        <v>459.702</v>
      </c>
      <c r="O167" s="17">
        <v>438.863</v>
      </c>
      <c r="P167" s="17">
        <v>409.68099999999998</v>
      </c>
      <c r="Q167" s="17">
        <v>423.20800000000003</v>
      </c>
      <c r="R167" s="17">
        <v>441.40600000000001</v>
      </c>
      <c r="S167" s="17">
        <v>419.221</v>
      </c>
      <c r="T167" s="17">
        <v>404.81</v>
      </c>
      <c r="U167" s="17">
        <v>401.39100000000002</v>
      </c>
      <c r="V167" s="17">
        <v>407.839</v>
      </c>
      <c r="W167" s="17">
        <v>427.48099999999999</v>
      </c>
      <c r="X167" s="17">
        <v>453</v>
      </c>
      <c r="Y167" s="17">
        <v>534.66200000000003</v>
      </c>
      <c r="Z167" s="17">
        <v>464.04300000000001</v>
      </c>
      <c r="AA167" s="17">
        <v>431.42099999999999</v>
      </c>
      <c r="AB167" s="17"/>
      <c r="AC167" s="17"/>
      <c r="AD167" s="26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>
        <v>400.84399999999999</v>
      </c>
      <c r="AO167" s="17">
        <v>414.74599999999998</v>
      </c>
      <c r="AP167" s="17"/>
      <c r="AQ167" s="17">
        <v>400.78199999999998</v>
      </c>
      <c r="AR167" s="17"/>
      <c r="AS167" s="17"/>
      <c r="AT167" s="17"/>
      <c r="AU167" s="17"/>
      <c r="AV167" s="17"/>
      <c r="AW167" s="17">
        <v>485.73200000000003</v>
      </c>
    </row>
    <row r="168" spans="1:49" x14ac:dyDescent="0.35">
      <c r="A168" s="3">
        <f t="shared" si="31"/>
        <v>151</v>
      </c>
      <c r="B168" s="17"/>
      <c r="C168" s="17"/>
      <c r="D168" s="17">
        <v>434.49099999999999</v>
      </c>
      <c r="E168" s="17">
        <v>446.57</v>
      </c>
      <c r="F168" s="17">
        <v>430.65499999999997</v>
      </c>
      <c r="G168" s="17">
        <v>405.09300000000002</v>
      </c>
      <c r="H168" s="17"/>
      <c r="I168" s="17"/>
      <c r="J168" s="17">
        <v>413.471</v>
      </c>
      <c r="K168" s="23"/>
      <c r="L168" s="17">
        <v>542.13400000000001</v>
      </c>
      <c r="M168" s="17">
        <v>423.55799999999999</v>
      </c>
      <c r="N168" s="17">
        <v>461.35399999999998</v>
      </c>
      <c r="O168" s="17">
        <v>439.61099999999999</v>
      </c>
      <c r="P168" s="17">
        <v>409.697</v>
      </c>
      <c r="Q168" s="17">
        <v>424.88799999999998</v>
      </c>
      <c r="R168" s="17">
        <v>444.22300000000001</v>
      </c>
      <c r="S168" s="17">
        <v>419.40699999999998</v>
      </c>
      <c r="T168" s="17">
        <v>404.36900000000003</v>
      </c>
      <c r="U168" s="17">
        <v>400.72500000000002</v>
      </c>
      <c r="V168" s="17">
        <v>407.03</v>
      </c>
      <c r="W168" s="17">
        <v>427.6</v>
      </c>
      <c r="X168" s="17">
        <v>452.173</v>
      </c>
      <c r="Y168" s="17">
        <v>534.24400000000003</v>
      </c>
      <c r="Z168" s="17">
        <v>464.47199999999998</v>
      </c>
      <c r="AA168" s="17">
        <v>431.03699999999998</v>
      </c>
      <c r="AB168" s="17"/>
      <c r="AC168" s="17"/>
      <c r="AD168" s="26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>
        <v>400.89499999999998</v>
      </c>
      <c r="AO168" s="17">
        <v>416.041</v>
      </c>
      <c r="AP168" s="17"/>
      <c r="AQ168" s="17">
        <v>400.327</v>
      </c>
      <c r="AR168" s="17"/>
      <c r="AS168" s="17"/>
      <c r="AT168" s="17"/>
      <c r="AU168" s="17"/>
      <c r="AV168" s="17"/>
      <c r="AW168" s="17">
        <v>487.05</v>
      </c>
    </row>
    <row r="169" spans="1:49" x14ac:dyDescent="0.35">
      <c r="A169" s="3">
        <f t="shared" si="31"/>
        <v>152</v>
      </c>
      <c r="B169" s="17"/>
      <c r="C169" s="17"/>
      <c r="D169" s="17">
        <v>434.21800000000002</v>
      </c>
      <c r="E169" s="17">
        <v>446.51499999999999</v>
      </c>
      <c r="F169" s="17">
        <v>430.19600000000003</v>
      </c>
      <c r="G169" s="17">
        <v>408.17500000000001</v>
      </c>
      <c r="H169" s="17"/>
      <c r="I169" s="17"/>
      <c r="J169" s="17">
        <v>412.13600000000002</v>
      </c>
      <c r="K169" s="23"/>
      <c r="L169" s="17">
        <v>541.97199999999998</v>
      </c>
      <c r="M169" s="17">
        <v>424.65199999999999</v>
      </c>
      <c r="N169" s="17">
        <v>461.10700000000003</v>
      </c>
      <c r="O169" s="17">
        <v>440.54399999999998</v>
      </c>
      <c r="P169" s="17">
        <v>409.09899999999999</v>
      </c>
      <c r="Q169" s="17">
        <v>423.59100000000001</v>
      </c>
      <c r="R169" s="17">
        <v>443.64600000000002</v>
      </c>
      <c r="S169" s="17">
        <v>418.23700000000002</v>
      </c>
      <c r="T169" s="17">
        <v>403.07400000000001</v>
      </c>
      <c r="U169" s="17">
        <v>401.37400000000002</v>
      </c>
      <c r="V169" s="17">
        <v>408.28500000000003</v>
      </c>
      <c r="W169" s="17">
        <v>427.70299999999997</v>
      </c>
      <c r="X169" s="17">
        <v>452.86700000000002</v>
      </c>
      <c r="Y169" s="17">
        <v>535.49199999999996</v>
      </c>
      <c r="Z169" s="17">
        <v>464.02600000000001</v>
      </c>
      <c r="AA169" s="17">
        <v>433.05799999999999</v>
      </c>
      <c r="AB169" s="17"/>
      <c r="AC169" s="17"/>
      <c r="AD169" s="26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>
        <v>399.613</v>
      </c>
      <c r="AO169" s="17">
        <v>414.58199999999999</v>
      </c>
      <c r="AP169" s="17"/>
      <c r="AQ169" s="17">
        <v>400.16500000000002</v>
      </c>
      <c r="AR169" s="17"/>
      <c r="AS169" s="17"/>
      <c r="AT169" s="17"/>
      <c r="AU169" s="17"/>
      <c r="AV169" s="17"/>
      <c r="AW169" s="17">
        <v>485.16800000000001</v>
      </c>
    </row>
    <row r="170" spans="1:49" x14ac:dyDescent="0.35">
      <c r="A170" s="3">
        <f t="shared" si="31"/>
        <v>153</v>
      </c>
      <c r="B170" s="17"/>
      <c r="C170" s="17"/>
      <c r="D170" s="17">
        <v>433.65699999999998</v>
      </c>
      <c r="E170" s="17">
        <v>446.86</v>
      </c>
      <c r="F170" s="17">
        <v>430.959</v>
      </c>
      <c r="G170" s="17">
        <v>406.702</v>
      </c>
      <c r="H170" s="17"/>
      <c r="I170" s="17"/>
      <c r="J170" s="17">
        <v>411.41800000000001</v>
      </c>
      <c r="K170" s="23"/>
      <c r="L170" s="17">
        <v>541.93899999999996</v>
      </c>
      <c r="M170" s="17">
        <v>424.97399999999999</v>
      </c>
      <c r="N170" s="17">
        <v>460.93099999999998</v>
      </c>
      <c r="O170" s="17">
        <v>439.084</v>
      </c>
      <c r="P170" s="17">
        <v>409.76499999999999</v>
      </c>
      <c r="Q170" s="17">
        <v>425.27300000000002</v>
      </c>
      <c r="R170" s="17">
        <v>443.08</v>
      </c>
      <c r="S170" s="17">
        <v>419.815</v>
      </c>
      <c r="T170" s="17">
        <v>403.08199999999999</v>
      </c>
      <c r="U170" s="17">
        <v>400.80399999999997</v>
      </c>
      <c r="V170" s="17">
        <v>409.649</v>
      </c>
      <c r="W170" s="17">
        <v>428.04199999999997</v>
      </c>
      <c r="X170" s="17">
        <v>451.70699999999999</v>
      </c>
      <c r="Y170" s="17">
        <v>535.27200000000005</v>
      </c>
      <c r="Z170" s="17">
        <v>465.40300000000002</v>
      </c>
      <c r="AA170" s="17">
        <v>431.726</v>
      </c>
      <c r="AB170" s="17"/>
      <c r="AC170" s="17"/>
      <c r="AD170" s="26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>
        <v>400.41699999999997</v>
      </c>
      <c r="AO170" s="17">
        <v>416.90499999999997</v>
      </c>
      <c r="AP170" s="17"/>
      <c r="AQ170" s="17">
        <v>400.64</v>
      </c>
      <c r="AR170" s="17"/>
      <c r="AS170" s="17"/>
      <c r="AT170" s="17"/>
      <c r="AU170" s="17"/>
      <c r="AV170" s="17"/>
      <c r="AW170" s="17">
        <v>486.25400000000002</v>
      </c>
    </row>
    <row r="171" spans="1:49" x14ac:dyDescent="0.35">
      <c r="A171" s="3">
        <f t="shared" si="31"/>
        <v>154</v>
      </c>
      <c r="B171" s="17"/>
      <c r="C171" s="17"/>
      <c r="D171" s="17">
        <v>434.68799999999999</v>
      </c>
      <c r="E171" s="17">
        <v>446.173</v>
      </c>
      <c r="F171" s="17">
        <v>430.017</v>
      </c>
      <c r="G171" s="17">
        <v>406.75900000000001</v>
      </c>
      <c r="H171" s="17"/>
      <c r="I171" s="17"/>
      <c r="J171" s="17">
        <v>412.65600000000001</v>
      </c>
      <c r="K171" s="23"/>
      <c r="L171" s="17">
        <v>542.30799999999999</v>
      </c>
      <c r="M171" s="17">
        <v>425.33499999999998</v>
      </c>
      <c r="N171" s="17">
        <v>460.43599999999998</v>
      </c>
      <c r="O171" s="17">
        <v>440.67399999999998</v>
      </c>
      <c r="P171" s="17">
        <v>409.45299999999997</v>
      </c>
      <c r="Q171" s="17">
        <v>426.00599999999997</v>
      </c>
      <c r="R171" s="17">
        <v>443.38600000000002</v>
      </c>
      <c r="S171" s="17">
        <v>419.77</v>
      </c>
      <c r="T171" s="17">
        <v>403.57499999999999</v>
      </c>
      <c r="U171" s="17">
        <v>401.197</v>
      </c>
      <c r="V171" s="17">
        <v>406.63799999999998</v>
      </c>
      <c r="W171" s="17">
        <v>429.63900000000001</v>
      </c>
      <c r="X171" s="17">
        <v>452.01299999999998</v>
      </c>
      <c r="Y171" s="17">
        <v>535.577</v>
      </c>
      <c r="Z171" s="17">
        <v>465.53899999999999</v>
      </c>
      <c r="AA171" s="17">
        <v>431.93599999999998</v>
      </c>
      <c r="AB171" s="17"/>
      <c r="AC171" s="17"/>
      <c r="AD171" s="26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>
        <v>401.06599999999997</v>
      </c>
      <c r="AO171" s="17">
        <v>416.11</v>
      </c>
      <c r="AP171" s="17"/>
      <c r="AQ171" s="17">
        <v>400.637</v>
      </c>
      <c r="AR171" s="17"/>
      <c r="AS171" s="17"/>
      <c r="AT171" s="17"/>
      <c r="AU171" s="17"/>
      <c r="AV171" s="17"/>
      <c r="AW171" s="17">
        <v>487.50400000000002</v>
      </c>
    </row>
    <row r="172" spans="1:49" x14ac:dyDescent="0.35">
      <c r="A172" s="3">
        <f t="shared" si="31"/>
        <v>155</v>
      </c>
      <c r="B172" s="17"/>
      <c r="C172" s="17"/>
      <c r="D172" s="17">
        <v>434.57799999999997</v>
      </c>
      <c r="E172" s="17">
        <v>445.66699999999997</v>
      </c>
      <c r="F172" s="17">
        <v>430.08499999999998</v>
      </c>
      <c r="G172" s="17">
        <v>405.79300000000001</v>
      </c>
      <c r="H172" s="17"/>
      <c r="I172" s="17"/>
      <c r="J172" s="17">
        <v>412.29399999999998</v>
      </c>
      <c r="K172" s="23"/>
      <c r="L172" s="17">
        <v>542.56299999999999</v>
      </c>
      <c r="M172" s="17">
        <v>425.14600000000002</v>
      </c>
      <c r="N172" s="17">
        <v>460.58800000000002</v>
      </c>
      <c r="O172" s="17">
        <v>440.02300000000002</v>
      </c>
      <c r="P172" s="17">
        <v>410.54599999999999</v>
      </c>
      <c r="Q172" s="17">
        <v>424.964</v>
      </c>
      <c r="R172" s="17">
        <v>443.745</v>
      </c>
      <c r="S172" s="17">
        <v>417.733</v>
      </c>
      <c r="T172" s="17">
        <v>402.97199999999998</v>
      </c>
      <c r="U172" s="17">
        <v>400.74299999999999</v>
      </c>
      <c r="V172" s="17">
        <v>407.05900000000003</v>
      </c>
      <c r="W172" s="17">
        <v>429.41199999999998</v>
      </c>
      <c r="X172" s="17">
        <v>452.91899999999998</v>
      </c>
      <c r="Y172" s="17">
        <v>535.88400000000001</v>
      </c>
      <c r="Z172" s="17">
        <v>467.07900000000001</v>
      </c>
      <c r="AA172" s="17">
        <v>430.78500000000003</v>
      </c>
      <c r="AB172" s="17"/>
      <c r="AC172" s="17"/>
      <c r="AD172" s="26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>
        <v>399.98399999999998</v>
      </c>
      <c r="AO172" s="17">
        <v>416.786</v>
      </c>
      <c r="AP172" s="17"/>
      <c r="AQ172" s="17">
        <v>400.084</v>
      </c>
      <c r="AR172" s="17"/>
      <c r="AS172" s="17"/>
      <c r="AT172" s="17"/>
      <c r="AU172" s="17"/>
      <c r="AV172" s="17"/>
      <c r="AW172" s="17">
        <v>485.24099999999999</v>
      </c>
    </row>
    <row r="173" spans="1:49" x14ac:dyDescent="0.35">
      <c r="A173" s="3">
        <f t="shared" si="31"/>
        <v>156</v>
      </c>
      <c r="B173" s="17"/>
      <c r="C173" s="17"/>
      <c r="D173" s="17">
        <v>435.15199999999999</v>
      </c>
      <c r="E173" s="17">
        <v>445.68400000000003</v>
      </c>
      <c r="F173" s="17">
        <v>429.99200000000002</v>
      </c>
      <c r="G173" s="17">
        <v>407.36599999999999</v>
      </c>
      <c r="H173" s="17"/>
      <c r="I173" s="17"/>
      <c r="J173" s="17">
        <v>410.65300000000002</v>
      </c>
      <c r="K173" s="23"/>
      <c r="L173" s="17">
        <v>543.53499999999997</v>
      </c>
      <c r="M173" s="17">
        <v>424.05599999999998</v>
      </c>
      <c r="N173" s="17">
        <v>460.94799999999998</v>
      </c>
      <c r="O173" s="17">
        <v>440.22699999999998</v>
      </c>
      <c r="P173" s="17">
        <v>410.04300000000001</v>
      </c>
      <c r="Q173" s="17">
        <v>425.80399999999997</v>
      </c>
      <c r="R173" s="17">
        <v>443.83</v>
      </c>
      <c r="S173" s="17">
        <v>418.59899999999999</v>
      </c>
      <c r="T173" s="17">
        <v>402.63299999999998</v>
      </c>
      <c r="U173" s="17">
        <v>399.947</v>
      </c>
      <c r="V173" s="17">
        <v>409.79700000000003</v>
      </c>
      <c r="W173" s="17">
        <v>427.23399999999998</v>
      </c>
      <c r="X173" s="17">
        <v>452.423</v>
      </c>
      <c r="Y173" s="17">
        <v>536.20899999999995</v>
      </c>
      <c r="Z173" s="17">
        <v>465.45299999999997</v>
      </c>
      <c r="AA173" s="17">
        <v>431.93299999999999</v>
      </c>
      <c r="AB173" s="17"/>
      <c r="AC173" s="17"/>
      <c r="AD173" s="26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>
        <v>399.601</v>
      </c>
      <c r="AO173" s="17">
        <v>416.911</v>
      </c>
      <c r="AP173" s="17"/>
      <c r="AQ173" s="17">
        <v>399.892</v>
      </c>
      <c r="AR173" s="17"/>
      <c r="AS173" s="17"/>
      <c r="AT173" s="17"/>
      <c r="AU173" s="17"/>
      <c r="AV173" s="17"/>
      <c r="AW173" s="17">
        <v>486.81400000000002</v>
      </c>
    </row>
    <row r="174" spans="1:49" x14ac:dyDescent="0.35">
      <c r="A174" s="3">
        <f t="shared" si="31"/>
        <v>157</v>
      </c>
      <c r="B174" s="17"/>
      <c r="C174" s="17"/>
      <c r="D174" s="17">
        <v>436.34100000000001</v>
      </c>
      <c r="E174" s="17">
        <v>445.48500000000001</v>
      </c>
      <c r="F174" s="17">
        <v>429.82299999999998</v>
      </c>
      <c r="G174" s="17">
        <v>408.077</v>
      </c>
      <c r="H174" s="17"/>
      <c r="I174" s="17"/>
      <c r="J174" s="17">
        <v>412.20299999999997</v>
      </c>
      <c r="K174" s="23"/>
      <c r="L174" s="17">
        <v>544.154</v>
      </c>
      <c r="M174" s="17">
        <v>424.14299999999997</v>
      </c>
      <c r="N174" s="17">
        <v>460.72500000000002</v>
      </c>
      <c r="O174" s="17">
        <v>439.649</v>
      </c>
      <c r="P174" s="17">
        <v>409.36399999999998</v>
      </c>
      <c r="Q174" s="17">
        <v>425.59899999999999</v>
      </c>
      <c r="R174" s="17">
        <v>444.34</v>
      </c>
      <c r="S174" s="17">
        <v>419.916</v>
      </c>
      <c r="T174" s="17">
        <v>403.33499999999998</v>
      </c>
      <c r="U174" s="17">
        <v>400.875</v>
      </c>
      <c r="V174" s="17">
        <v>409.45299999999997</v>
      </c>
      <c r="W174" s="17">
        <v>428.04</v>
      </c>
      <c r="X174" s="17">
        <v>454.08499999999998</v>
      </c>
      <c r="Y174" s="17">
        <v>537.34100000000001</v>
      </c>
      <c r="Z174" s="17">
        <v>465.78500000000003</v>
      </c>
      <c r="AA174" s="17">
        <v>433.065</v>
      </c>
      <c r="AB174" s="17"/>
      <c r="AC174" s="17"/>
      <c r="AD174" s="26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>
        <v>399.86399999999998</v>
      </c>
      <c r="AO174" s="17">
        <v>415.43599999999998</v>
      </c>
      <c r="AP174" s="17"/>
      <c r="AQ174" s="17">
        <v>399.99099999999999</v>
      </c>
      <c r="AR174" s="17"/>
      <c r="AS174" s="17"/>
      <c r="AT174" s="17"/>
      <c r="AU174" s="17"/>
      <c r="AV174" s="17"/>
      <c r="AW174" s="17">
        <v>486.11900000000003</v>
      </c>
    </row>
    <row r="175" spans="1:49" x14ac:dyDescent="0.35">
      <c r="A175" s="3">
        <f t="shared" si="31"/>
        <v>158</v>
      </c>
      <c r="B175" s="17"/>
      <c r="C175" s="17"/>
      <c r="D175" s="17">
        <v>435.95299999999997</v>
      </c>
      <c r="E175" s="17">
        <v>446.06</v>
      </c>
      <c r="F175" s="17">
        <v>429.04300000000001</v>
      </c>
      <c r="G175" s="17">
        <v>407.58800000000002</v>
      </c>
      <c r="H175" s="17"/>
      <c r="I175" s="17"/>
      <c r="J175" s="17">
        <v>410.68200000000002</v>
      </c>
      <c r="K175" s="23"/>
      <c r="L175" s="17">
        <v>543.41899999999998</v>
      </c>
      <c r="M175" s="17">
        <v>424.48</v>
      </c>
      <c r="N175" s="17">
        <v>460.82299999999998</v>
      </c>
      <c r="O175" s="17">
        <v>438.73500000000001</v>
      </c>
      <c r="P175" s="17">
        <v>409.34800000000001</v>
      </c>
      <c r="Q175" s="17">
        <v>425.43799999999999</v>
      </c>
      <c r="R175" s="17">
        <v>443.56299999999999</v>
      </c>
      <c r="S175" s="17">
        <v>419.21199999999999</v>
      </c>
      <c r="T175" s="17">
        <v>404.47699999999998</v>
      </c>
      <c r="U175" s="17">
        <v>400.577</v>
      </c>
      <c r="V175" s="17">
        <v>408.05799999999999</v>
      </c>
      <c r="W175" s="17">
        <v>428.25299999999999</v>
      </c>
      <c r="X175" s="17">
        <v>452.08600000000001</v>
      </c>
      <c r="Y175" s="17">
        <v>537.27</v>
      </c>
      <c r="Z175" s="17">
        <v>465.99200000000002</v>
      </c>
      <c r="AA175" s="17">
        <v>433.06200000000001</v>
      </c>
      <c r="AB175" s="17"/>
      <c r="AC175" s="17"/>
      <c r="AD175" s="26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>
        <v>400.202</v>
      </c>
      <c r="AO175" s="17">
        <v>415.25900000000001</v>
      </c>
      <c r="AP175" s="17"/>
      <c r="AQ175" s="17">
        <v>399.685</v>
      </c>
      <c r="AR175" s="17"/>
      <c r="AS175" s="17"/>
      <c r="AT175" s="17"/>
      <c r="AU175" s="17"/>
      <c r="AV175" s="17"/>
      <c r="AW175" s="17">
        <v>486.39100000000002</v>
      </c>
    </row>
    <row r="176" spans="1:49" x14ac:dyDescent="0.35">
      <c r="A176" s="3">
        <f t="shared" si="31"/>
        <v>159</v>
      </c>
      <c r="B176" s="17"/>
      <c r="C176" s="17"/>
      <c r="D176" s="17">
        <v>435.03500000000003</v>
      </c>
      <c r="E176" s="17">
        <v>446.73099999999999</v>
      </c>
      <c r="F176" s="17">
        <v>431.18599999999998</v>
      </c>
      <c r="G176" s="17">
        <v>406.27199999999999</v>
      </c>
      <c r="H176" s="17"/>
      <c r="I176" s="17"/>
      <c r="J176" s="17">
        <v>411.404</v>
      </c>
      <c r="K176" s="23"/>
      <c r="L176" s="17">
        <v>543.59400000000005</v>
      </c>
      <c r="M176" s="17">
        <v>424.37299999999999</v>
      </c>
      <c r="N176" s="17">
        <v>461.70600000000002</v>
      </c>
      <c r="O176" s="17">
        <v>439.71199999999999</v>
      </c>
      <c r="P176" s="17">
        <v>409.70499999999998</v>
      </c>
      <c r="Q176" s="17">
        <v>425.84699999999998</v>
      </c>
      <c r="R176" s="17">
        <v>444.37900000000002</v>
      </c>
      <c r="S176" s="17">
        <v>420.15</v>
      </c>
      <c r="T176" s="17">
        <v>403.04300000000001</v>
      </c>
      <c r="U176" s="17">
        <v>399.95400000000001</v>
      </c>
      <c r="V176" s="17">
        <v>407.928</v>
      </c>
      <c r="W176" s="17">
        <v>427.23700000000002</v>
      </c>
      <c r="X176" s="17">
        <v>453.904</v>
      </c>
      <c r="Y176" s="17">
        <v>537.42999999999995</v>
      </c>
      <c r="Z176" s="17">
        <v>467.80500000000001</v>
      </c>
      <c r="AA176" s="17">
        <v>431.93</v>
      </c>
      <c r="AB176" s="17"/>
      <c r="AC176" s="17"/>
      <c r="AD176" s="26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>
        <v>400.012</v>
      </c>
      <c r="AO176" s="17">
        <v>415.50900000000001</v>
      </c>
      <c r="AP176" s="17"/>
      <c r="AQ176" s="17">
        <v>398.89</v>
      </c>
      <c r="AR176" s="17"/>
      <c r="AS176" s="17"/>
      <c r="AT176" s="17"/>
      <c r="AU176" s="17"/>
      <c r="AV176" s="17"/>
      <c r="AW176" s="17">
        <v>486.12900000000002</v>
      </c>
    </row>
    <row r="177" spans="1:49" x14ac:dyDescent="0.35">
      <c r="A177" s="3">
        <f t="shared" si="31"/>
        <v>160</v>
      </c>
      <c r="B177" s="17"/>
      <c r="C177" s="17"/>
      <c r="D177" s="17">
        <v>436.55799999999999</v>
      </c>
      <c r="E177" s="17">
        <v>446.16500000000002</v>
      </c>
      <c r="F177" s="17">
        <v>431.53399999999999</v>
      </c>
      <c r="G177" s="17">
        <v>407.815</v>
      </c>
      <c r="H177" s="17"/>
      <c r="I177" s="17"/>
      <c r="J177" s="17">
        <v>411.19</v>
      </c>
      <c r="K177" s="23"/>
      <c r="L177" s="17">
        <v>543.24800000000005</v>
      </c>
      <c r="M177" s="17">
        <v>423.56200000000001</v>
      </c>
      <c r="N177" s="17">
        <v>461.77499999999998</v>
      </c>
      <c r="O177" s="17">
        <v>440.14</v>
      </c>
      <c r="P177" s="17">
        <v>410.065</v>
      </c>
      <c r="Q177" s="17">
        <v>425.39299999999997</v>
      </c>
      <c r="R177" s="17">
        <v>444.00599999999997</v>
      </c>
      <c r="S177" s="17">
        <v>418.71899999999999</v>
      </c>
      <c r="T177" s="17">
        <v>404.779</v>
      </c>
      <c r="U177" s="17">
        <v>400.79599999999999</v>
      </c>
      <c r="V177" s="17">
        <v>407.625</v>
      </c>
      <c r="W177" s="17">
        <v>426.03500000000003</v>
      </c>
      <c r="X177" s="17">
        <v>452.25599999999997</v>
      </c>
      <c r="Y177" s="17">
        <v>537.88199999999995</v>
      </c>
      <c r="Z177" s="17">
        <v>467.113</v>
      </c>
      <c r="AA177" s="17">
        <v>432.39499999999998</v>
      </c>
      <c r="AB177" s="17"/>
      <c r="AC177" s="17"/>
      <c r="AD177" s="26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>
        <v>399.887</v>
      </c>
      <c r="AO177" s="17">
        <v>416</v>
      </c>
      <c r="AP177" s="17"/>
      <c r="AQ177" s="17">
        <v>398.56099999999998</v>
      </c>
      <c r="AR177" s="17"/>
      <c r="AS177" s="17"/>
      <c r="AT177" s="17"/>
      <c r="AU177" s="17"/>
      <c r="AV177" s="17"/>
      <c r="AW177" s="17">
        <v>486.32600000000002</v>
      </c>
    </row>
    <row r="178" spans="1:49" x14ac:dyDescent="0.35">
      <c r="A178" s="3">
        <f t="shared" si="31"/>
        <v>161</v>
      </c>
      <c r="B178" s="17"/>
      <c r="C178" s="17"/>
      <c r="D178" s="17">
        <v>435.83100000000002</v>
      </c>
      <c r="E178" s="17">
        <v>446.24200000000002</v>
      </c>
      <c r="F178" s="17">
        <v>431.53399999999999</v>
      </c>
      <c r="G178" s="17">
        <v>407.27600000000001</v>
      </c>
      <c r="H178" s="17"/>
      <c r="I178" s="17"/>
      <c r="J178" s="17">
        <v>412.67599999999999</v>
      </c>
      <c r="K178" s="23"/>
      <c r="L178" s="17">
        <v>544.45799999999997</v>
      </c>
      <c r="M178" s="17">
        <v>424.351</v>
      </c>
      <c r="N178" s="17">
        <v>460.43200000000002</v>
      </c>
      <c r="O178" s="17">
        <v>440.024</v>
      </c>
      <c r="P178" s="17">
        <v>410.33699999999999</v>
      </c>
      <c r="Q178" s="17">
        <v>425.49200000000002</v>
      </c>
      <c r="R178" s="17">
        <v>442.34800000000001</v>
      </c>
      <c r="S178" s="17">
        <v>419.86500000000001</v>
      </c>
      <c r="T178" s="17">
        <v>403.4</v>
      </c>
      <c r="U178" s="17">
        <v>400.04199999999997</v>
      </c>
      <c r="V178" s="17">
        <v>409.38799999999998</v>
      </c>
      <c r="W178" s="17">
        <v>428.09800000000001</v>
      </c>
      <c r="X178" s="17">
        <v>453.01799999999997</v>
      </c>
      <c r="Y178" s="17">
        <v>538.90200000000004</v>
      </c>
      <c r="Z178" s="17">
        <v>466.73200000000003</v>
      </c>
      <c r="AA178" s="17">
        <v>433.13</v>
      </c>
      <c r="AB178" s="17"/>
      <c r="AC178" s="17"/>
      <c r="AD178" s="26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>
        <v>400.56299999999999</v>
      </c>
      <c r="AO178" s="17">
        <v>417.17500000000001</v>
      </c>
      <c r="AP178" s="17"/>
      <c r="AQ178" s="17">
        <v>399.97399999999999</v>
      </c>
      <c r="AR178" s="17"/>
      <c r="AS178" s="17"/>
      <c r="AT178" s="17"/>
      <c r="AU178" s="17"/>
      <c r="AV178" s="17"/>
      <c r="AW178" s="17">
        <v>487.07600000000002</v>
      </c>
    </row>
    <row r="179" spans="1:49" x14ac:dyDescent="0.35">
      <c r="A179" s="3">
        <f t="shared" ref="A179:A242" si="32">A178+1</f>
        <v>162</v>
      </c>
      <c r="B179" s="17"/>
      <c r="C179" s="17"/>
      <c r="D179" s="17">
        <v>435.92500000000001</v>
      </c>
      <c r="E179" s="17">
        <v>445.76</v>
      </c>
      <c r="F179" s="17">
        <v>430.38900000000001</v>
      </c>
      <c r="G179" s="17">
        <v>407.10599999999999</v>
      </c>
      <c r="H179" s="17"/>
      <c r="I179" s="17"/>
      <c r="J179" s="17">
        <v>410.959</v>
      </c>
      <c r="K179" s="23"/>
      <c r="L179" s="17">
        <v>543.87800000000004</v>
      </c>
      <c r="M179" s="17">
        <v>424.11900000000003</v>
      </c>
      <c r="N179" s="17">
        <v>461.3</v>
      </c>
      <c r="O179" s="17">
        <v>439.55700000000002</v>
      </c>
      <c r="P179" s="17">
        <v>410.43200000000002</v>
      </c>
      <c r="Q179" s="17">
        <v>426.68099999999998</v>
      </c>
      <c r="R179" s="17">
        <v>443.84199999999998</v>
      </c>
      <c r="S179" s="17">
        <v>418.65899999999999</v>
      </c>
      <c r="T179" s="17">
        <v>405.57499999999999</v>
      </c>
      <c r="U179" s="17">
        <v>400.863</v>
      </c>
      <c r="V179" s="17">
        <v>409.98099999999999</v>
      </c>
      <c r="W179" s="17">
        <v>426.971</v>
      </c>
      <c r="X179" s="17">
        <v>451.649</v>
      </c>
      <c r="Y179" s="17">
        <v>539.20899999999995</v>
      </c>
      <c r="Z179" s="17">
        <v>467.16699999999997</v>
      </c>
      <c r="AA179" s="17">
        <v>431.73500000000001</v>
      </c>
      <c r="AB179" s="17"/>
      <c r="AC179" s="17"/>
      <c r="AD179" s="26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>
        <v>400.61599999999999</v>
      </c>
      <c r="AO179" s="17">
        <v>416.505</v>
      </c>
      <c r="AP179" s="17"/>
      <c r="AQ179" s="17">
        <v>399.86599999999999</v>
      </c>
      <c r="AR179" s="17"/>
      <c r="AS179" s="17"/>
      <c r="AT179" s="17"/>
      <c r="AU179" s="17"/>
      <c r="AV179" s="17"/>
      <c r="AW179" s="17">
        <v>486.65499999999997</v>
      </c>
    </row>
    <row r="180" spans="1:49" x14ac:dyDescent="0.35">
      <c r="A180" s="3">
        <f t="shared" si="32"/>
        <v>163</v>
      </c>
      <c r="B180" s="17"/>
      <c r="C180" s="17"/>
      <c r="D180" s="17">
        <v>436.86900000000003</v>
      </c>
      <c r="E180" s="17">
        <v>445.512</v>
      </c>
      <c r="F180" s="17">
        <v>430.18299999999999</v>
      </c>
      <c r="G180" s="17">
        <v>406.93099999999998</v>
      </c>
      <c r="H180" s="17"/>
      <c r="I180" s="17"/>
      <c r="J180" s="17">
        <v>411.16699999999997</v>
      </c>
      <c r="K180" s="23"/>
      <c r="L180" s="17">
        <v>544.57600000000002</v>
      </c>
      <c r="M180" s="17">
        <v>423.59699999999998</v>
      </c>
      <c r="N180" s="17">
        <v>462.024</v>
      </c>
      <c r="O180" s="17">
        <v>440.46</v>
      </c>
      <c r="P180" s="17">
        <v>410.11200000000002</v>
      </c>
      <c r="Q180" s="17">
        <v>425.553</v>
      </c>
      <c r="R180" s="17">
        <v>444.072</v>
      </c>
      <c r="S180" s="17">
        <v>420.29199999999997</v>
      </c>
      <c r="T180" s="17">
        <v>406.11900000000003</v>
      </c>
      <c r="U180" s="17">
        <v>399.58800000000002</v>
      </c>
      <c r="V180" s="17">
        <v>410.21600000000001</v>
      </c>
      <c r="W180" s="17">
        <v>427.142</v>
      </c>
      <c r="X180" s="17">
        <v>453.74799999999999</v>
      </c>
      <c r="Y180" s="17">
        <v>539.81399999999996</v>
      </c>
      <c r="Z180" s="17">
        <v>466.93099999999998</v>
      </c>
      <c r="AA180" s="17">
        <v>433.41</v>
      </c>
      <c r="AB180" s="17"/>
      <c r="AC180" s="17"/>
      <c r="AD180" s="26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>
        <v>400.05099999999999</v>
      </c>
      <c r="AO180" s="17">
        <v>416.971</v>
      </c>
      <c r="AP180" s="17"/>
      <c r="AQ180" s="17">
        <v>398.58600000000001</v>
      </c>
      <c r="AR180" s="17"/>
      <c r="AS180" s="17"/>
      <c r="AT180" s="17"/>
      <c r="AU180" s="17"/>
      <c r="AV180" s="17"/>
      <c r="AW180" s="17">
        <v>486.98500000000001</v>
      </c>
    </row>
    <row r="181" spans="1:49" x14ac:dyDescent="0.35">
      <c r="A181" s="3">
        <f t="shared" si="32"/>
        <v>164</v>
      </c>
      <c r="B181" s="17"/>
      <c r="C181" s="17"/>
      <c r="D181" s="17">
        <v>436.06900000000002</v>
      </c>
      <c r="E181" s="17">
        <v>446.166</v>
      </c>
      <c r="F181" s="17">
        <v>430.28300000000002</v>
      </c>
      <c r="G181" s="17">
        <v>407.23</v>
      </c>
      <c r="H181" s="17"/>
      <c r="I181" s="17"/>
      <c r="J181" s="17">
        <v>412.21199999999999</v>
      </c>
      <c r="K181" s="23"/>
      <c r="L181" s="17">
        <v>544.95299999999997</v>
      </c>
      <c r="M181" s="17">
        <v>424.99700000000001</v>
      </c>
      <c r="N181" s="17">
        <v>461.66300000000001</v>
      </c>
      <c r="O181" s="17">
        <v>439.31799999999998</v>
      </c>
      <c r="P181" s="17">
        <v>409.48599999999999</v>
      </c>
      <c r="Q181" s="17">
        <v>426.42500000000001</v>
      </c>
      <c r="R181" s="17">
        <v>441.95499999999998</v>
      </c>
      <c r="S181" s="17">
        <v>418.43599999999998</v>
      </c>
      <c r="T181" s="17">
        <v>405.81799999999998</v>
      </c>
      <c r="U181" s="17">
        <v>400.58300000000003</v>
      </c>
      <c r="V181" s="17">
        <v>409.38099999999997</v>
      </c>
      <c r="W181" s="17">
        <v>425.93900000000002</v>
      </c>
      <c r="X181" s="17">
        <v>454.27</v>
      </c>
      <c r="Y181" s="17">
        <v>539.97799999999995</v>
      </c>
      <c r="Z181" s="17">
        <v>466.858</v>
      </c>
      <c r="AA181" s="17">
        <v>433.69499999999999</v>
      </c>
      <c r="AB181" s="17"/>
      <c r="AC181" s="17"/>
      <c r="AD181" s="26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>
        <v>399.24</v>
      </c>
      <c r="AO181" s="17">
        <v>417.15499999999997</v>
      </c>
      <c r="AP181" s="17"/>
      <c r="AQ181" s="17">
        <v>398.92700000000002</v>
      </c>
      <c r="AR181" s="17"/>
      <c r="AS181" s="17"/>
      <c r="AT181" s="17"/>
      <c r="AU181" s="17"/>
      <c r="AV181" s="17"/>
      <c r="AW181" s="17">
        <v>486.16199999999998</v>
      </c>
    </row>
    <row r="182" spans="1:49" x14ac:dyDescent="0.35">
      <c r="A182" s="3">
        <f t="shared" si="32"/>
        <v>165</v>
      </c>
      <c r="B182" s="17"/>
      <c r="C182" s="17"/>
      <c r="D182" s="17">
        <v>436.13400000000001</v>
      </c>
      <c r="E182" s="17">
        <v>446.452</v>
      </c>
      <c r="F182" s="17">
        <v>430.51900000000001</v>
      </c>
      <c r="G182" s="17">
        <v>407.13200000000001</v>
      </c>
      <c r="H182" s="17"/>
      <c r="I182" s="17"/>
      <c r="J182" s="17">
        <v>411.10300000000001</v>
      </c>
      <c r="K182" s="23"/>
      <c r="L182" s="17">
        <v>545.44799999999998</v>
      </c>
      <c r="M182" s="17">
        <v>425.37599999999998</v>
      </c>
      <c r="N182" s="17">
        <v>461.59399999999999</v>
      </c>
      <c r="O182" s="17">
        <v>440.14100000000002</v>
      </c>
      <c r="P182" s="17">
        <v>409.98599999999999</v>
      </c>
      <c r="Q182" s="17">
        <v>426.28300000000002</v>
      </c>
      <c r="R182" s="17">
        <v>444.09</v>
      </c>
      <c r="S182" s="17">
        <v>419.5</v>
      </c>
      <c r="T182" s="17">
        <v>405.31</v>
      </c>
      <c r="U182" s="17">
        <v>400.56900000000002</v>
      </c>
      <c r="V182" s="17">
        <v>409.81</v>
      </c>
      <c r="W182" s="17">
        <v>426.55799999999999</v>
      </c>
      <c r="X182" s="17">
        <v>452.95800000000003</v>
      </c>
      <c r="Y182" s="17">
        <v>539.745</v>
      </c>
      <c r="Z182" s="17">
        <v>468.34800000000001</v>
      </c>
      <c r="AA182" s="17">
        <v>431.64</v>
      </c>
      <c r="AB182" s="17"/>
      <c r="AC182" s="17"/>
      <c r="AD182" s="26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>
        <v>400.65300000000002</v>
      </c>
      <c r="AO182" s="17">
        <v>417.88200000000001</v>
      </c>
      <c r="AP182" s="17"/>
      <c r="AQ182" s="17">
        <v>397.839</v>
      </c>
      <c r="AR182" s="17"/>
      <c r="AS182" s="17"/>
      <c r="AT182" s="17"/>
      <c r="AU182" s="17"/>
      <c r="AV182" s="17"/>
      <c r="AW182" s="17">
        <v>486.27</v>
      </c>
    </row>
    <row r="183" spans="1:49" x14ac:dyDescent="0.35">
      <c r="A183" s="3">
        <f t="shared" si="32"/>
        <v>166</v>
      </c>
      <c r="B183" s="17"/>
      <c r="C183" s="17"/>
      <c r="D183" s="17">
        <v>437.50099999999998</v>
      </c>
      <c r="E183" s="17">
        <v>446.93700000000001</v>
      </c>
      <c r="F183" s="17">
        <v>429.61200000000002</v>
      </c>
      <c r="G183" s="17">
        <v>406.04300000000001</v>
      </c>
      <c r="H183" s="17"/>
      <c r="I183" s="17"/>
      <c r="J183" s="17">
        <v>412.95800000000003</v>
      </c>
      <c r="K183" s="23"/>
      <c r="L183" s="17">
        <v>545.85799999999995</v>
      </c>
      <c r="M183" s="17">
        <v>424.904</v>
      </c>
      <c r="N183" s="17">
        <v>462.37299999999999</v>
      </c>
      <c r="O183" s="17">
        <v>438.673</v>
      </c>
      <c r="P183" s="17">
        <v>410.3</v>
      </c>
      <c r="Q183" s="17">
        <v>427.68299999999999</v>
      </c>
      <c r="R183" s="17">
        <v>442.875</v>
      </c>
      <c r="S183" s="17">
        <v>420.32900000000001</v>
      </c>
      <c r="T183" s="17">
        <v>406.77699999999999</v>
      </c>
      <c r="U183" s="17">
        <v>401.22399999999999</v>
      </c>
      <c r="V183" s="17">
        <v>409.92200000000003</v>
      </c>
      <c r="W183" s="17">
        <v>426.60700000000003</v>
      </c>
      <c r="X183" s="17">
        <v>453.572</v>
      </c>
      <c r="Y183" s="17">
        <v>540.81700000000001</v>
      </c>
      <c r="Z183" s="17">
        <v>468.64400000000001</v>
      </c>
      <c r="AA183" s="17">
        <v>432.43599999999998</v>
      </c>
      <c r="AB183" s="17"/>
      <c r="AC183" s="17"/>
      <c r="AD183" s="26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>
        <v>401.00200000000001</v>
      </c>
      <c r="AO183" s="17">
        <v>415.18599999999998</v>
      </c>
      <c r="AP183" s="17"/>
      <c r="AQ183" s="17">
        <v>398.42399999999998</v>
      </c>
      <c r="AR183" s="17"/>
      <c r="AS183" s="17"/>
      <c r="AT183" s="17"/>
      <c r="AU183" s="17"/>
      <c r="AV183" s="17"/>
      <c r="AW183" s="17">
        <v>486.755</v>
      </c>
    </row>
    <row r="184" spans="1:49" x14ac:dyDescent="0.35">
      <c r="A184" s="3">
        <f t="shared" si="32"/>
        <v>167</v>
      </c>
      <c r="B184" s="17"/>
      <c r="C184" s="17"/>
      <c r="D184" s="17">
        <v>439.06599999999997</v>
      </c>
      <c r="E184" s="17">
        <v>446.64100000000002</v>
      </c>
      <c r="F184" s="17">
        <v>431.79300000000001</v>
      </c>
      <c r="G184" s="17">
        <v>407.87900000000002</v>
      </c>
      <c r="H184" s="17"/>
      <c r="I184" s="17"/>
      <c r="J184" s="17">
        <v>412.52100000000002</v>
      </c>
      <c r="K184" s="23"/>
      <c r="L184" s="17">
        <v>545.07799999999997</v>
      </c>
      <c r="M184" s="17">
        <v>425.15899999999999</v>
      </c>
      <c r="N184" s="17">
        <v>463.14600000000002</v>
      </c>
      <c r="O184" s="17">
        <v>438.209</v>
      </c>
      <c r="P184" s="17">
        <v>410.63400000000001</v>
      </c>
      <c r="Q184" s="17">
        <v>427.08600000000001</v>
      </c>
      <c r="R184" s="17">
        <v>444.02800000000002</v>
      </c>
      <c r="S184" s="17">
        <v>420.11599999999999</v>
      </c>
      <c r="T184" s="17">
        <v>406.47899999999998</v>
      </c>
      <c r="U184" s="17">
        <v>401.15499999999997</v>
      </c>
      <c r="V184" s="17">
        <v>409.44900000000001</v>
      </c>
      <c r="W184" s="17">
        <v>425.4</v>
      </c>
      <c r="X184" s="17">
        <v>453.30799999999999</v>
      </c>
      <c r="Y184" s="17">
        <v>540.66300000000001</v>
      </c>
      <c r="Z184" s="17">
        <v>468.63499999999999</v>
      </c>
      <c r="AA184" s="17">
        <v>433.33699999999999</v>
      </c>
      <c r="AB184" s="17"/>
      <c r="AC184" s="17"/>
      <c r="AD184" s="26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>
        <v>401.85599999999999</v>
      </c>
      <c r="AO184" s="17">
        <v>415.81700000000001</v>
      </c>
      <c r="AP184" s="17"/>
      <c r="AQ184" s="17">
        <v>398.84300000000002</v>
      </c>
      <c r="AR184" s="17"/>
      <c r="AS184" s="17"/>
      <c r="AT184" s="17"/>
      <c r="AU184" s="17"/>
      <c r="AV184" s="17"/>
      <c r="AW184" s="17">
        <v>486.11399999999998</v>
      </c>
    </row>
    <row r="185" spans="1:49" x14ac:dyDescent="0.35">
      <c r="A185" s="3">
        <f t="shared" si="32"/>
        <v>168</v>
      </c>
      <c r="B185" s="17"/>
      <c r="C185" s="17"/>
      <c r="D185" s="17">
        <v>438.31400000000002</v>
      </c>
      <c r="E185" s="17">
        <v>445.74799999999999</v>
      </c>
      <c r="F185" s="17">
        <v>430.738</v>
      </c>
      <c r="G185" s="17">
        <v>407.36500000000001</v>
      </c>
      <c r="H185" s="17"/>
      <c r="I185" s="17"/>
      <c r="J185" s="17">
        <v>411.786</v>
      </c>
      <c r="K185" s="23"/>
      <c r="L185" s="17">
        <v>545.28099999999995</v>
      </c>
      <c r="M185" s="17">
        <v>423.69400000000002</v>
      </c>
      <c r="N185" s="17">
        <v>462.19200000000001</v>
      </c>
      <c r="O185" s="17">
        <v>438.529</v>
      </c>
      <c r="P185" s="17">
        <v>409.75900000000001</v>
      </c>
      <c r="Q185" s="17">
        <v>427.06900000000002</v>
      </c>
      <c r="R185" s="17">
        <v>443.36799999999999</v>
      </c>
      <c r="S185" s="17">
        <v>419.83</v>
      </c>
      <c r="T185" s="17">
        <v>405.54</v>
      </c>
      <c r="U185" s="17">
        <v>399.93200000000002</v>
      </c>
      <c r="V185" s="17">
        <v>411.78899999999999</v>
      </c>
      <c r="W185" s="17">
        <v>424.84399999999999</v>
      </c>
      <c r="X185" s="17">
        <v>452.541</v>
      </c>
      <c r="Y185" s="17">
        <v>541.41800000000001</v>
      </c>
      <c r="Z185" s="17">
        <v>469.23500000000001</v>
      </c>
      <c r="AA185" s="17">
        <v>432.86399999999998</v>
      </c>
      <c r="AB185" s="17"/>
      <c r="AC185" s="17"/>
      <c r="AD185" s="26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>
        <v>400.70400000000001</v>
      </c>
      <c r="AO185" s="17">
        <v>416.834</v>
      </c>
      <c r="AP185" s="17"/>
      <c r="AQ185" s="17">
        <v>397.23099999999999</v>
      </c>
      <c r="AR185" s="17"/>
      <c r="AS185" s="17"/>
      <c r="AT185" s="17"/>
      <c r="AU185" s="17"/>
      <c r="AV185" s="17"/>
      <c r="AW185" s="17">
        <v>486.2</v>
      </c>
    </row>
    <row r="186" spans="1:49" x14ac:dyDescent="0.35">
      <c r="A186" s="3">
        <f t="shared" si="32"/>
        <v>169</v>
      </c>
      <c r="B186" s="17"/>
      <c r="C186" s="17"/>
      <c r="D186" s="17">
        <v>438.98</v>
      </c>
      <c r="E186" s="17">
        <v>446.01600000000002</v>
      </c>
      <c r="F186" s="17">
        <v>430.18200000000002</v>
      </c>
      <c r="G186" s="17">
        <v>405.13499999999999</v>
      </c>
      <c r="H186" s="17"/>
      <c r="I186" s="17"/>
      <c r="J186" s="17">
        <v>411.06200000000001</v>
      </c>
      <c r="K186" s="23"/>
      <c r="L186" s="17">
        <v>544.69100000000003</v>
      </c>
      <c r="M186" s="17">
        <v>424.43799999999999</v>
      </c>
      <c r="N186" s="17">
        <v>461.37400000000002</v>
      </c>
      <c r="O186" s="17">
        <v>439.72500000000002</v>
      </c>
      <c r="P186" s="17">
        <v>410.07</v>
      </c>
      <c r="Q186" s="17">
        <v>428.35</v>
      </c>
      <c r="R186" s="17">
        <v>443.03300000000002</v>
      </c>
      <c r="S186" s="17">
        <v>418.976</v>
      </c>
      <c r="T186" s="17">
        <v>406.23</v>
      </c>
      <c r="U186" s="17">
        <v>401.44799999999998</v>
      </c>
      <c r="V186" s="17">
        <v>409.55799999999999</v>
      </c>
      <c r="W186" s="17">
        <v>425.11399999999998</v>
      </c>
      <c r="X186" s="17">
        <v>453.18200000000002</v>
      </c>
      <c r="Y186" s="17">
        <v>541.42600000000004</v>
      </c>
      <c r="Z186" s="17">
        <v>470.30700000000002</v>
      </c>
      <c r="AA186" s="17">
        <v>433.60899999999998</v>
      </c>
      <c r="AB186" s="17"/>
      <c r="AC186" s="17"/>
      <c r="AD186" s="26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>
        <v>401.68599999999998</v>
      </c>
      <c r="AO186" s="17">
        <v>416.31299999999999</v>
      </c>
      <c r="AP186" s="17"/>
      <c r="AQ186" s="17">
        <v>398.63299999999998</v>
      </c>
      <c r="AR186" s="17"/>
      <c r="AS186" s="17"/>
      <c r="AT186" s="17"/>
      <c r="AU186" s="17"/>
      <c r="AV186" s="17"/>
      <c r="AW186" s="17">
        <v>486.05799999999999</v>
      </c>
    </row>
    <row r="187" spans="1:49" x14ac:dyDescent="0.35">
      <c r="A187" s="3">
        <f t="shared" si="32"/>
        <v>170</v>
      </c>
      <c r="B187" s="17"/>
      <c r="C187" s="17"/>
      <c r="D187" s="17">
        <v>437.96699999999998</v>
      </c>
      <c r="E187" s="17">
        <v>444.93799999999999</v>
      </c>
      <c r="F187" s="17">
        <v>430.87400000000002</v>
      </c>
      <c r="G187" s="17">
        <v>408.23700000000002</v>
      </c>
      <c r="H187" s="17"/>
      <c r="I187" s="17"/>
      <c r="J187" s="17">
        <v>411.04700000000003</v>
      </c>
      <c r="K187" s="23"/>
      <c r="L187" s="17">
        <v>545.47799999999995</v>
      </c>
      <c r="M187" s="17">
        <v>425.03500000000003</v>
      </c>
      <c r="N187" s="17">
        <v>462.93</v>
      </c>
      <c r="O187" s="17">
        <v>440.13600000000002</v>
      </c>
      <c r="P187" s="17">
        <v>409.79899999999998</v>
      </c>
      <c r="Q187" s="17">
        <v>428.03699999999998</v>
      </c>
      <c r="R187" s="17">
        <v>444.69600000000003</v>
      </c>
      <c r="S187" s="17">
        <v>419.928</v>
      </c>
      <c r="T187" s="17">
        <v>406.09800000000001</v>
      </c>
      <c r="U187" s="17">
        <v>400.72800000000001</v>
      </c>
      <c r="V187" s="17">
        <v>411.19799999999998</v>
      </c>
      <c r="W187" s="17">
        <v>425.19099999999997</v>
      </c>
      <c r="X187" s="17">
        <v>453.54</v>
      </c>
      <c r="Y187" s="17">
        <v>540.88800000000003</v>
      </c>
      <c r="Z187" s="17">
        <v>469.23599999999999</v>
      </c>
      <c r="AA187" s="17">
        <v>433.67200000000003</v>
      </c>
      <c r="AB187" s="17"/>
      <c r="AC187" s="17"/>
      <c r="AD187" s="26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>
        <v>400.47399999999999</v>
      </c>
      <c r="AO187" s="17">
        <v>416.464</v>
      </c>
      <c r="AP187" s="17"/>
      <c r="AQ187" s="17">
        <v>399.16699999999997</v>
      </c>
      <c r="AR187" s="17"/>
      <c r="AS187" s="17"/>
      <c r="AT187" s="17"/>
      <c r="AU187" s="17"/>
      <c r="AV187" s="17"/>
      <c r="AW187" s="17">
        <v>487.07600000000002</v>
      </c>
    </row>
    <row r="188" spans="1:49" x14ac:dyDescent="0.35">
      <c r="A188" s="3">
        <f t="shared" si="32"/>
        <v>171</v>
      </c>
      <c r="B188" s="17"/>
      <c r="C188" s="17"/>
      <c r="D188" s="17">
        <v>438.34800000000001</v>
      </c>
      <c r="E188" s="17">
        <v>445.12299999999999</v>
      </c>
      <c r="F188" s="17">
        <v>430.488</v>
      </c>
      <c r="G188" s="17">
        <v>406.88099999999997</v>
      </c>
      <c r="H188" s="17"/>
      <c r="I188" s="17"/>
      <c r="J188" s="17">
        <v>411.11099999999999</v>
      </c>
      <c r="K188" s="23"/>
      <c r="L188" s="17">
        <v>547.60599999999999</v>
      </c>
      <c r="M188" s="17">
        <v>424.976</v>
      </c>
      <c r="N188" s="17">
        <v>462.84399999999999</v>
      </c>
      <c r="O188" s="17">
        <v>440.96</v>
      </c>
      <c r="P188" s="17">
        <v>410.399</v>
      </c>
      <c r="Q188" s="17">
        <v>427.19900000000001</v>
      </c>
      <c r="R188" s="17">
        <v>442.17200000000003</v>
      </c>
      <c r="S188" s="17">
        <v>420.03800000000001</v>
      </c>
      <c r="T188" s="17">
        <v>406.39100000000002</v>
      </c>
      <c r="U188" s="17">
        <v>399.49599999999998</v>
      </c>
      <c r="V188" s="17">
        <v>411.11900000000003</v>
      </c>
      <c r="W188" s="17">
        <v>425.072</v>
      </c>
      <c r="X188" s="17">
        <v>452.96</v>
      </c>
      <c r="Y188" s="17">
        <v>542.13400000000001</v>
      </c>
      <c r="Z188" s="17">
        <v>469.99700000000001</v>
      </c>
      <c r="AA188" s="17">
        <v>433.18</v>
      </c>
      <c r="AB188" s="17"/>
      <c r="AC188" s="17"/>
      <c r="AD188" s="26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>
        <v>400.10300000000001</v>
      </c>
      <c r="AO188" s="17">
        <v>417.19499999999999</v>
      </c>
      <c r="AP188" s="17"/>
      <c r="AQ188" s="17">
        <v>399.39800000000002</v>
      </c>
      <c r="AR188" s="17"/>
      <c r="AS188" s="17"/>
      <c r="AT188" s="17"/>
      <c r="AU188" s="17"/>
      <c r="AV188" s="17"/>
      <c r="AW188" s="17">
        <v>487.00900000000001</v>
      </c>
    </row>
    <row r="189" spans="1:49" x14ac:dyDescent="0.35">
      <c r="A189" s="3">
        <f t="shared" si="32"/>
        <v>172</v>
      </c>
      <c r="B189" s="17"/>
      <c r="C189" s="17"/>
      <c r="D189" s="17">
        <v>437.29199999999997</v>
      </c>
      <c r="E189" s="17">
        <v>445.31400000000002</v>
      </c>
      <c r="F189" s="17">
        <v>430.68799999999999</v>
      </c>
      <c r="G189" s="17">
        <v>406.45400000000001</v>
      </c>
      <c r="H189" s="17"/>
      <c r="I189" s="17"/>
      <c r="J189" s="17">
        <v>411.28</v>
      </c>
      <c r="K189" s="23"/>
      <c r="L189" s="17">
        <v>545.91700000000003</v>
      </c>
      <c r="M189" s="17">
        <v>423.04599999999999</v>
      </c>
      <c r="N189" s="17">
        <v>462.685</v>
      </c>
      <c r="O189" s="17">
        <v>439.90199999999999</v>
      </c>
      <c r="P189" s="17">
        <v>409.49</v>
      </c>
      <c r="Q189" s="17">
        <v>428.42</v>
      </c>
      <c r="R189" s="17">
        <v>444.57900000000001</v>
      </c>
      <c r="S189" s="17">
        <v>419.96600000000001</v>
      </c>
      <c r="T189" s="17">
        <v>404.75700000000001</v>
      </c>
      <c r="U189" s="17">
        <v>400.97300000000001</v>
      </c>
      <c r="V189" s="17">
        <v>407.97</v>
      </c>
      <c r="W189" s="17">
        <v>426.52499999999998</v>
      </c>
      <c r="X189" s="17">
        <v>453.899</v>
      </c>
      <c r="Y189" s="17">
        <v>542.53</v>
      </c>
      <c r="Z189" s="17">
        <v>470.02</v>
      </c>
      <c r="AA189" s="17">
        <v>432.529</v>
      </c>
      <c r="AB189" s="17"/>
      <c r="AC189" s="17"/>
      <c r="AD189" s="26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>
        <v>399.64699999999999</v>
      </c>
      <c r="AO189" s="17">
        <v>416.89400000000001</v>
      </c>
      <c r="AP189" s="17"/>
      <c r="AQ189" s="17">
        <v>399.96800000000002</v>
      </c>
      <c r="AR189" s="17"/>
      <c r="AS189" s="17"/>
      <c r="AT189" s="17"/>
      <c r="AU189" s="17"/>
      <c r="AV189" s="17"/>
      <c r="AW189" s="17">
        <v>486.80099999999999</v>
      </c>
    </row>
    <row r="190" spans="1:49" x14ac:dyDescent="0.35">
      <c r="A190" s="3">
        <f t="shared" si="32"/>
        <v>173</v>
      </c>
      <c r="B190" s="17"/>
      <c r="C190" s="17"/>
      <c r="D190" s="17">
        <v>438.36799999999999</v>
      </c>
      <c r="E190" s="17">
        <v>445.06299999999999</v>
      </c>
      <c r="F190" s="17">
        <v>430.15499999999997</v>
      </c>
      <c r="G190" s="17">
        <v>407.94099999999997</v>
      </c>
      <c r="H190" s="17"/>
      <c r="I190" s="17"/>
      <c r="J190" s="17">
        <v>410.34899999999999</v>
      </c>
      <c r="K190" s="23"/>
      <c r="L190" s="17">
        <v>544.827</v>
      </c>
      <c r="M190" s="17">
        <v>422.37700000000001</v>
      </c>
      <c r="N190" s="17">
        <v>462.42399999999998</v>
      </c>
      <c r="O190" s="17">
        <v>439.77800000000002</v>
      </c>
      <c r="P190" s="17">
        <v>409.93900000000002</v>
      </c>
      <c r="Q190" s="17">
        <v>428.25799999999998</v>
      </c>
      <c r="R190" s="17">
        <v>443.24400000000003</v>
      </c>
      <c r="S190" s="17">
        <v>419.90800000000002</v>
      </c>
      <c r="T190" s="17">
        <v>407.05900000000003</v>
      </c>
      <c r="U190" s="17">
        <v>400.61399999999998</v>
      </c>
      <c r="V190" s="17">
        <v>412.12099999999998</v>
      </c>
      <c r="W190" s="17">
        <v>423.108</v>
      </c>
      <c r="X190" s="17">
        <v>454.58300000000003</v>
      </c>
      <c r="Y190" s="17">
        <v>542.01599999999996</v>
      </c>
      <c r="Z190" s="17">
        <v>469.14299999999997</v>
      </c>
      <c r="AA190" s="17">
        <v>433.322</v>
      </c>
      <c r="AB190" s="17"/>
      <c r="AC190" s="17"/>
      <c r="AD190" s="26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>
        <v>399.52</v>
      </c>
      <c r="AO190" s="17">
        <v>416.392</v>
      </c>
      <c r="AP190" s="17"/>
      <c r="AQ190" s="17">
        <v>399.80799999999999</v>
      </c>
      <c r="AR190" s="17"/>
      <c r="AS190" s="17"/>
      <c r="AT190" s="17"/>
      <c r="AU190" s="17"/>
      <c r="AV190" s="17"/>
      <c r="AW190" s="17">
        <v>487.053</v>
      </c>
    </row>
    <row r="191" spans="1:49" x14ac:dyDescent="0.35">
      <c r="A191" s="3">
        <f t="shared" si="32"/>
        <v>174</v>
      </c>
      <c r="B191" s="17"/>
      <c r="C191" s="17"/>
      <c r="D191" s="17">
        <v>439.22</v>
      </c>
      <c r="E191" s="17">
        <v>445.80700000000002</v>
      </c>
      <c r="F191" s="17">
        <v>430.88299999999998</v>
      </c>
      <c r="G191" s="17">
        <v>407.82299999999998</v>
      </c>
      <c r="H191" s="17"/>
      <c r="I191" s="17"/>
      <c r="J191" s="17">
        <v>411.05099999999999</v>
      </c>
      <c r="K191" s="23"/>
      <c r="L191" s="17">
        <v>546.15099999999995</v>
      </c>
      <c r="M191" s="17">
        <v>421.82799999999997</v>
      </c>
      <c r="N191" s="17">
        <v>463.31900000000002</v>
      </c>
      <c r="O191" s="17">
        <v>441.209</v>
      </c>
      <c r="P191" s="17">
        <v>409.32499999999999</v>
      </c>
      <c r="Q191" s="17">
        <v>427.41399999999999</v>
      </c>
      <c r="R191" s="17">
        <v>441.82600000000002</v>
      </c>
      <c r="S191" s="17">
        <v>419.964</v>
      </c>
      <c r="T191" s="17">
        <v>405.96499999999997</v>
      </c>
      <c r="U191" s="17">
        <v>400.50900000000001</v>
      </c>
      <c r="V191" s="17">
        <v>410.18299999999999</v>
      </c>
      <c r="W191" s="17">
        <v>423.53399999999999</v>
      </c>
      <c r="X191" s="17">
        <v>453.839</v>
      </c>
      <c r="Y191" s="17">
        <v>542.33799999999997</v>
      </c>
      <c r="Z191" s="17">
        <v>470.34800000000001</v>
      </c>
      <c r="AA191" s="17">
        <v>432.12200000000001</v>
      </c>
      <c r="AB191" s="17"/>
      <c r="AC191" s="17"/>
      <c r="AD191" s="26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>
        <v>399.66300000000001</v>
      </c>
      <c r="AO191" s="17">
        <v>415.53199999999998</v>
      </c>
      <c r="AP191" s="17"/>
      <c r="AQ191" s="17">
        <v>399.27600000000001</v>
      </c>
      <c r="AR191" s="17"/>
      <c r="AS191" s="17"/>
      <c r="AT191" s="17"/>
      <c r="AU191" s="17"/>
      <c r="AV191" s="17"/>
      <c r="AW191" s="17">
        <v>487.14100000000002</v>
      </c>
    </row>
    <row r="192" spans="1:49" x14ac:dyDescent="0.35">
      <c r="A192" s="3">
        <f t="shared" si="32"/>
        <v>175</v>
      </c>
      <c r="B192" s="17"/>
      <c r="C192" s="17"/>
      <c r="D192" s="17">
        <v>439.03100000000001</v>
      </c>
      <c r="E192" s="17">
        <v>445.82799999999997</v>
      </c>
      <c r="F192" s="17">
        <v>431.01100000000002</v>
      </c>
      <c r="G192" s="17">
        <v>408.38</v>
      </c>
      <c r="H192" s="17"/>
      <c r="I192" s="17"/>
      <c r="J192" s="17">
        <v>410.12400000000002</v>
      </c>
      <c r="K192" s="23"/>
      <c r="L192" s="17">
        <v>545.971</v>
      </c>
      <c r="M192" s="17">
        <v>422.31900000000002</v>
      </c>
      <c r="N192" s="17">
        <v>464.09500000000003</v>
      </c>
      <c r="O192" s="17">
        <v>439.59500000000003</v>
      </c>
      <c r="P192" s="17">
        <v>408.77</v>
      </c>
      <c r="Q192" s="17">
        <v>427.31</v>
      </c>
      <c r="R192" s="17">
        <v>443.173</v>
      </c>
      <c r="S192" s="17">
        <v>420.29599999999999</v>
      </c>
      <c r="T192" s="17">
        <v>406.85500000000002</v>
      </c>
      <c r="U192" s="17">
        <v>400.35700000000003</v>
      </c>
      <c r="V192" s="17">
        <v>410.83</v>
      </c>
      <c r="W192" s="17">
        <v>423.87099999999998</v>
      </c>
      <c r="X192" s="17">
        <v>455.11399999999998</v>
      </c>
      <c r="Y192" s="17">
        <v>543.59299999999996</v>
      </c>
      <c r="Z192" s="17">
        <v>471.30700000000002</v>
      </c>
      <c r="AA192" s="17">
        <v>432.62099999999998</v>
      </c>
      <c r="AB192" s="17"/>
      <c r="AC192" s="17"/>
      <c r="AD192" s="26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>
        <v>399.02199999999999</v>
      </c>
      <c r="AO192" s="17">
        <v>418.50599999999997</v>
      </c>
      <c r="AP192" s="17"/>
      <c r="AQ192" s="17">
        <v>401.95499999999998</v>
      </c>
      <c r="AR192" s="17"/>
      <c r="AS192" s="17"/>
      <c r="AT192" s="17"/>
      <c r="AU192" s="17"/>
      <c r="AV192" s="17"/>
      <c r="AW192" s="17">
        <v>487.56099999999998</v>
      </c>
    </row>
    <row r="193" spans="1:49" x14ac:dyDescent="0.35">
      <c r="A193" s="3">
        <f t="shared" si="32"/>
        <v>176</v>
      </c>
      <c r="B193" s="17"/>
      <c r="C193" s="17"/>
      <c r="D193" s="17">
        <v>438.14600000000002</v>
      </c>
      <c r="E193" s="17">
        <v>445.49599999999998</v>
      </c>
      <c r="F193" s="17">
        <v>430.67399999999998</v>
      </c>
      <c r="G193" s="17">
        <v>408.15600000000001</v>
      </c>
      <c r="H193" s="17"/>
      <c r="I193" s="17"/>
      <c r="J193" s="17">
        <v>409.18599999999998</v>
      </c>
      <c r="K193" s="23"/>
      <c r="L193" s="17">
        <v>545.01300000000003</v>
      </c>
      <c r="M193" s="17">
        <v>421.14100000000002</v>
      </c>
      <c r="N193" s="17">
        <v>464.51600000000002</v>
      </c>
      <c r="O193" s="17">
        <v>439.202</v>
      </c>
      <c r="P193" s="17">
        <v>408.94099999999997</v>
      </c>
      <c r="Q193" s="17">
        <v>428.928</v>
      </c>
      <c r="R193" s="17"/>
      <c r="S193" s="17">
        <v>420.17899999999997</v>
      </c>
      <c r="T193" s="17">
        <v>407.81200000000001</v>
      </c>
      <c r="U193" s="17">
        <v>400.935</v>
      </c>
      <c r="V193" s="17">
        <v>409.93799999999999</v>
      </c>
      <c r="W193" s="17">
        <v>422.94200000000001</v>
      </c>
      <c r="X193" s="17">
        <v>453.27</v>
      </c>
      <c r="Y193" s="17">
        <v>542.375</v>
      </c>
      <c r="Z193" s="17">
        <v>471.48899999999998</v>
      </c>
      <c r="AA193" s="17">
        <v>433.21600000000001</v>
      </c>
      <c r="AB193" s="17"/>
      <c r="AC193" s="17"/>
      <c r="AD193" s="26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>
        <v>399.86</v>
      </c>
      <c r="AO193" s="17">
        <v>418.238</v>
      </c>
      <c r="AP193" s="17"/>
      <c r="AQ193" s="17">
        <v>400.32299999999998</v>
      </c>
      <c r="AR193" s="17"/>
      <c r="AS193" s="17"/>
      <c r="AT193" s="17"/>
      <c r="AU193" s="17"/>
      <c r="AV193" s="17"/>
      <c r="AW193" s="17">
        <v>487.97500000000002</v>
      </c>
    </row>
    <row r="194" spans="1:49" x14ac:dyDescent="0.35">
      <c r="A194" s="3">
        <f t="shared" si="32"/>
        <v>177</v>
      </c>
      <c r="B194" s="17"/>
      <c r="C194" s="17"/>
      <c r="D194" s="17">
        <v>438.42399999999998</v>
      </c>
      <c r="E194" s="17">
        <v>446.01499999999999</v>
      </c>
      <c r="F194" s="17">
        <v>431.87700000000001</v>
      </c>
      <c r="G194" s="17">
        <v>409.68400000000003</v>
      </c>
      <c r="H194" s="17"/>
      <c r="I194" s="17"/>
      <c r="J194" s="17">
        <v>408.66399999999999</v>
      </c>
      <c r="K194" s="23"/>
      <c r="L194" s="17">
        <v>547.01</v>
      </c>
      <c r="M194" s="17">
        <v>422.24299999999999</v>
      </c>
      <c r="N194" s="17">
        <v>463.86799999999999</v>
      </c>
      <c r="O194" s="17">
        <v>439.52699999999999</v>
      </c>
      <c r="P194" s="17">
        <v>409.51900000000001</v>
      </c>
      <c r="Q194" s="17">
        <v>428.66399999999999</v>
      </c>
      <c r="R194" s="17"/>
      <c r="S194" s="17">
        <v>420.41899999999998</v>
      </c>
      <c r="T194" s="17">
        <v>407.78500000000003</v>
      </c>
      <c r="U194" s="17">
        <v>400.76</v>
      </c>
      <c r="V194" s="17">
        <v>411.85500000000002</v>
      </c>
      <c r="W194" s="17">
        <v>422.74599999999998</v>
      </c>
      <c r="X194" s="17">
        <v>455.04300000000001</v>
      </c>
      <c r="Y194" s="17">
        <v>543.16700000000003</v>
      </c>
      <c r="Z194" s="17">
        <v>470.02600000000001</v>
      </c>
      <c r="AA194" s="17">
        <v>432.25400000000002</v>
      </c>
      <c r="AB194" s="17"/>
      <c r="AC194" s="17"/>
      <c r="AD194" s="26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>
        <v>399.577</v>
      </c>
      <c r="AO194" s="17">
        <v>417.54399999999998</v>
      </c>
      <c r="AP194" s="17"/>
      <c r="AQ194" s="17">
        <v>400.875</v>
      </c>
      <c r="AR194" s="17"/>
      <c r="AS194" s="17"/>
      <c r="AT194" s="17"/>
      <c r="AU194" s="17"/>
      <c r="AV194" s="17"/>
      <c r="AW194" s="17">
        <v>487.95699999999999</v>
      </c>
    </row>
    <row r="195" spans="1:49" x14ac:dyDescent="0.35">
      <c r="A195" s="3">
        <f t="shared" si="32"/>
        <v>178</v>
      </c>
      <c r="B195" s="17"/>
      <c r="C195" s="17"/>
      <c r="D195" s="17">
        <v>437.63400000000001</v>
      </c>
      <c r="E195" s="17">
        <v>446.97500000000002</v>
      </c>
      <c r="F195" s="17">
        <v>431.14100000000002</v>
      </c>
      <c r="G195" s="17">
        <v>408.65899999999999</v>
      </c>
      <c r="H195" s="17"/>
      <c r="I195" s="17"/>
      <c r="J195" s="17">
        <v>409.28100000000001</v>
      </c>
      <c r="K195" s="23"/>
      <c r="L195" s="17">
        <v>547.34100000000001</v>
      </c>
      <c r="M195" s="17">
        <v>422.29199999999997</v>
      </c>
      <c r="N195" s="17">
        <v>463.63799999999998</v>
      </c>
      <c r="O195" s="17">
        <v>439.48</v>
      </c>
      <c r="P195" s="17">
        <v>409.59300000000002</v>
      </c>
      <c r="Q195" s="17">
        <v>429.07900000000001</v>
      </c>
      <c r="R195" s="17"/>
      <c r="S195" s="17">
        <v>420.08199999999999</v>
      </c>
      <c r="T195" s="17">
        <v>408.29199999999997</v>
      </c>
      <c r="U195" s="17">
        <v>401.15699999999998</v>
      </c>
      <c r="V195" s="17">
        <v>410.69900000000001</v>
      </c>
      <c r="W195" s="17">
        <v>425.67399999999998</v>
      </c>
      <c r="X195" s="17">
        <v>454.30900000000003</v>
      </c>
      <c r="Y195" s="17">
        <v>543.63599999999997</v>
      </c>
      <c r="Z195" s="17">
        <v>470.12200000000001</v>
      </c>
      <c r="AA195" s="17">
        <v>430.91699999999997</v>
      </c>
      <c r="AB195" s="17"/>
      <c r="AC195" s="17"/>
      <c r="AD195" s="26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>
        <v>400.53199999999998</v>
      </c>
      <c r="AO195" s="17">
        <v>418.82100000000003</v>
      </c>
      <c r="AP195" s="17"/>
      <c r="AQ195" s="17">
        <v>400.26600000000002</v>
      </c>
      <c r="AR195" s="17"/>
      <c r="AS195" s="17"/>
      <c r="AT195" s="17"/>
      <c r="AU195" s="17"/>
      <c r="AV195" s="17"/>
      <c r="AW195" s="17">
        <v>487.51600000000002</v>
      </c>
    </row>
    <row r="196" spans="1:49" x14ac:dyDescent="0.35">
      <c r="A196" s="3">
        <f t="shared" si="32"/>
        <v>179</v>
      </c>
      <c r="B196" s="17"/>
      <c r="C196" s="17"/>
      <c r="D196" s="17">
        <v>437.678</v>
      </c>
      <c r="E196" s="17">
        <v>446.32600000000002</v>
      </c>
      <c r="F196" s="17">
        <v>430.95400000000001</v>
      </c>
      <c r="G196" s="17">
        <v>408.26799999999997</v>
      </c>
      <c r="H196" s="17"/>
      <c r="I196" s="17"/>
      <c r="J196" s="17">
        <v>410.25799999999998</v>
      </c>
      <c r="K196" s="23"/>
      <c r="L196" s="17">
        <v>547.12199999999996</v>
      </c>
      <c r="M196" s="17">
        <v>421.03199999999998</v>
      </c>
      <c r="N196" s="17">
        <v>463.95800000000003</v>
      </c>
      <c r="O196" s="17">
        <v>441.10700000000003</v>
      </c>
      <c r="P196" s="17">
        <v>410.654</v>
      </c>
      <c r="Q196" s="17">
        <v>428.096</v>
      </c>
      <c r="R196" s="17"/>
      <c r="S196" s="17">
        <v>420.53699999999998</v>
      </c>
      <c r="T196" s="17">
        <v>408.02800000000002</v>
      </c>
      <c r="U196" s="17">
        <v>400.35700000000003</v>
      </c>
      <c r="V196" s="17">
        <v>411.517</v>
      </c>
      <c r="W196" s="17">
        <v>424.017</v>
      </c>
      <c r="X196" s="17">
        <v>453.94499999999999</v>
      </c>
      <c r="Y196" s="17">
        <v>544.35</v>
      </c>
      <c r="Z196" s="17">
        <v>470.66199999999998</v>
      </c>
      <c r="AA196" s="17">
        <v>433.399</v>
      </c>
      <c r="AB196" s="17"/>
      <c r="AC196" s="17"/>
      <c r="AD196" s="26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>
        <v>399.88499999999999</v>
      </c>
      <c r="AO196" s="17">
        <v>417.33699999999999</v>
      </c>
      <c r="AP196" s="17"/>
      <c r="AQ196" s="17">
        <v>400.36700000000002</v>
      </c>
      <c r="AR196" s="17"/>
      <c r="AS196" s="17"/>
      <c r="AT196" s="17"/>
      <c r="AU196" s="17"/>
      <c r="AV196" s="17"/>
      <c r="AW196" s="17">
        <v>488.36</v>
      </c>
    </row>
    <row r="197" spans="1:49" x14ac:dyDescent="0.35">
      <c r="A197" s="3">
        <f t="shared" si="32"/>
        <v>180</v>
      </c>
      <c r="B197" s="17"/>
      <c r="C197" s="17"/>
      <c r="D197" s="17">
        <v>437.95100000000002</v>
      </c>
      <c r="E197" s="17">
        <v>446.69600000000003</v>
      </c>
      <c r="F197" s="17">
        <v>431.209</v>
      </c>
      <c r="G197" s="17">
        <v>409.161</v>
      </c>
      <c r="H197" s="17"/>
      <c r="I197" s="17"/>
      <c r="J197" s="17">
        <v>409.65199999999999</v>
      </c>
      <c r="K197" s="23"/>
      <c r="L197" s="17">
        <v>545.88099999999997</v>
      </c>
      <c r="M197" s="17">
        <v>422.73099999999999</v>
      </c>
      <c r="N197" s="17">
        <v>464.85199999999998</v>
      </c>
      <c r="O197" s="17">
        <v>439.89</v>
      </c>
      <c r="P197" s="17">
        <v>410.37200000000001</v>
      </c>
      <c r="Q197" s="17">
        <v>428.03100000000001</v>
      </c>
      <c r="R197" s="17"/>
      <c r="S197" s="17">
        <v>420.36200000000002</v>
      </c>
      <c r="T197" s="17">
        <v>408.69200000000001</v>
      </c>
      <c r="U197" s="17">
        <v>401.065</v>
      </c>
      <c r="V197" s="17">
        <v>412.00599999999997</v>
      </c>
      <c r="W197" s="17">
        <v>423.74</v>
      </c>
      <c r="X197" s="17">
        <v>454.92500000000001</v>
      </c>
      <c r="Y197" s="17">
        <v>544.74699999999996</v>
      </c>
      <c r="Z197" s="17">
        <v>470.44499999999999</v>
      </c>
      <c r="AA197" s="17">
        <v>434.08600000000001</v>
      </c>
      <c r="AB197" s="17"/>
      <c r="AC197" s="17"/>
      <c r="AD197" s="26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>
        <v>400.43700000000001</v>
      </c>
      <c r="AO197" s="17">
        <v>416.67500000000001</v>
      </c>
      <c r="AP197" s="17"/>
      <c r="AQ197" s="17">
        <v>402.95</v>
      </c>
      <c r="AR197" s="17"/>
      <c r="AS197" s="17"/>
      <c r="AT197" s="17"/>
      <c r="AU197" s="17"/>
      <c r="AV197" s="17"/>
      <c r="AW197" s="17">
        <v>488.02</v>
      </c>
    </row>
    <row r="198" spans="1:49" x14ac:dyDescent="0.35">
      <c r="A198" s="3">
        <f t="shared" si="32"/>
        <v>181</v>
      </c>
      <c r="B198" s="17"/>
      <c r="C198" s="17"/>
      <c r="D198" s="17">
        <v>438.02199999999999</v>
      </c>
      <c r="E198" s="17">
        <v>446.58800000000002</v>
      </c>
      <c r="F198" s="17">
        <v>430.40600000000001</v>
      </c>
      <c r="G198" s="17">
        <v>408.56900000000002</v>
      </c>
      <c r="H198" s="17"/>
      <c r="I198" s="17"/>
      <c r="J198" s="17">
        <v>408.94400000000002</v>
      </c>
      <c r="K198" s="23"/>
      <c r="L198" s="17">
        <v>547.86099999999999</v>
      </c>
      <c r="M198" s="17">
        <v>421.53899999999999</v>
      </c>
      <c r="N198" s="17">
        <v>464.18200000000002</v>
      </c>
      <c r="O198" s="17">
        <v>438.63600000000002</v>
      </c>
      <c r="P198" s="17">
        <v>410.61900000000003</v>
      </c>
      <c r="Q198" s="17">
        <v>428.411</v>
      </c>
      <c r="R198" s="17"/>
      <c r="S198" s="17">
        <v>421.42899999999997</v>
      </c>
      <c r="T198" s="17">
        <v>407.63200000000001</v>
      </c>
      <c r="U198" s="17">
        <v>400.79700000000003</v>
      </c>
      <c r="V198" s="17">
        <v>413.08199999999999</v>
      </c>
      <c r="W198" s="17">
        <v>425.02699999999999</v>
      </c>
      <c r="X198" s="17">
        <v>453.09100000000001</v>
      </c>
      <c r="Y198" s="17">
        <v>544.84400000000005</v>
      </c>
      <c r="Z198" s="17">
        <v>470.291</v>
      </c>
      <c r="AA198" s="17">
        <v>435.07</v>
      </c>
      <c r="AB198" s="17"/>
      <c r="AC198" s="17"/>
      <c r="AD198" s="26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>
        <v>400.262</v>
      </c>
      <c r="AO198" s="17">
        <v>417.93299999999999</v>
      </c>
      <c r="AP198" s="17"/>
      <c r="AQ198" s="17">
        <v>401.202</v>
      </c>
      <c r="AR198" s="17"/>
      <c r="AS198" s="17"/>
      <c r="AT198" s="17"/>
      <c r="AU198" s="17"/>
      <c r="AV198" s="17"/>
      <c r="AW198" s="17">
        <v>488.56099999999998</v>
      </c>
    </row>
    <row r="199" spans="1:49" x14ac:dyDescent="0.35">
      <c r="A199" s="3">
        <f t="shared" si="32"/>
        <v>182</v>
      </c>
      <c r="B199" s="17"/>
      <c r="C199" s="17"/>
      <c r="D199" s="17">
        <v>438.45499999999998</v>
      </c>
      <c r="E199" s="17">
        <v>446.25400000000002</v>
      </c>
      <c r="F199" s="17">
        <v>433.19299999999998</v>
      </c>
      <c r="G199" s="17">
        <v>407.93700000000001</v>
      </c>
      <c r="H199" s="17"/>
      <c r="I199" s="17"/>
      <c r="J199" s="17">
        <v>408.73500000000001</v>
      </c>
      <c r="K199" s="23"/>
      <c r="L199" s="17">
        <v>547.43399999999997</v>
      </c>
      <c r="M199" s="17">
        <v>420.74099999999999</v>
      </c>
      <c r="N199" s="17">
        <v>463.96100000000001</v>
      </c>
      <c r="O199" s="17">
        <v>438.99799999999999</v>
      </c>
      <c r="P199" s="17">
        <v>411.017</v>
      </c>
      <c r="Q199" s="17">
        <v>428.94299999999998</v>
      </c>
      <c r="R199" s="17"/>
      <c r="S199" s="17">
        <v>420.976</v>
      </c>
      <c r="T199" s="17">
        <v>409.12</v>
      </c>
      <c r="U199" s="17">
        <v>400.56400000000002</v>
      </c>
      <c r="V199" s="17">
        <v>412.16399999999999</v>
      </c>
      <c r="W199" s="17">
        <v>426.24900000000002</v>
      </c>
      <c r="X199" s="17">
        <v>454.55500000000001</v>
      </c>
      <c r="Y199" s="17">
        <v>545.01400000000001</v>
      </c>
      <c r="Z199" s="17">
        <v>470.423</v>
      </c>
      <c r="AA199" s="17">
        <v>434.30700000000002</v>
      </c>
      <c r="AB199" s="17"/>
      <c r="AC199" s="17"/>
      <c r="AD199" s="26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>
        <v>400.77100000000002</v>
      </c>
      <c r="AO199" s="17">
        <v>416.49799999999999</v>
      </c>
      <c r="AP199" s="17"/>
      <c r="AQ199" s="17">
        <v>401.11099999999999</v>
      </c>
      <c r="AR199" s="17"/>
      <c r="AS199" s="17"/>
      <c r="AT199" s="17"/>
      <c r="AU199" s="17"/>
      <c r="AV199" s="17"/>
      <c r="AW199" s="17">
        <v>489.09699999999998</v>
      </c>
    </row>
    <row r="200" spans="1:49" x14ac:dyDescent="0.35">
      <c r="A200" s="3">
        <f t="shared" si="32"/>
        <v>183</v>
      </c>
      <c r="B200" s="17"/>
      <c r="C200" s="17"/>
      <c r="D200" s="17">
        <v>437.62799999999999</v>
      </c>
      <c r="E200" s="17">
        <v>447.05700000000002</v>
      </c>
      <c r="F200" s="17">
        <v>431.87599999999998</v>
      </c>
      <c r="G200" s="17">
        <v>409.459</v>
      </c>
      <c r="H200" s="17"/>
      <c r="I200" s="17"/>
      <c r="J200" s="17">
        <v>409.37799999999999</v>
      </c>
      <c r="K200" s="23"/>
      <c r="L200" s="17">
        <v>548.58500000000004</v>
      </c>
      <c r="M200" s="17">
        <v>421.69</v>
      </c>
      <c r="N200" s="17">
        <v>464.66899999999998</v>
      </c>
      <c r="O200" s="17">
        <v>440.512</v>
      </c>
      <c r="P200" s="17">
        <v>410.52199999999999</v>
      </c>
      <c r="Q200" s="17">
        <v>428.73700000000002</v>
      </c>
      <c r="R200" s="17"/>
      <c r="S200" s="17">
        <v>420.40100000000001</v>
      </c>
      <c r="T200" s="17">
        <v>408.16699999999997</v>
      </c>
      <c r="U200" s="17">
        <v>401.49700000000001</v>
      </c>
      <c r="V200" s="17">
        <v>411.00700000000001</v>
      </c>
      <c r="W200" s="17">
        <v>425.54300000000001</v>
      </c>
      <c r="X200" s="17">
        <v>454.36799999999999</v>
      </c>
      <c r="Y200" s="17">
        <v>544.47500000000002</v>
      </c>
      <c r="Z200" s="17">
        <v>471.21199999999999</v>
      </c>
      <c r="AA200" s="17">
        <v>434.26400000000001</v>
      </c>
      <c r="AB200" s="17"/>
      <c r="AC200" s="17"/>
      <c r="AD200" s="26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>
        <v>400.97199999999998</v>
      </c>
      <c r="AO200" s="17">
        <v>416.072</v>
      </c>
      <c r="AP200" s="17"/>
      <c r="AQ200" s="17"/>
      <c r="AR200" s="17"/>
      <c r="AS200" s="17"/>
      <c r="AT200" s="17"/>
      <c r="AU200" s="17"/>
      <c r="AV200" s="17"/>
      <c r="AW200" s="17">
        <v>487.71699999999998</v>
      </c>
    </row>
    <row r="201" spans="1:49" x14ac:dyDescent="0.35">
      <c r="A201" s="3">
        <f t="shared" si="32"/>
        <v>184</v>
      </c>
      <c r="B201" s="17"/>
      <c r="C201" s="17"/>
      <c r="D201" s="17">
        <v>439.065</v>
      </c>
      <c r="E201" s="17">
        <v>447.63299999999998</v>
      </c>
      <c r="F201" s="17">
        <v>433.13900000000001</v>
      </c>
      <c r="G201" s="17">
        <v>408.23099999999999</v>
      </c>
      <c r="H201" s="17"/>
      <c r="I201" s="17"/>
      <c r="J201" s="17">
        <v>408.815</v>
      </c>
      <c r="K201" s="23"/>
      <c r="L201" s="17">
        <v>547.27</v>
      </c>
      <c r="M201" s="17">
        <v>423.58800000000002</v>
      </c>
      <c r="N201" s="17">
        <v>465.56900000000002</v>
      </c>
      <c r="O201" s="17">
        <v>439.23500000000001</v>
      </c>
      <c r="P201" s="17">
        <v>411.11900000000003</v>
      </c>
      <c r="Q201" s="17">
        <v>428.11399999999998</v>
      </c>
      <c r="R201" s="17"/>
      <c r="S201" s="17">
        <v>421.92899999999997</v>
      </c>
      <c r="T201" s="17">
        <v>408.83199999999999</v>
      </c>
      <c r="U201" s="17">
        <v>400.15</v>
      </c>
      <c r="V201" s="17">
        <v>413.38400000000001</v>
      </c>
      <c r="W201" s="17">
        <v>425.34899999999999</v>
      </c>
      <c r="X201" s="17">
        <v>452.53199999999998</v>
      </c>
      <c r="Y201" s="17">
        <v>544.67100000000005</v>
      </c>
      <c r="Z201" s="17">
        <v>469.14699999999999</v>
      </c>
      <c r="AA201" s="17">
        <v>436.50099999999998</v>
      </c>
      <c r="AB201" s="17"/>
      <c r="AC201" s="17"/>
      <c r="AD201" s="26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>
        <v>401.26100000000002</v>
      </c>
      <c r="AO201" s="17">
        <v>416.12799999999999</v>
      </c>
      <c r="AP201" s="17"/>
      <c r="AQ201" s="17"/>
      <c r="AR201" s="17"/>
      <c r="AS201" s="17"/>
      <c r="AT201" s="17"/>
      <c r="AU201" s="17"/>
      <c r="AV201" s="17"/>
      <c r="AW201" s="17">
        <v>488.60399999999998</v>
      </c>
    </row>
    <row r="202" spans="1:49" x14ac:dyDescent="0.35">
      <c r="A202" s="3">
        <f t="shared" si="32"/>
        <v>185</v>
      </c>
      <c r="B202" s="17"/>
      <c r="C202" s="17"/>
      <c r="D202" s="17">
        <v>440.012</v>
      </c>
      <c r="E202" s="17">
        <v>447.91800000000001</v>
      </c>
      <c r="F202" s="17">
        <v>432.67700000000002</v>
      </c>
      <c r="G202" s="17">
        <v>409.13400000000001</v>
      </c>
      <c r="H202" s="17"/>
      <c r="I202" s="17"/>
      <c r="J202" s="17">
        <v>409.72300000000001</v>
      </c>
      <c r="K202" s="23"/>
      <c r="L202" s="17">
        <v>547.36500000000001</v>
      </c>
      <c r="M202" s="17">
        <v>422.86500000000001</v>
      </c>
      <c r="N202" s="17">
        <v>466.10500000000002</v>
      </c>
      <c r="O202" s="17">
        <v>440.45299999999997</v>
      </c>
      <c r="P202" s="17">
        <v>410.8</v>
      </c>
      <c r="Q202" s="17">
        <v>430.07499999999999</v>
      </c>
      <c r="R202" s="17"/>
      <c r="S202" s="17">
        <v>419.95400000000001</v>
      </c>
      <c r="T202" s="17">
        <v>408.88900000000001</v>
      </c>
      <c r="U202" s="17">
        <v>400.726</v>
      </c>
      <c r="V202" s="17">
        <v>411.68900000000002</v>
      </c>
      <c r="W202" s="17">
        <v>425.04599999999999</v>
      </c>
      <c r="X202" s="17">
        <v>453.28899999999999</v>
      </c>
      <c r="Y202" s="17">
        <v>545.59500000000003</v>
      </c>
      <c r="Z202" s="17">
        <v>470.39800000000002</v>
      </c>
      <c r="AA202" s="17">
        <v>434.77300000000002</v>
      </c>
      <c r="AB202" s="17"/>
      <c r="AC202" s="17"/>
      <c r="AD202" s="26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>
        <v>401.86</v>
      </c>
      <c r="AO202" s="17">
        <v>415.06900000000002</v>
      </c>
      <c r="AP202" s="17"/>
      <c r="AQ202" s="17"/>
      <c r="AR202" s="17"/>
      <c r="AS202" s="17"/>
      <c r="AT202" s="17"/>
      <c r="AU202" s="17"/>
      <c r="AV202" s="17"/>
      <c r="AW202" s="17">
        <v>488.49799999999999</v>
      </c>
    </row>
    <row r="203" spans="1:49" x14ac:dyDescent="0.35">
      <c r="A203" s="3">
        <f t="shared" si="32"/>
        <v>186</v>
      </c>
      <c r="B203" s="17"/>
      <c r="C203" s="17"/>
      <c r="D203" s="17">
        <v>439.85599999999999</v>
      </c>
      <c r="E203" s="17">
        <v>447.75599999999997</v>
      </c>
      <c r="F203" s="17">
        <v>432.74299999999999</v>
      </c>
      <c r="G203" s="17">
        <v>408.91199999999998</v>
      </c>
      <c r="H203" s="17"/>
      <c r="I203" s="17"/>
      <c r="J203" s="17">
        <v>410.1</v>
      </c>
      <c r="K203" s="23"/>
      <c r="L203" s="17">
        <v>548.69100000000003</v>
      </c>
      <c r="M203" s="17">
        <v>423.88299999999998</v>
      </c>
      <c r="N203" s="17">
        <v>463.95699999999999</v>
      </c>
      <c r="O203" s="17">
        <v>440.072</v>
      </c>
      <c r="P203" s="17">
        <v>411.43200000000002</v>
      </c>
      <c r="Q203" s="17">
        <v>428.767</v>
      </c>
      <c r="R203" s="17"/>
      <c r="S203" s="17">
        <v>419.39800000000002</v>
      </c>
      <c r="T203" s="17">
        <v>408.30099999999999</v>
      </c>
      <c r="U203" s="17">
        <v>401.49299999999999</v>
      </c>
      <c r="V203" s="17">
        <v>412.82799999999997</v>
      </c>
      <c r="W203" s="17">
        <v>425.14499999999998</v>
      </c>
      <c r="X203" s="17">
        <v>453.55399999999997</v>
      </c>
      <c r="Y203" s="17">
        <v>545.64200000000005</v>
      </c>
      <c r="Z203" s="17">
        <v>470.67899999999997</v>
      </c>
      <c r="AA203" s="17">
        <v>433.964</v>
      </c>
      <c r="AB203" s="17"/>
      <c r="AC203" s="17"/>
      <c r="AD203" s="26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>
        <v>402.13200000000001</v>
      </c>
      <c r="AO203" s="17">
        <v>417.50200000000001</v>
      </c>
      <c r="AP203" s="17"/>
      <c r="AQ203" s="17"/>
      <c r="AR203" s="17"/>
      <c r="AS203" s="17"/>
      <c r="AT203" s="17"/>
      <c r="AU203" s="17"/>
      <c r="AV203" s="17"/>
      <c r="AW203" s="17">
        <v>488.86099999999999</v>
      </c>
    </row>
    <row r="204" spans="1:49" x14ac:dyDescent="0.35">
      <c r="A204" s="3">
        <f t="shared" si="32"/>
        <v>187</v>
      </c>
      <c r="B204" s="17"/>
      <c r="C204" s="17"/>
      <c r="D204" s="17">
        <v>440.471</v>
      </c>
      <c r="E204" s="17">
        <v>448.39499999999998</v>
      </c>
      <c r="F204" s="17">
        <v>432.81299999999999</v>
      </c>
      <c r="G204" s="17">
        <v>408.60199999999998</v>
      </c>
      <c r="H204" s="17"/>
      <c r="I204" s="17"/>
      <c r="J204" s="17">
        <v>411.13299999999998</v>
      </c>
      <c r="K204" s="23"/>
      <c r="L204" s="17">
        <v>548.13199999999995</v>
      </c>
      <c r="M204" s="17">
        <v>425.005</v>
      </c>
      <c r="N204" s="17">
        <v>464.86099999999999</v>
      </c>
      <c r="O204" s="17">
        <v>440.27499999999998</v>
      </c>
      <c r="P204" s="17">
        <v>410.827</v>
      </c>
      <c r="Q204" s="17">
        <v>429.49400000000003</v>
      </c>
      <c r="R204" s="17"/>
      <c r="S204" s="17">
        <v>420.80900000000003</v>
      </c>
      <c r="T204" s="17">
        <v>409.23</v>
      </c>
      <c r="U204" s="17">
        <v>400.87599999999998</v>
      </c>
      <c r="V204" s="17">
        <v>414.15199999999999</v>
      </c>
      <c r="W204" s="17">
        <v>426.512</v>
      </c>
      <c r="X204" s="17">
        <v>453.42099999999999</v>
      </c>
      <c r="Y204" s="17">
        <v>545.577</v>
      </c>
      <c r="Z204" s="17">
        <v>470.18599999999998</v>
      </c>
      <c r="AA204" s="17">
        <v>433.14299999999997</v>
      </c>
      <c r="AB204" s="17"/>
      <c r="AC204" s="17"/>
      <c r="AD204" s="26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>
        <v>401.25700000000001</v>
      </c>
      <c r="AO204" s="17">
        <v>416.75599999999997</v>
      </c>
      <c r="AP204" s="17"/>
      <c r="AQ204" s="17"/>
      <c r="AR204" s="17"/>
      <c r="AS204" s="17"/>
      <c r="AT204" s="17"/>
      <c r="AU204" s="17"/>
      <c r="AV204" s="17"/>
      <c r="AW204" s="17">
        <v>489.334</v>
      </c>
    </row>
    <row r="205" spans="1:49" x14ac:dyDescent="0.35">
      <c r="A205" s="3">
        <f t="shared" si="32"/>
        <v>188</v>
      </c>
      <c r="B205" s="17"/>
      <c r="C205" s="17"/>
      <c r="D205" s="17">
        <v>441.16300000000001</v>
      </c>
      <c r="E205" s="17">
        <v>448.34300000000002</v>
      </c>
      <c r="F205" s="17">
        <v>433.77499999999998</v>
      </c>
      <c r="G205" s="17">
        <v>409.065</v>
      </c>
      <c r="H205" s="17"/>
      <c r="I205" s="17"/>
      <c r="J205" s="17">
        <v>411.928</v>
      </c>
      <c r="K205" s="23"/>
      <c r="L205" s="17">
        <v>547.93200000000002</v>
      </c>
      <c r="M205" s="17">
        <v>427.42200000000003</v>
      </c>
      <c r="N205" s="17">
        <v>464.55799999999999</v>
      </c>
      <c r="O205" s="17">
        <v>440.44799999999998</v>
      </c>
      <c r="P205" s="17">
        <v>412.88600000000002</v>
      </c>
      <c r="Q205" s="17">
        <v>429.42899999999997</v>
      </c>
      <c r="R205" s="17"/>
      <c r="S205" s="17">
        <v>420.55099999999999</v>
      </c>
      <c r="T205" s="17"/>
      <c r="U205" s="17">
        <v>400.916</v>
      </c>
      <c r="V205" s="17">
        <v>410.49900000000002</v>
      </c>
      <c r="W205" s="17">
        <v>424.73599999999999</v>
      </c>
      <c r="X205" s="17">
        <v>453.173</v>
      </c>
      <c r="Y205" s="17">
        <v>546.726</v>
      </c>
      <c r="Z205" s="17">
        <v>470.40300000000002</v>
      </c>
      <c r="AA205" s="17">
        <v>435.81900000000002</v>
      </c>
      <c r="AB205" s="17"/>
      <c r="AC205" s="17"/>
      <c r="AD205" s="26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>
        <v>401.846</v>
      </c>
      <c r="AO205" s="17">
        <v>417.05500000000001</v>
      </c>
      <c r="AP205" s="17"/>
      <c r="AQ205" s="17"/>
      <c r="AR205" s="17"/>
      <c r="AS205" s="17"/>
      <c r="AT205" s="17"/>
      <c r="AU205" s="17"/>
      <c r="AV205" s="17"/>
      <c r="AW205" s="17">
        <v>489.21300000000002</v>
      </c>
    </row>
    <row r="206" spans="1:49" x14ac:dyDescent="0.35">
      <c r="A206" s="3">
        <f t="shared" si="32"/>
        <v>189</v>
      </c>
      <c r="B206" s="17"/>
      <c r="C206" s="17"/>
      <c r="D206" s="17">
        <v>441.91</v>
      </c>
      <c r="E206" s="17">
        <v>448.21899999999999</v>
      </c>
      <c r="F206" s="17">
        <v>433.11099999999999</v>
      </c>
      <c r="G206" s="17">
        <v>408.86500000000001</v>
      </c>
      <c r="H206" s="17"/>
      <c r="I206" s="17"/>
      <c r="J206" s="17">
        <v>412.49900000000002</v>
      </c>
      <c r="K206" s="23"/>
      <c r="L206" s="17">
        <v>549.45299999999997</v>
      </c>
      <c r="M206" s="17">
        <v>426.65300000000002</v>
      </c>
      <c r="N206" s="17">
        <v>463.654</v>
      </c>
      <c r="O206" s="17">
        <v>439.92500000000001</v>
      </c>
      <c r="P206" s="17">
        <v>410.26600000000002</v>
      </c>
      <c r="Q206" s="17">
        <v>429.87099999999998</v>
      </c>
      <c r="R206" s="17"/>
      <c r="S206" s="17">
        <v>419.1</v>
      </c>
      <c r="T206" s="17"/>
      <c r="U206" s="17">
        <v>399.95400000000001</v>
      </c>
      <c r="V206" s="17">
        <v>412.983</v>
      </c>
      <c r="W206" s="17">
        <v>426.86900000000003</v>
      </c>
      <c r="X206" s="17">
        <v>454.47199999999998</v>
      </c>
      <c r="Y206" s="17">
        <v>546.46799999999996</v>
      </c>
      <c r="Z206" s="17">
        <v>469.47</v>
      </c>
      <c r="AA206" s="17">
        <v>435.36</v>
      </c>
      <c r="AB206" s="17"/>
      <c r="AC206" s="17"/>
      <c r="AD206" s="26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>
        <v>402.47500000000002</v>
      </c>
      <c r="AO206" s="17">
        <v>416.488</v>
      </c>
      <c r="AP206" s="17"/>
      <c r="AQ206" s="17"/>
      <c r="AR206" s="17"/>
      <c r="AS206" s="17"/>
      <c r="AT206" s="17"/>
      <c r="AU206" s="17"/>
      <c r="AV206" s="17"/>
      <c r="AW206" s="17">
        <v>487.911</v>
      </c>
    </row>
    <row r="207" spans="1:49" x14ac:dyDescent="0.35">
      <c r="A207" s="3">
        <f t="shared" si="32"/>
        <v>190</v>
      </c>
      <c r="B207" s="17"/>
      <c r="C207" s="17"/>
      <c r="D207" s="17">
        <v>441.93200000000002</v>
      </c>
      <c r="E207" s="17">
        <v>447.93799999999999</v>
      </c>
      <c r="F207" s="17">
        <v>433.202</v>
      </c>
      <c r="G207" s="17">
        <v>408.63400000000001</v>
      </c>
      <c r="H207" s="17"/>
      <c r="I207" s="17"/>
      <c r="J207" s="17">
        <v>411.80599999999998</v>
      </c>
      <c r="K207" s="23"/>
      <c r="L207" s="17">
        <v>547.702</v>
      </c>
      <c r="M207" s="17">
        <v>427.39600000000002</v>
      </c>
      <c r="N207" s="17">
        <v>464.11200000000002</v>
      </c>
      <c r="O207" s="17">
        <v>440.12099999999998</v>
      </c>
      <c r="P207" s="17">
        <v>410.53500000000003</v>
      </c>
      <c r="Q207" s="17">
        <v>431.35199999999998</v>
      </c>
      <c r="R207" s="17"/>
      <c r="S207" s="17">
        <v>421.30099999999999</v>
      </c>
      <c r="T207" s="17"/>
      <c r="U207" s="17">
        <v>400.851</v>
      </c>
      <c r="V207" s="17">
        <v>412.26499999999999</v>
      </c>
      <c r="W207" s="17">
        <v>426.137</v>
      </c>
      <c r="X207" s="17">
        <v>454.267</v>
      </c>
      <c r="Y207" s="17">
        <v>547.05799999999999</v>
      </c>
      <c r="Z207" s="17">
        <v>469.96699999999998</v>
      </c>
      <c r="AA207" s="17">
        <v>433.63400000000001</v>
      </c>
      <c r="AB207" s="17"/>
      <c r="AC207" s="17"/>
      <c r="AD207" s="26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>
        <v>402.75599999999997</v>
      </c>
      <c r="AO207" s="17">
        <v>416.28500000000003</v>
      </c>
      <c r="AP207" s="17"/>
      <c r="AQ207" s="17"/>
      <c r="AR207" s="17"/>
      <c r="AS207" s="17"/>
      <c r="AT207" s="17"/>
      <c r="AU207" s="17"/>
      <c r="AV207" s="17"/>
      <c r="AW207" s="17">
        <v>488.21</v>
      </c>
    </row>
    <row r="208" spans="1:49" x14ac:dyDescent="0.35">
      <c r="A208" s="3">
        <f t="shared" si="32"/>
        <v>191</v>
      </c>
      <c r="B208" s="17"/>
      <c r="C208" s="17"/>
      <c r="D208" s="17">
        <v>442.185</v>
      </c>
      <c r="E208" s="17">
        <v>448.00900000000001</v>
      </c>
      <c r="F208" s="17">
        <v>433.35199999999998</v>
      </c>
      <c r="G208" s="17">
        <v>409.33699999999999</v>
      </c>
      <c r="H208" s="17"/>
      <c r="I208" s="17"/>
      <c r="J208" s="17">
        <v>411.41699999999997</v>
      </c>
      <c r="K208" s="23"/>
      <c r="L208" s="17">
        <v>547.55499999999995</v>
      </c>
      <c r="M208" s="17">
        <v>427.71300000000002</v>
      </c>
      <c r="N208" s="17">
        <v>464.29500000000002</v>
      </c>
      <c r="O208" s="17">
        <v>441.10199999999998</v>
      </c>
      <c r="P208" s="17">
        <v>410.70499999999998</v>
      </c>
      <c r="Q208" s="17">
        <v>431.25599999999997</v>
      </c>
      <c r="R208" s="17"/>
      <c r="S208" s="17">
        <v>419.42700000000002</v>
      </c>
      <c r="T208" s="17"/>
      <c r="U208" s="17">
        <v>400.42599999999999</v>
      </c>
      <c r="V208" s="17">
        <v>412.79</v>
      </c>
      <c r="W208" s="17">
        <v>425.471</v>
      </c>
      <c r="X208" s="17">
        <v>453.363</v>
      </c>
      <c r="Y208" s="17">
        <v>547.87699999999995</v>
      </c>
      <c r="Z208" s="17">
        <v>469.88200000000001</v>
      </c>
      <c r="AA208" s="17">
        <v>436.98500000000001</v>
      </c>
      <c r="AB208" s="17"/>
      <c r="AC208" s="17"/>
      <c r="AD208" s="26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>
        <v>403.017</v>
      </c>
      <c r="AO208" s="17">
        <v>417.536</v>
      </c>
      <c r="AP208" s="17"/>
      <c r="AQ208" s="17"/>
      <c r="AR208" s="17"/>
      <c r="AS208" s="17"/>
      <c r="AT208" s="17"/>
      <c r="AU208" s="17"/>
      <c r="AV208" s="17"/>
      <c r="AW208" s="17">
        <v>490.827</v>
      </c>
    </row>
    <row r="209" spans="1:49" x14ac:dyDescent="0.35">
      <c r="A209" s="3">
        <f t="shared" si="32"/>
        <v>192</v>
      </c>
      <c r="B209" s="17"/>
      <c r="C209" s="17"/>
      <c r="D209" s="17">
        <v>441.99299999999999</v>
      </c>
      <c r="E209" s="17">
        <v>448.91</v>
      </c>
      <c r="F209" s="17">
        <v>433.03500000000003</v>
      </c>
      <c r="G209" s="17">
        <v>409.16899999999998</v>
      </c>
      <c r="H209" s="17"/>
      <c r="I209" s="17"/>
      <c r="J209" s="17">
        <v>412.04</v>
      </c>
      <c r="K209" s="23"/>
      <c r="L209" s="17">
        <v>547.88300000000004</v>
      </c>
      <c r="M209" s="17">
        <v>427.22199999999998</v>
      </c>
      <c r="N209" s="17">
        <v>464.75900000000001</v>
      </c>
      <c r="O209" s="17">
        <v>441.62299999999999</v>
      </c>
      <c r="P209" s="17">
        <v>411.82799999999997</v>
      </c>
      <c r="Q209" s="17">
        <v>430.61200000000002</v>
      </c>
      <c r="R209" s="17"/>
      <c r="S209" s="17">
        <v>419.42700000000002</v>
      </c>
      <c r="T209" s="17"/>
      <c r="U209" s="17">
        <v>400.05799999999999</v>
      </c>
      <c r="V209" s="17">
        <v>411.29199999999997</v>
      </c>
      <c r="W209" s="17">
        <v>426.22899999999998</v>
      </c>
      <c r="X209" s="17">
        <v>453.28100000000001</v>
      </c>
      <c r="Y209" s="17">
        <v>547.60400000000004</v>
      </c>
      <c r="Z209" s="17">
        <v>469.10899999999998</v>
      </c>
      <c r="AA209" s="17">
        <v>436.01900000000001</v>
      </c>
      <c r="AB209" s="17"/>
      <c r="AC209" s="17"/>
      <c r="AD209" s="26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>
        <v>402.11200000000002</v>
      </c>
      <c r="AO209" s="17">
        <v>418.565</v>
      </c>
      <c r="AP209" s="17"/>
      <c r="AQ209" s="17"/>
      <c r="AR209" s="17"/>
      <c r="AS209" s="17"/>
      <c r="AT209" s="17"/>
      <c r="AU209" s="17"/>
      <c r="AV209" s="17"/>
      <c r="AW209" s="17">
        <v>489.61700000000002</v>
      </c>
    </row>
    <row r="210" spans="1:49" x14ac:dyDescent="0.35">
      <c r="A210" s="3">
        <f t="shared" si="32"/>
        <v>193</v>
      </c>
      <c r="B210" s="17"/>
      <c r="C210" s="17"/>
      <c r="D210" s="17">
        <v>442.60700000000003</v>
      </c>
      <c r="E210" s="17">
        <v>447.291</v>
      </c>
      <c r="F210" s="17">
        <v>434.00599999999997</v>
      </c>
      <c r="G210" s="17">
        <v>408.166</v>
      </c>
      <c r="H210" s="17"/>
      <c r="I210" s="17"/>
      <c r="J210" s="17">
        <v>412.303</v>
      </c>
      <c r="K210" s="23"/>
      <c r="L210" s="17">
        <v>548.81500000000005</v>
      </c>
      <c r="M210" s="17">
        <v>428.673</v>
      </c>
      <c r="N210" s="17">
        <v>464.358</v>
      </c>
      <c r="O210" s="17">
        <v>441.01799999999997</v>
      </c>
      <c r="P210" s="17">
        <v>410.34899999999999</v>
      </c>
      <c r="Q210" s="17">
        <v>431.14499999999998</v>
      </c>
      <c r="R210" s="17"/>
      <c r="S210" s="17">
        <v>420.87099999999998</v>
      </c>
      <c r="T210" s="17"/>
      <c r="U210" s="17">
        <v>400.76100000000002</v>
      </c>
      <c r="V210" s="17">
        <v>411.13499999999999</v>
      </c>
      <c r="W210" s="17">
        <v>426.01100000000002</v>
      </c>
      <c r="X210" s="17">
        <v>452.012</v>
      </c>
      <c r="Y210" s="17">
        <v>547.64599999999996</v>
      </c>
      <c r="Z210" s="17">
        <v>469.13299999999998</v>
      </c>
      <c r="AA210" s="17">
        <v>437.01799999999997</v>
      </c>
      <c r="AB210" s="17"/>
      <c r="AC210" s="17"/>
      <c r="AD210" s="26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>
        <v>402.31200000000001</v>
      </c>
      <c r="AO210" s="17">
        <v>415.86099999999999</v>
      </c>
      <c r="AP210" s="17"/>
      <c r="AQ210" s="17"/>
      <c r="AR210" s="17"/>
      <c r="AS210" s="17"/>
      <c r="AT210" s="17"/>
      <c r="AU210" s="17"/>
      <c r="AV210" s="17"/>
      <c r="AW210" s="17">
        <v>490.76100000000002</v>
      </c>
    </row>
    <row r="211" spans="1:49" x14ac:dyDescent="0.35">
      <c r="A211" s="3">
        <f t="shared" si="32"/>
        <v>194</v>
      </c>
      <c r="B211" s="17"/>
      <c r="C211" s="17"/>
      <c r="D211" s="17">
        <v>443.28899999999999</v>
      </c>
      <c r="E211" s="17">
        <v>448.99400000000003</v>
      </c>
      <c r="F211" s="17">
        <v>433.91199999999998</v>
      </c>
      <c r="G211" s="17">
        <v>408.089</v>
      </c>
      <c r="H211" s="17"/>
      <c r="I211" s="17"/>
      <c r="J211" s="17">
        <v>413.11</v>
      </c>
      <c r="K211" s="23"/>
      <c r="L211" s="17">
        <v>549.79700000000003</v>
      </c>
      <c r="M211" s="17">
        <v>428.53300000000002</v>
      </c>
      <c r="N211" s="17">
        <v>464.75099999999998</v>
      </c>
      <c r="O211" s="17">
        <v>440.685</v>
      </c>
      <c r="P211" s="17">
        <v>411.58800000000002</v>
      </c>
      <c r="Q211" s="17">
        <v>430.976</v>
      </c>
      <c r="R211" s="17"/>
      <c r="S211" s="17">
        <v>420.05</v>
      </c>
      <c r="T211" s="17"/>
      <c r="U211" s="17">
        <v>401.06599999999997</v>
      </c>
      <c r="V211" s="17">
        <v>411.61799999999999</v>
      </c>
      <c r="W211" s="17">
        <v>424.37599999999998</v>
      </c>
      <c r="X211" s="17">
        <v>452.75099999999998</v>
      </c>
      <c r="Y211" s="17">
        <v>549.02099999999996</v>
      </c>
      <c r="Z211" s="17">
        <v>468.24099999999999</v>
      </c>
      <c r="AA211" s="17">
        <v>436.16899999999998</v>
      </c>
      <c r="AB211" s="17"/>
      <c r="AC211" s="17"/>
      <c r="AD211" s="26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>
        <v>402.27699999999999</v>
      </c>
      <c r="AO211" s="17">
        <v>417.68099999999998</v>
      </c>
      <c r="AP211" s="17"/>
      <c r="AQ211" s="17"/>
      <c r="AR211" s="17"/>
      <c r="AS211" s="17"/>
      <c r="AT211" s="17"/>
      <c r="AU211" s="17"/>
      <c r="AV211" s="17"/>
      <c r="AW211" s="17">
        <v>490.89600000000002</v>
      </c>
    </row>
    <row r="212" spans="1:49" x14ac:dyDescent="0.35">
      <c r="A212" s="3">
        <f t="shared" si="32"/>
        <v>195</v>
      </c>
      <c r="B212" s="17"/>
      <c r="C212" s="17"/>
      <c r="D212" s="17">
        <v>442.34</v>
      </c>
      <c r="E212" s="17">
        <v>448.61900000000003</v>
      </c>
      <c r="F212" s="17">
        <v>434.64699999999999</v>
      </c>
      <c r="G212" s="17">
        <v>408.84899999999999</v>
      </c>
      <c r="H212" s="17"/>
      <c r="I212" s="17"/>
      <c r="J212" s="17">
        <v>412.85</v>
      </c>
      <c r="K212" s="23"/>
      <c r="L212" s="17">
        <v>550.54</v>
      </c>
      <c r="M212" s="17">
        <v>428.96499999999997</v>
      </c>
      <c r="N212" s="17">
        <v>465.68400000000003</v>
      </c>
      <c r="O212" s="17">
        <v>440.834</v>
      </c>
      <c r="P212" s="17">
        <v>410.89800000000002</v>
      </c>
      <c r="Q212" s="17">
        <v>430.00299999999999</v>
      </c>
      <c r="R212" s="17"/>
      <c r="S212" s="17">
        <v>419.76100000000002</v>
      </c>
      <c r="T212" s="17"/>
      <c r="U212" s="17">
        <v>400.476</v>
      </c>
      <c r="V212" s="17">
        <v>412.88799999999998</v>
      </c>
      <c r="W212" s="17">
        <v>424.59899999999999</v>
      </c>
      <c r="X212" s="17">
        <v>453.75099999999998</v>
      </c>
      <c r="Y212" s="17">
        <v>549.51400000000001</v>
      </c>
      <c r="Z212" s="17">
        <v>469.66199999999998</v>
      </c>
      <c r="AA212" s="17">
        <v>438.12</v>
      </c>
      <c r="AB212" s="17"/>
      <c r="AC212" s="17"/>
      <c r="AD212" s="26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>
        <v>402.05399999999997</v>
      </c>
      <c r="AO212" s="17">
        <v>418.49200000000002</v>
      </c>
      <c r="AP212" s="17"/>
      <c r="AQ212" s="17"/>
      <c r="AR212" s="17"/>
      <c r="AS212" s="17"/>
      <c r="AT212" s="17"/>
      <c r="AU212" s="17"/>
      <c r="AV212" s="17"/>
      <c r="AW212" s="17">
        <v>490.19499999999999</v>
      </c>
    </row>
    <row r="213" spans="1:49" x14ac:dyDescent="0.35">
      <c r="A213" s="3">
        <f t="shared" si="32"/>
        <v>196</v>
      </c>
      <c r="B213" s="17"/>
      <c r="C213" s="17"/>
      <c r="D213" s="17">
        <v>443.53699999999998</v>
      </c>
      <c r="E213" s="17">
        <v>449.64800000000002</v>
      </c>
      <c r="F213" s="17">
        <v>432.42500000000001</v>
      </c>
      <c r="G213" s="17">
        <v>409.27699999999999</v>
      </c>
      <c r="H213" s="17"/>
      <c r="I213" s="17"/>
      <c r="J213" s="17">
        <v>412.86900000000003</v>
      </c>
      <c r="K213" s="23"/>
      <c r="L213" s="17">
        <v>549.37900000000002</v>
      </c>
      <c r="M213" s="17">
        <v>430.15</v>
      </c>
      <c r="N213" s="17">
        <v>465.25900000000001</v>
      </c>
      <c r="O213" s="17">
        <v>440.74400000000003</v>
      </c>
      <c r="P213" s="17">
        <v>410.75</v>
      </c>
      <c r="Q213" s="17">
        <v>431.89800000000002</v>
      </c>
      <c r="R213" s="17"/>
      <c r="S213" s="17">
        <v>420.32600000000002</v>
      </c>
      <c r="T213" s="17"/>
      <c r="U213" s="17">
        <v>399.33</v>
      </c>
      <c r="V213" s="17">
        <v>412.02800000000002</v>
      </c>
      <c r="W213" s="17">
        <v>426.16199999999998</v>
      </c>
      <c r="X213" s="17">
        <v>451.423</v>
      </c>
      <c r="Y213" s="17">
        <v>549.22</v>
      </c>
      <c r="Z213" s="17">
        <v>468.60300000000001</v>
      </c>
      <c r="AA213" s="17">
        <v>435.43599999999998</v>
      </c>
      <c r="AB213" s="17"/>
      <c r="AC213" s="17"/>
      <c r="AD213" s="26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>
        <v>403.041</v>
      </c>
      <c r="AO213" s="17">
        <v>418.74200000000002</v>
      </c>
      <c r="AP213" s="17"/>
      <c r="AQ213" s="17"/>
      <c r="AR213" s="17"/>
      <c r="AS213" s="17"/>
      <c r="AT213" s="17"/>
      <c r="AU213" s="17"/>
      <c r="AV213" s="17"/>
      <c r="AW213" s="17">
        <v>490.60899999999998</v>
      </c>
    </row>
    <row r="214" spans="1:49" x14ac:dyDescent="0.35">
      <c r="A214" s="3">
        <f t="shared" si="32"/>
        <v>197</v>
      </c>
      <c r="B214" s="17"/>
      <c r="C214" s="17"/>
      <c r="D214" s="17">
        <v>443.14</v>
      </c>
      <c r="E214" s="17">
        <v>449.37400000000002</v>
      </c>
      <c r="F214" s="17">
        <v>434.13600000000002</v>
      </c>
      <c r="G214" s="17">
        <v>408.61</v>
      </c>
      <c r="H214" s="17"/>
      <c r="I214" s="17"/>
      <c r="J214" s="17">
        <v>412.68700000000001</v>
      </c>
      <c r="K214" s="23"/>
      <c r="L214" s="17">
        <v>548.98</v>
      </c>
      <c r="M214" s="17">
        <v>430.43799999999999</v>
      </c>
      <c r="N214" s="17">
        <v>465.49400000000003</v>
      </c>
      <c r="O214" s="17">
        <v>440.42399999999998</v>
      </c>
      <c r="P214" s="17">
        <v>411.79500000000002</v>
      </c>
      <c r="Q214" s="17">
        <v>431.38799999999998</v>
      </c>
      <c r="R214" s="17"/>
      <c r="S214" s="17">
        <v>421.637</v>
      </c>
      <c r="T214" s="17"/>
      <c r="U214" s="17">
        <v>401.22699999999998</v>
      </c>
      <c r="V214" s="17">
        <v>410.76799999999997</v>
      </c>
      <c r="W214" s="17">
        <v>427.7</v>
      </c>
      <c r="X214" s="17">
        <v>452.63299999999998</v>
      </c>
      <c r="Y214" s="17">
        <v>548.31500000000005</v>
      </c>
      <c r="Z214" s="17">
        <v>467.78199999999998</v>
      </c>
      <c r="AA214" s="17">
        <v>436.73</v>
      </c>
      <c r="AB214" s="17"/>
      <c r="AC214" s="17"/>
      <c r="AD214" s="26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>
        <v>402.762</v>
      </c>
      <c r="AO214" s="17">
        <v>415.86</v>
      </c>
      <c r="AP214" s="17"/>
      <c r="AQ214" s="17"/>
      <c r="AR214" s="17"/>
      <c r="AS214" s="17"/>
      <c r="AT214" s="17"/>
      <c r="AU214" s="17"/>
      <c r="AV214" s="17"/>
      <c r="AW214" s="17">
        <v>490.62099999999998</v>
      </c>
    </row>
    <row r="215" spans="1:49" x14ac:dyDescent="0.35">
      <c r="A215" s="3">
        <f t="shared" si="32"/>
        <v>198</v>
      </c>
      <c r="B215" s="17"/>
      <c r="C215" s="17"/>
      <c r="D215" s="17">
        <v>441.77600000000001</v>
      </c>
      <c r="E215" s="17">
        <v>448.971</v>
      </c>
      <c r="F215" s="17">
        <v>432.94900000000001</v>
      </c>
      <c r="G215" s="17">
        <v>407.83600000000001</v>
      </c>
      <c r="H215" s="17"/>
      <c r="I215" s="17"/>
      <c r="J215" s="17">
        <v>411.745</v>
      </c>
      <c r="K215" s="23"/>
      <c r="L215" s="17">
        <v>549.91099999999994</v>
      </c>
      <c r="M215" s="17">
        <v>430.17399999999998</v>
      </c>
      <c r="N215" s="17">
        <v>466.209</v>
      </c>
      <c r="O215" s="17">
        <v>439.71300000000002</v>
      </c>
      <c r="P215" s="17">
        <v>412.238</v>
      </c>
      <c r="Q215" s="17">
        <v>431.37299999999999</v>
      </c>
      <c r="R215" s="17"/>
      <c r="S215" s="17">
        <v>420.755</v>
      </c>
      <c r="T215" s="17"/>
      <c r="U215" s="17">
        <v>399.40100000000001</v>
      </c>
      <c r="V215" s="17">
        <v>413.42200000000003</v>
      </c>
      <c r="W215" s="17">
        <v>427.93799999999999</v>
      </c>
      <c r="X215" s="17">
        <v>452.68</v>
      </c>
      <c r="Y215" s="17">
        <v>549.06600000000003</v>
      </c>
      <c r="Z215" s="17">
        <v>470.48599999999999</v>
      </c>
      <c r="AA215" s="17">
        <v>436.76499999999999</v>
      </c>
      <c r="AB215" s="17"/>
      <c r="AC215" s="17"/>
      <c r="AD215" s="26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>
        <v>402.35</v>
      </c>
      <c r="AO215" s="17">
        <v>416.04700000000003</v>
      </c>
      <c r="AP215" s="17"/>
      <c r="AQ215" s="17"/>
      <c r="AR215" s="17"/>
      <c r="AS215" s="17"/>
      <c r="AT215" s="17"/>
      <c r="AU215" s="17"/>
      <c r="AV215" s="17"/>
      <c r="AW215" s="17">
        <v>490.44200000000001</v>
      </c>
    </row>
    <row r="216" spans="1:49" x14ac:dyDescent="0.35">
      <c r="A216" s="3">
        <f t="shared" si="32"/>
        <v>199</v>
      </c>
      <c r="B216" s="17"/>
      <c r="C216" s="17"/>
      <c r="D216" s="17">
        <v>443.21100000000001</v>
      </c>
      <c r="E216" s="17">
        <v>448.36</v>
      </c>
      <c r="F216" s="17">
        <v>434.29599999999999</v>
      </c>
      <c r="G216" s="17">
        <v>409.18599999999998</v>
      </c>
      <c r="H216" s="17"/>
      <c r="I216" s="17"/>
      <c r="J216" s="17">
        <v>413.42099999999999</v>
      </c>
      <c r="K216" s="23"/>
      <c r="L216" s="17">
        <v>549.97500000000002</v>
      </c>
      <c r="M216" s="17">
        <v>430.96</v>
      </c>
      <c r="N216" s="17">
        <v>467.35500000000002</v>
      </c>
      <c r="O216" s="17">
        <v>440.61900000000003</v>
      </c>
      <c r="P216" s="17">
        <v>410.34800000000001</v>
      </c>
      <c r="Q216" s="17">
        <v>430.38299999999998</v>
      </c>
      <c r="R216" s="17"/>
      <c r="S216" s="17">
        <v>421.27</v>
      </c>
      <c r="T216" s="17"/>
      <c r="U216" s="17">
        <v>400.45100000000002</v>
      </c>
      <c r="V216" s="17">
        <v>411.68400000000003</v>
      </c>
      <c r="W216" s="17">
        <v>427.846</v>
      </c>
      <c r="X216" s="17">
        <v>452.44200000000001</v>
      </c>
      <c r="Y216" s="17">
        <v>549.65899999999999</v>
      </c>
      <c r="Z216" s="17">
        <v>468.74299999999999</v>
      </c>
      <c r="AA216" s="17">
        <v>436.375</v>
      </c>
      <c r="AB216" s="17"/>
      <c r="AC216" s="17"/>
      <c r="AD216" s="26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>
        <v>401.92899999999997</v>
      </c>
      <c r="AO216" s="17">
        <v>416.56599999999997</v>
      </c>
      <c r="AP216" s="17"/>
      <c r="AQ216" s="17"/>
      <c r="AR216" s="17"/>
      <c r="AS216" s="17"/>
      <c r="AT216" s="17"/>
      <c r="AU216" s="17"/>
      <c r="AV216" s="17"/>
      <c r="AW216" s="17">
        <v>492.42099999999999</v>
      </c>
    </row>
    <row r="217" spans="1:49" x14ac:dyDescent="0.35">
      <c r="A217" s="3">
        <f t="shared" si="32"/>
        <v>200</v>
      </c>
      <c r="B217" s="17"/>
      <c r="C217" s="17"/>
      <c r="D217" s="17">
        <v>442.298</v>
      </c>
      <c r="E217" s="17">
        <v>448.98700000000002</v>
      </c>
      <c r="F217" s="17">
        <v>434.11700000000002</v>
      </c>
      <c r="G217" s="17">
        <v>409.49900000000002</v>
      </c>
      <c r="H217" s="17"/>
      <c r="I217" s="17"/>
      <c r="J217" s="17">
        <v>412.91199999999998</v>
      </c>
      <c r="K217" s="23"/>
      <c r="L217" s="17">
        <v>550.77099999999996</v>
      </c>
      <c r="M217" s="17"/>
      <c r="N217" s="17">
        <v>466.77100000000002</v>
      </c>
      <c r="O217" s="17">
        <v>440.74400000000003</v>
      </c>
      <c r="P217" s="17">
        <v>412.30599999999998</v>
      </c>
      <c r="Q217" s="17">
        <v>431.78699999999998</v>
      </c>
      <c r="R217" s="17"/>
      <c r="S217" s="17">
        <v>421.80500000000001</v>
      </c>
      <c r="T217" s="17"/>
      <c r="U217" s="17">
        <v>400.91300000000001</v>
      </c>
      <c r="V217" s="17">
        <v>411.95400000000001</v>
      </c>
      <c r="W217" s="17">
        <v>427.33199999999999</v>
      </c>
      <c r="X217" s="17">
        <v>452.226</v>
      </c>
      <c r="Y217" s="17">
        <v>549.82299999999998</v>
      </c>
      <c r="Z217" s="17">
        <v>470.44299999999998</v>
      </c>
      <c r="AA217" s="17">
        <v>436.202</v>
      </c>
      <c r="AB217" s="17"/>
      <c r="AC217" s="17"/>
      <c r="AD217" s="26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>
        <v>401.327</v>
      </c>
      <c r="AO217" s="17">
        <v>416.71800000000002</v>
      </c>
      <c r="AP217" s="17"/>
      <c r="AQ217" s="17"/>
      <c r="AR217" s="17"/>
      <c r="AS217" s="17"/>
      <c r="AT217" s="17"/>
      <c r="AU217" s="17"/>
      <c r="AV217" s="17"/>
      <c r="AW217" s="17">
        <v>491.88099999999997</v>
      </c>
    </row>
    <row r="218" spans="1:49" x14ac:dyDescent="0.35">
      <c r="A218" s="3">
        <f t="shared" si="32"/>
        <v>201</v>
      </c>
      <c r="B218" s="17"/>
      <c r="C218" s="17"/>
      <c r="D218" s="17">
        <v>443.24599999999998</v>
      </c>
      <c r="E218" s="17">
        <v>449.05500000000001</v>
      </c>
      <c r="F218" s="17">
        <v>433.47399999999999</v>
      </c>
      <c r="G218" s="17">
        <v>409.51299999999998</v>
      </c>
      <c r="H218" s="17"/>
      <c r="I218" s="17"/>
      <c r="J218" s="17">
        <v>412.52</v>
      </c>
      <c r="K218" s="23"/>
      <c r="L218" s="17">
        <v>552.58199999999999</v>
      </c>
      <c r="M218" s="17"/>
      <c r="N218" s="17">
        <v>467.40100000000001</v>
      </c>
      <c r="O218" s="17">
        <v>440.76499999999999</v>
      </c>
      <c r="P218" s="17">
        <v>411.95100000000002</v>
      </c>
      <c r="Q218" s="17">
        <v>432.29899999999998</v>
      </c>
      <c r="R218" s="17"/>
      <c r="S218" s="17">
        <v>420.55900000000003</v>
      </c>
      <c r="T218" s="17"/>
      <c r="U218" s="17">
        <v>400.113</v>
      </c>
      <c r="V218" s="17">
        <v>412.87200000000001</v>
      </c>
      <c r="W218" s="17">
        <v>427.52300000000002</v>
      </c>
      <c r="X218" s="17">
        <v>452.11099999999999</v>
      </c>
      <c r="Y218" s="17">
        <v>549.44399999999996</v>
      </c>
      <c r="Z218" s="17">
        <v>470.60700000000003</v>
      </c>
      <c r="AA218" s="17">
        <v>437.387</v>
      </c>
      <c r="AB218" s="17"/>
      <c r="AC218" s="17"/>
      <c r="AD218" s="26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>
        <v>401.87900000000002</v>
      </c>
      <c r="AO218" s="17">
        <v>415.62200000000001</v>
      </c>
      <c r="AP218" s="17"/>
      <c r="AQ218" s="17"/>
      <c r="AR218" s="17"/>
      <c r="AS218" s="17"/>
      <c r="AT218" s="17"/>
      <c r="AU218" s="17"/>
      <c r="AV218" s="17"/>
      <c r="AW218" s="17">
        <v>490.98399999999998</v>
      </c>
    </row>
    <row r="219" spans="1:49" x14ac:dyDescent="0.35">
      <c r="A219" s="3">
        <f t="shared" si="32"/>
        <v>202</v>
      </c>
      <c r="B219" s="17"/>
      <c r="C219" s="17"/>
      <c r="D219" s="17">
        <v>441.91500000000002</v>
      </c>
      <c r="E219" s="17">
        <v>450.62299999999999</v>
      </c>
      <c r="F219" s="17">
        <v>433.28300000000002</v>
      </c>
      <c r="G219" s="17">
        <v>408.98399999999998</v>
      </c>
      <c r="H219" s="17"/>
      <c r="I219" s="17"/>
      <c r="J219" s="17">
        <v>411.709</v>
      </c>
      <c r="K219" s="23"/>
      <c r="L219" s="17">
        <v>550.76599999999996</v>
      </c>
      <c r="M219" s="17"/>
      <c r="N219" s="17">
        <v>467.74799999999999</v>
      </c>
      <c r="O219" s="17">
        <v>439.44600000000003</v>
      </c>
      <c r="P219" s="17">
        <v>411.35300000000001</v>
      </c>
      <c r="Q219" s="17">
        <v>432.16699999999997</v>
      </c>
      <c r="R219" s="17"/>
      <c r="S219" s="17">
        <v>421.82900000000001</v>
      </c>
      <c r="T219" s="17"/>
      <c r="U219" s="17">
        <v>399.29</v>
      </c>
      <c r="V219" s="17">
        <v>412.90100000000001</v>
      </c>
      <c r="W219" s="17">
        <v>428.09899999999999</v>
      </c>
      <c r="X219" s="17">
        <v>452.762</v>
      </c>
      <c r="Y219" s="17">
        <v>548.54399999999998</v>
      </c>
      <c r="Z219" s="17">
        <v>470.14400000000001</v>
      </c>
      <c r="AA219" s="17">
        <v>439.22699999999998</v>
      </c>
      <c r="AB219" s="17"/>
      <c r="AC219" s="17"/>
      <c r="AD219" s="26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>
        <v>400.613</v>
      </c>
      <c r="AO219" s="17">
        <v>415.90199999999999</v>
      </c>
      <c r="AP219" s="17"/>
      <c r="AQ219" s="17"/>
      <c r="AR219" s="17"/>
      <c r="AS219" s="17"/>
      <c r="AT219" s="17"/>
      <c r="AU219" s="17"/>
      <c r="AV219" s="17"/>
      <c r="AW219" s="17">
        <v>491.608</v>
      </c>
    </row>
    <row r="220" spans="1:49" x14ac:dyDescent="0.35">
      <c r="A220" s="3">
        <f t="shared" si="32"/>
        <v>203</v>
      </c>
      <c r="B220" s="17"/>
      <c r="C220" s="17"/>
      <c r="D220" s="17">
        <v>443.46899999999999</v>
      </c>
      <c r="E220" s="17">
        <v>448.97300000000001</v>
      </c>
      <c r="F220" s="17">
        <v>433.97300000000001</v>
      </c>
      <c r="G220" s="17">
        <v>409.62299999999999</v>
      </c>
      <c r="H220" s="17"/>
      <c r="I220" s="17"/>
      <c r="J220" s="17">
        <v>412.59100000000001</v>
      </c>
      <c r="K220" s="23"/>
      <c r="L220" s="17">
        <v>552.22500000000002</v>
      </c>
      <c r="M220" s="17"/>
      <c r="N220" s="17">
        <v>467.904</v>
      </c>
      <c r="O220" s="17">
        <v>441.70800000000003</v>
      </c>
      <c r="P220" s="17">
        <v>411.07</v>
      </c>
      <c r="Q220" s="17">
        <v>431.36099999999999</v>
      </c>
      <c r="R220" s="17"/>
      <c r="S220" s="17">
        <v>421.94900000000001</v>
      </c>
      <c r="T220" s="17"/>
      <c r="U220" s="17">
        <v>400.39400000000001</v>
      </c>
      <c r="V220" s="17">
        <v>412.54599999999999</v>
      </c>
      <c r="W220" s="17">
        <v>429.14400000000001</v>
      </c>
      <c r="X220" s="17">
        <v>451.33499999999998</v>
      </c>
      <c r="Y220" s="17">
        <v>549.48099999999999</v>
      </c>
      <c r="Z220" s="17">
        <v>469.88799999999998</v>
      </c>
      <c r="AA220" s="17">
        <v>438.15100000000001</v>
      </c>
      <c r="AB220" s="17"/>
      <c r="AC220" s="17"/>
      <c r="AD220" s="26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>
        <v>402.02600000000001</v>
      </c>
      <c r="AO220" s="17">
        <v>416.24400000000003</v>
      </c>
      <c r="AP220" s="17"/>
      <c r="AQ220" s="17"/>
      <c r="AR220" s="17"/>
      <c r="AS220" s="17"/>
      <c r="AT220" s="17"/>
      <c r="AU220" s="17"/>
      <c r="AV220" s="17"/>
      <c r="AW220" s="17">
        <v>492.14600000000002</v>
      </c>
    </row>
    <row r="221" spans="1:49" x14ac:dyDescent="0.35">
      <c r="A221" s="3">
        <f t="shared" si="32"/>
        <v>204</v>
      </c>
      <c r="B221" s="17"/>
      <c r="C221" s="17"/>
      <c r="D221" s="17">
        <v>443.56700000000001</v>
      </c>
      <c r="E221" s="17">
        <v>449.72399999999999</v>
      </c>
      <c r="F221" s="17">
        <v>434.43799999999999</v>
      </c>
      <c r="G221" s="17">
        <v>409.57499999999999</v>
      </c>
      <c r="H221" s="17"/>
      <c r="I221" s="17"/>
      <c r="J221" s="17">
        <v>413.536</v>
      </c>
      <c r="K221" s="23"/>
      <c r="L221" s="17">
        <v>551.34</v>
      </c>
      <c r="M221" s="17"/>
      <c r="N221" s="17">
        <v>467.89800000000002</v>
      </c>
      <c r="O221" s="17">
        <v>440.31700000000001</v>
      </c>
      <c r="P221" s="17">
        <v>411.452</v>
      </c>
      <c r="Q221" s="17">
        <v>432.68099999999998</v>
      </c>
      <c r="R221" s="17"/>
      <c r="S221" s="17">
        <v>420.52699999999999</v>
      </c>
      <c r="T221" s="17"/>
      <c r="U221" s="17">
        <v>399.48</v>
      </c>
      <c r="V221" s="17">
        <v>408.99200000000002</v>
      </c>
      <c r="W221" s="17">
        <v>427.43900000000002</v>
      </c>
      <c r="X221" s="17">
        <v>453.61799999999999</v>
      </c>
      <c r="Y221" s="17">
        <v>550.40300000000002</v>
      </c>
      <c r="Z221" s="17">
        <v>469.10700000000003</v>
      </c>
      <c r="AA221" s="17">
        <v>439.92899999999997</v>
      </c>
      <c r="AB221" s="17"/>
      <c r="AC221" s="17"/>
      <c r="AD221" s="26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>
        <v>400.89800000000002</v>
      </c>
      <c r="AO221" s="17">
        <v>417.952</v>
      </c>
      <c r="AP221" s="17"/>
      <c r="AQ221" s="17"/>
      <c r="AR221" s="17"/>
      <c r="AS221" s="17"/>
      <c r="AT221" s="17"/>
      <c r="AU221" s="17"/>
      <c r="AV221" s="17"/>
      <c r="AW221" s="17">
        <v>492.23099999999999</v>
      </c>
    </row>
    <row r="222" spans="1:49" x14ac:dyDescent="0.35">
      <c r="A222" s="3">
        <f t="shared" si="32"/>
        <v>205</v>
      </c>
      <c r="B222" s="17"/>
      <c r="C222" s="17"/>
      <c r="D222" s="17">
        <v>443.93700000000001</v>
      </c>
      <c r="E222" s="17">
        <v>449.37700000000001</v>
      </c>
      <c r="F222" s="17">
        <v>432.93799999999999</v>
      </c>
      <c r="G222" s="17">
        <v>409.87700000000001</v>
      </c>
      <c r="H222" s="17"/>
      <c r="I222" s="17"/>
      <c r="J222" s="17">
        <v>412.54399999999998</v>
      </c>
      <c r="K222" s="23"/>
      <c r="L222" s="17">
        <v>552.32399999999996</v>
      </c>
      <c r="M222" s="17"/>
      <c r="N222" s="17">
        <v>466.262</v>
      </c>
      <c r="O222" s="17">
        <v>440.959</v>
      </c>
      <c r="P222" s="17">
        <v>412.673</v>
      </c>
      <c r="Q222" s="17">
        <v>433.71899999999999</v>
      </c>
      <c r="R222" s="17"/>
      <c r="S222" s="17">
        <v>422.15199999999999</v>
      </c>
      <c r="T222" s="17"/>
      <c r="U222" s="17">
        <v>399.75799999999998</v>
      </c>
      <c r="V222" s="17">
        <v>412.26600000000002</v>
      </c>
      <c r="W222" s="17">
        <v>428.548</v>
      </c>
      <c r="X222" s="17">
        <v>453.39</v>
      </c>
      <c r="Y222" s="17">
        <v>551.21600000000001</v>
      </c>
      <c r="Z222" s="17">
        <v>468.37</v>
      </c>
      <c r="AA222" s="17">
        <v>439.22800000000001</v>
      </c>
      <c r="AB222" s="17"/>
      <c r="AC222" s="17"/>
      <c r="AD222" s="26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>
        <v>401.57900000000001</v>
      </c>
      <c r="AO222" s="17">
        <v>416.87799999999999</v>
      </c>
      <c r="AP222" s="17"/>
      <c r="AQ222" s="17"/>
      <c r="AR222" s="17"/>
      <c r="AS222" s="17"/>
      <c r="AT222" s="17"/>
      <c r="AU222" s="17"/>
      <c r="AV222" s="17"/>
      <c r="AW222" s="17">
        <v>492.721</v>
      </c>
    </row>
    <row r="223" spans="1:49" x14ac:dyDescent="0.35">
      <c r="A223" s="3">
        <f t="shared" si="32"/>
        <v>206</v>
      </c>
      <c r="B223" s="17"/>
      <c r="C223" s="17"/>
      <c r="D223" s="17">
        <v>444.83600000000001</v>
      </c>
      <c r="E223" s="17">
        <v>449.95800000000003</v>
      </c>
      <c r="F223" s="17">
        <v>433.23599999999999</v>
      </c>
      <c r="G223" s="17">
        <v>409.49400000000003</v>
      </c>
      <c r="H223" s="17"/>
      <c r="I223" s="17"/>
      <c r="J223" s="17">
        <v>412.61</v>
      </c>
      <c r="K223" s="23"/>
      <c r="L223" s="17">
        <v>552.35599999999999</v>
      </c>
      <c r="M223" s="17"/>
      <c r="N223" s="17">
        <v>467.26100000000002</v>
      </c>
      <c r="O223" s="17">
        <v>441.03399999999999</v>
      </c>
      <c r="P223" s="17">
        <v>411.47399999999999</v>
      </c>
      <c r="Q223" s="17">
        <v>433.75799999999998</v>
      </c>
      <c r="R223" s="17"/>
      <c r="S223" s="17">
        <v>422.79199999999997</v>
      </c>
      <c r="T223" s="17"/>
      <c r="U223" s="17">
        <v>400.197</v>
      </c>
      <c r="V223" s="17">
        <v>412.54599999999999</v>
      </c>
      <c r="W223" s="17">
        <v>428.79</v>
      </c>
      <c r="X223" s="17">
        <v>451.74200000000002</v>
      </c>
      <c r="Y223" s="17">
        <v>551.42999999999995</v>
      </c>
      <c r="Z223" s="17">
        <v>469.17099999999999</v>
      </c>
      <c r="AA223" s="17">
        <v>439.07</v>
      </c>
      <c r="AB223" s="17"/>
      <c r="AC223" s="17"/>
      <c r="AD223" s="26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>
        <v>401.56200000000001</v>
      </c>
      <c r="AO223" s="17">
        <v>416.61799999999999</v>
      </c>
      <c r="AP223" s="17"/>
      <c r="AQ223" s="17"/>
      <c r="AR223" s="17"/>
      <c r="AS223" s="17"/>
      <c r="AT223" s="17"/>
      <c r="AU223" s="17"/>
      <c r="AV223" s="17"/>
      <c r="AW223" s="17">
        <v>492.745</v>
      </c>
    </row>
    <row r="224" spans="1:49" x14ac:dyDescent="0.35">
      <c r="A224" s="3">
        <f t="shared" si="32"/>
        <v>207</v>
      </c>
      <c r="B224" s="17"/>
      <c r="C224" s="17"/>
      <c r="D224" s="17">
        <v>443.84199999999998</v>
      </c>
      <c r="E224" s="17">
        <v>449.91399999999999</v>
      </c>
      <c r="F224" s="17">
        <v>432.93700000000001</v>
      </c>
      <c r="G224" s="17">
        <v>409.91899999999998</v>
      </c>
      <c r="H224" s="17"/>
      <c r="I224" s="17"/>
      <c r="J224" s="17">
        <v>412.209</v>
      </c>
      <c r="K224" s="23"/>
      <c r="L224" s="17">
        <v>551.69899999999996</v>
      </c>
      <c r="M224" s="17"/>
      <c r="N224" s="17">
        <v>467.74200000000002</v>
      </c>
      <c r="O224" s="17">
        <v>441.3</v>
      </c>
      <c r="P224" s="17">
        <v>412.31799999999998</v>
      </c>
      <c r="Q224" s="17">
        <v>433.51299999999998</v>
      </c>
      <c r="R224" s="17"/>
      <c r="S224" s="17">
        <v>422.589</v>
      </c>
      <c r="T224" s="17"/>
      <c r="U224" s="17">
        <v>399.387</v>
      </c>
      <c r="V224" s="17">
        <v>411.43400000000003</v>
      </c>
      <c r="W224" s="17">
        <v>428.06</v>
      </c>
      <c r="X224" s="17">
        <v>453.851</v>
      </c>
      <c r="Y224" s="17">
        <v>550.38599999999997</v>
      </c>
      <c r="Z224" s="17">
        <v>468.108</v>
      </c>
      <c r="AA224" s="17">
        <v>439.82799999999997</v>
      </c>
      <c r="AB224" s="17"/>
      <c r="AC224" s="17"/>
      <c r="AD224" s="26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>
        <v>402.351</v>
      </c>
      <c r="AO224" s="17">
        <v>417.92200000000003</v>
      </c>
      <c r="AP224" s="17"/>
      <c r="AQ224" s="17"/>
      <c r="AR224" s="17"/>
      <c r="AS224" s="17"/>
      <c r="AT224" s="17"/>
      <c r="AU224" s="17"/>
      <c r="AV224" s="17"/>
      <c r="AW224" s="17">
        <v>493.262</v>
      </c>
    </row>
    <row r="225" spans="1:49" x14ac:dyDescent="0.35">
      <c r="A225" s="3">
        <f t="shared" si="32"/>
        <v>208</v>
      </c>
      <c r="B225" s="17"/>
      <c r="C225" s="17"/>
      <c r="D225" s="17">
        <v>443.61900000000003</v>
      </c>
      <c r="E225" s="17">
        <v>450.07799999999997</v>
      </c>
      <c r="F225" s="17">
        <v>433.39400000000001</v>
      </c>
      <c r="G225" s="17">
        <v>409.97899999999998</v>
      </c>
      <c r="H225" s="17"/>
      <c r="I225" s="17"/>
      <c r="J225" s="17">
        <v>411.25299999999999</v>
      </c>
      <c r="K225" s="23"/>
      <c r="L225" s="17">
        <v>553.09500000000003</v>
      </c>
      <c r="M225" s="17"/>
      <c r="N225" s="17">
        <v>467.685</v>
      </c>
      <c r="O225" s="17">
        <v>441.64600000000002</v>
      </c>
      <c r="P225" s="17">
        <v>413.55900000000003</v>
      </c>
      <c r="Q225" s="17">
        <v>433.60899999999998</v>
      </c>
      <c r="R225" s="17"/>
      <c r="S225" s="17">
        <v>422.62099999999998</v>
      </c>
      <c r="T225" s="17"/>
      <c r="U225" s="17">
        <v>398.50099999999998</v>
      </c>
      <c r="V225" s="17">
        <v>410.29399999999998</v>
      </c>
      <c r="W225" s="17">
        <v>427.12799999999999</v>
      </c>
      <c r="X225" s="17">
        <v>453.34300000000002</v>
      </c>
      <c r="Y225" s="17">
        <v>552.923</v>
      </c>
      <c r="Z225" s="17">
        <v>470.08699999999999</v>
      </c>
      <c r="AA225" s="17">
        <v>440.51600000000002</v>
      </c>
      <c r="AB225" s="17"/>
      <c r="AC225" s="17"/>
      <c r="AD225" s="26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>
        <v>401.19400000000002</v>
      </c>
      <c r="AO225" s="17">
        <v>416.25099999999998</v>
      </c>
      <c r="AP225" s="17"/>
      <c r="AQ225" s="17"/>
      <c r="AR225" s="17"/>
      <c r="AS225" s="17"/>
      <c r="AT225" s="17"/>
      <c r="AU225" s="17"/>
      <c r="AV225" s="17"/>
      <c r="AW225" s="17">
        <v>492.44200000000001</v>
      </c>
    </row>
    <row r="226" spans="1:49" x14ac:dyDescent="0.35">
      <c r="A226" s="3">
        <f t="shared" si="32"/>
        <v>209</v>
      </c>
      <c r="B226" s="17"/>
      <c r="C226" s="17"/>
      <c r="D226" s="17">
        <v>442.52800000000002</v>
      </c>
      <c r="E226" s="17">
        <v>449.36200000000002</v>
      </c>
      <c r="F226" s="17">
        <v>432.83600000000001</v>
      </c>
      <c r="G226" s="17">
        <v>409.64499999999998</v>
      </c>
      <c r="H226" s="17"/>
      <c r="I226" s="17"/>
      <c r="J226" s="17">
        <v>413.649</v>
      </c>
      <c r="K226" s="23"/>
      <c r="L226" s="17">
        <v>553.95399999999995</v>
      </c>
      <c r="M226" s="17"/>
      <c r="N226" s="17">
        <v>468.28199999999998</v>
      </c>
      <c r="O226" s="17">
        <v>441.642</v>
      </c>
      <c r="P226" s="17">
        <v>411.54599999999999</v>
      </c>
      <c r="Q226" s="17">
        <v>434.09899999999999</v>
      </c>
      <c r="R226" s="17"/>
      <c r="S226" s="17">
        <v>422.49</v>
      </c>
      <c r="T226" s="17"/>
      <c r="U226" s="17">
        <v>399.56099999999998</v>
      </c>
      <c r="V226" s="17">
        <v>412.15100000000001</v>
      </c>
      <c r="W226" s="17">
        <v>428.375</v>
      </c>
      <c r="X226" s="17">
        <v>452.23599999999999</v>
      </c>
      <c r="Y226" s="17">
        <v>550.72699999999998</v>
      </c>
      <c r="Z226" s="17">
        <v>470.43700000000001</v>
      </c>
      <c r="AA226" s="17">
        <v>439.91399999999999</v>
      </c>
      <c r="AB226" s="17"/>
      <c r="AC226" s="17"/>
      <c r="AD226" s="26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>
        <v>401.52600000000001</v>
      </c>
      <c r="AO226" s="17">
        <v>417.70499999999998</v>
      </c>
      <c r="AP226" s="17"/>
      <c r="AQ226" s="17"/>
      <c r="AR226" s="17"/>
      <c r="AS226" s="17"/>
      <c r="AT226" s="17"/>
      <c r="AU226" s="17"/>
      <c r="AV226" s="17"/>
      <c r="AW226" s="17">
        <v>493.34300000000002</v>
      </c>
    </row>
    <row r="227" spans="1:49" x14ac:dyDescent="0.35">
      <c r="A227" s="3">
        <f t="shared" si="32"/>
        <v>210</v>
      </c>
      <c r="B227" s="17"/>
      <c r="C227" s="17"/>
      <c r="D227" s="17">
        <v>441.91699999999997</v>
      </c>
      <c r="E227" s="17">
        <v>450.28199999999998</v>
      </c>
      <c r="F227" s="17">
        <v>433.637</v>
      </c>
      <c r="G227" s="17">
        <v>408.18900000000002</v>
      </c>
      <c r="H227" s="17"/>
      <c r="I227" s="17"/>
      <c r="J227" s="17">
        <v>412.959</v>
      </c>
      <c r="K227" s="23"/>
      <c r="L227" s="17">
        <v>552.73900000000003</v>
      </c>
      <c r="M227" s="17"/>
      <c r="N227" s="17">
        <v>467.42099999999999</v>
      </c>
      <c r="O227" s="17">
        <v>440.74599999999998</v>
      </c>
      <c r="P227" s="17">
        <v>411.63299999999998</v>
      </c>
      <c r="Q227" s="17">
        <v>432.97199999999998</v>
      </c>
      <c r="R227" s="17"/>
      <c r="S227" s="17">
        <v>422.58699999999999</v>
      </c>
      <c r="T227" s="17"/>
      <c r="U227" s="17">
        <v>399.28699999999998</v>
      </c>
      <c r="V227" s="17">
        <v>413.19299999999998</v>
      </c>
      <c r="W227" s="17">
        <v>428.971</v>
      </c>
      <c r="X227" s="17">
        <v>453.07299999999998</v>
      </c>
      <c r="Y227" s="17">
        <v>552.048</v>
      </c>
      <c r="Z227" s="17">
        <v>470.68400000000003</v>
      </c>
      <c r="AA227" s="17">
        <v>439.92500000000001</v>
      </c>
      <c r="AB227" s="17"/>
      <c r="AC227" s="17"/>
      <c r="AD227" s="26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>
        <v>401.28100000000001</v>
      </c>
      <c r="AO227" s="17">
        <v>418.19099999999997</v>
      </c>
      <c r="AP227" s="17"/>
      <c r="AQ227" s="17"/>
      <c r="AR227" s="17"/>
      <c r="AS227" s="17"/>
      <c r="AT227" s="17"/>
      <c r="AU227" s="17"/>
      <c r="AV227" s="17"/>
      <c r="AW227" s="17">
        <v>493.61099999999999</v>
      </c>
    </row>
    <row r="228" spans="1:49" x14ac:dyDescent="0.35">
      <c r="A228" s="3">
        <f t="shared" si="32"/>
        <v>211</v>
      </c>
      <c r="B228" s="17"/>
      <c r="C228" s="17"/>
      <c r="D228" s="17">
        <v>442.66800000000001</v>
      </c>
      <c r="E228" s="17">
        <v>450.548</v>
      </c>
      <c r="F228" s="17">
        <v>432.93200000000002</v>
      </c>
      <c r="G228" s="17">
        <v>409.64600000000002</v>
      </c>
      <c r="H228" s="17"/>
      <c r="I228" s="17"/>
      <c r="J228" s="17">
        <v>413.80200000000002</v>
      </c>
      <c r="K228" s="23"/>
      <c r="L228" s="17">
        <v>552.64300000000003</v>
      </c>
      <c r="M228" s="17"/>
      <c r="N228" s="17">
        <v>466.00700000000001</v>
      </c>
      <c r="O228" s="17">
        <v>441.60300000000001</v>
      </c>
      <c r="P228" s="17">
        <v>412.63600000000002</v>
      </c>
      <c r="Q228" s="17">
        <v>435.35599999999999</v>
      </c>
      <c r="R228" s="17"/>
      <c r="S228" s="17">
        <v>421.24700000000001</v>
      </c>
      <c r="T228" s="17"/>
      <c r="U228" s="17">
        <v>400.38600000000002</v>
      </c>
      <c r="V228" s="17">
        <v>411.85</v>
      </c>
      <c r="W228" s="17">
        <v>428.786</v>
      </c>
      <c r="X228" s="17">
        <v>452.51100000000002</v>
      </c>
      <c r="Y228" s="17">
        <v>552.56500000000005</v>
      </c>
      <c r="Z228" s="17">
        <v>471.03100000000001</v>
      </c>
      <c r="AA228" s="17">
        <v>440.495</v>
      </c>
      <c r="AB228" s="17"/>
      <c r="AC228" s="17"/>
      <c r="AD228" s="26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>
        <v>402.18599999999998</v>
      </c>
      <c r="AO228" s="17">
        <v>418.26600000000002</v>
      </c>
      <c r="AP228" s="17"/>
      <c r="AQ228" s="17"/>
      <c r="AR228" s="17"/>
      <c r="AS228" s="17"/>
      <c r="AT228" s="17"/>
      <c r="AU228" s="17"/>
      <c r="AV228" s="17"/>
      <c r="AW228" s="17">
        <v>494.03800000000001</v>
      </c>
    </row>
    <row r="229" spans="1:49" x14ac:dyDescent="0.35">
      <c r="A229" s="3">
        <f t="shared" si="32"/>
        <v>212</v>
      </c>
      <c r="B229" s="17"/>
      <c r="C229" s="17"/>
      <c r="D229" s="17">
        <v>442.30200000000002</v>
      </c>
      <c r="E229" s="17">
        <v>451.80500000000001</v>
      </c>
      <c r="F229" s="17">
        <v>433.78399999999999</v>
      </c>
      <c r="G229" s="17">
        <v>410.60500000000002</v>
      </c>
      <c r="H229" s="17"/>
      <c r="I229" s="17"/>
      <c r="J229" s="17">
        <v>413.33300000000003</v>
      </c>
      <c r="K229" s="23"/>
      <c r="L229" s="17">
        <v>552.87099999999998</v>
      </c>
      <c r="M229" s="17"/>
      <c r="N229" s="17">
        <v>466.786</v>
      </c>
      <c r="O229" s="17">
        <v>440.83699999999999</v>
      </c>
      <c r="P229" s="17">
        <v>412.32299999999998</v>
      </c>
      <c r="Q229" s="17">
        <v>434.846</v>
      </c>
      <c r="R229" s="17"/>
      <c r="S229" s="17">
        <v>422.23599999999999</v>
      </c>
      <c r="T229" s="17"/>
      <c r="U229" s="17">
        <v>399.17700000000002</v>
      </c>
      <c r="V229" s="17">
        <v>413.983</v>
      </c>
      <c r="W229" s="17">
        <v>429.399</v>
      </c>
      <c r="X229" s="17">
        <v>452.99200000000002</v>
      </c>
      <c r="Y229" s="17">
        <v>552.39499999999998</v>
      </c>
      <c r="Z229" s="17">
        <v>471.33199999999999</v>
      </c>
      <c r="AA229" s="17">
        <v>440.16199999999998</v>
      </c>
      <c r="AB229" s="17"/>
      <c r="AC229" s="17"/>
      <c r="AD229" s="26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>
        <v>401.48599999999999</v>
      </c>
      <c r="AO229" s="17">
        <v>418.15499999999997</v>
      </c>
      <c r="AP229" s="17"/>
      <c r="AQ229" s="17"/>
      <c r="AR229" s="17"/>
      <c r="AS229" s="17"/>
      <c r="AT229" s="17"/>
      <c r="AU229" s="17"/>
      <c r="AV229" s="17"/>
      <c r="AW229" s="17">
        <v>495.68700000000001</v>
      </c>
    </row>
    <row r="230" spans="1:49" x14ac:dyDescent="0.35">
      <c r="A230" s="3">
        <f t="shared" si="32"/>
        <v>213</v>
      </c>
      <c r="B230" s="17"/>
      <c r="C230" s="17"/>
      <c r="D230" s="17">
        <v>443.02300000000002</v>
      </c>
      <c r="E230" s="17">
        <v>451.63200000000001</v>
      </c>
      <c r="F230" s="17">
        <v>433.47399999999999</v>
      </c>
      <c r="G230" s="17">
        <v>410.18400000000003</v>
      </c>
      <c r="H230" s="17"/>
      <c r="I230" s="17"/>
      <c r="J230" s="17">
        <v>413.74799999999999</v>
      </c>
      <c r="K230" s="23"/>
      <c r="L230" s="17">
        <v>554.45000000000005</v>
      </c>
      <c r="M230" s="17"/>
      <c r="N230" s="17">
        <v>465.36</v>
      </c>
      <c r="O230" s="17">
        <v>439.98599999999999</v>
      </c>
      <c r="P230" s="17">
        <v>413.93799999999999</v>
      </c>
      <c r="Q230" s="17">
        <v>434.21800000000002</v>
      </c>
      <c r="R230" s="17"/>
      <c r="S230" s="17">
        <v>422.17899999999997</v>
      </c>
      <c r="T230" s="17"/>
      <c r="U230" s="17">
        <v>399.18799999999999</v>
      </c>
      <c r="V230" s="17">
        <v>413.53199999999998</v>
      </c>
      <c r="W230" s="17">
        <v>428.52600000000001</v>
      </c>
      <c r="X230" s="17">
        <v>453.42700000000002</v>
      </c>
      <c r="Y230" s="17">
        <v>552.80100000000004</v>
      </c>
      <c r="Z230" s="17">
        <v>471.71899999999999</v>
      </c>
      <c r="AA230" s="17">
        <v>440.71499999999997</v>
      </c>
      <c r="AB230" s="17"/>
      <c r="AC230" s="17"/>
      <c r="AD230" s="26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>
        <v>401.56700000000001</v>
      </c>
      <c r="AO230" s="17">
        <v>418.56799999999998</v>
      </c>
      <c r="AP230" s="17"/>
      <c r="AQ230" s="17"/>
      <c r="AR230" s="17"/>
      <c r="AS230" s="17"/>
      <c r="AT230" s="17"/>
      <c r="AU230" s="17"/>
      <c r="AV230" s="17"/>
      <c r="AW230" s="17">
        <v>496.10700000000003</v>
      </c>
    </row>
    <row r="231" spans="1:49" x14ac:dyDescent="0.35">
      <c r="A231" s="3">
        <f t="shared" si="32"/>
        <v>214</v>
      </c>
      <c r="B231" s="17"/>
      <c r="C231" s="17"/>
      <c r="D231" s="17">
        <v>443.798</v>
      </c>
      <c r="E231" s="17">
        <v>451.08800000000002</v>
      </c>
      <c r="F231" s="17">
        <v>432.47800000000001</v>
      </c>
      <c r="G231" s="17">
        <v>409.99900000000002</v>
      </c>
      <c r="H231" s="17"/>
      <c r="I231" s="17"/>
      <c r="J231" s="17">
        <v>414.96499999999997</v>
      </c>
      <c r="K231" s="23"/>
      <c r="L231" s="17">
        <v>553.11099999999999</v>
      </c>
      <c r="M231" s="17"/>
      <c r="N231" s="17">
        <v>465.50400000000002</v>
      </c>
      <c r="O231" s="17">
        <v>440.60700000000003</v>
      </c>
      <c r="P231" s="17">
        <v>412.298</v>
      </c>
      <c r="Q231" s="17">
        <v>435.07299999999998</v>
      </c>
      <c r="R231" s="17"/>
      <c r="S231" s="17">
        <v>423.47300000000001</v>
      </c>
      <c r="T231" s="17"/>
      <c r="U231" s="17">
        <v>400.48099999999999</v>
      </c>
      <c r="V231" s="17">
        <v>413.161</v>
      </c>
      <c r="W231" s="17">
        <v>428.49599999999998</v>
      </c>
      <c r="X231" s="17">
        <v>452.42500000000001</v>
      </c>
      <c r="Y231" s="17">
        <v>554.17399999999998</v>
      </c>
      <c r="Z231" s="17">
        <v>472.62400000000002</v>
      </c>
      <c r="AA231" s="17">
        <v>440.96899999999999</v>
      </c>
      <c r="AB231" s="17"/>
      <c r="AC231" s="17"/>
      <c r="AD231" s="26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>
        <v>401.98399999999998</v>
      </c>
      <c r="AO231" s="17">
        <v>418.67200000000003</v>
      </c>
      <c r="AP231" s="17"/>
      <c r="AQ231" s="17"/>
      <c r="AR231" s="17"/>
      <c r="AS231" s="17"/>
      <c r="AT231" s="17"/>
      <c r="AU231" s="17"/>
      <c r="AV231" s="17"/>
      <c r="AW231" s="17">
        <v>494.83499999999998</v>
      </c>
    </row>
    <row r="232" spans="1:49" x14ac:dyDescent="0.35">
      <c r="A232" s="3">
        <f t="shared" si="32"/>
        <v>215</v>
      </c>
      <c r="B232" s="17"/>
      <c r="C232" s="17"/>
      <c r="D232" s="17">
        <v>444.654</v>
      </c>
      <c r="E232" s="17">
        <v>451.34899999999999</v>
      </c>
      <c r="F232" s="17">
        <v>433.16199999999998</v>
      </c>
      <c r="G232" s="17">
        <v>410.00799999999998</v>
      </c>
      <c r="H232" s="17"/>
      <c r="I232" s="17"/>
      <c r="J232" s="17">
        <v>415.08800000000002</v>
      </c>
      <c r="K232" s="23"/>
      <c r="L232" s="17">
        <v>553.84699999999998</v>
      </c>
      <c r="M232" s="17"/>
      <c r="N232" s="17">
        <v>465.774</v>
      </c>
      <c r="O232" s="17">
        <v>440.63200000000001</v>
      </c>
      <c r="P232" s="17">
        <v>412.36700000000002</v>
      </c>
      <c r="Q232" s="17">
        <v>434.84399999999999</v>
      </c>
      <c r="R232" s="17"/>
      <c r="S232" s="17">
        <v>421.54599999999999</v>
      </c>
      <c r="T232" s="17"/>
      <c r="U232" s="17">
        <v>400.16399999999999</v>
      </c>
      <c r="V232" s="17">
        <v>414.77699999999999</v>
      </c>
      <c r="W232" s="17">
        <v>429.154</v>
      </c>
      <c r="X232" s="17">
        <v>452.34100000000001</v>
      </c>
      <c r="Y232" s="17">
        <v>554.16999999999996</v>
      </c>
      <c r="Z232" s="17">
        <v>472.19299999999998</v>
      </c>
      <c r="AA232" s="17">
        <v>440.19099999999997</v>
      </c>
      <c r="AB232" s="17"/>
      <c r="AC232" s="17"/>
      <c r="AD232" s="26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>
        <v>402.14</v>
      </c>
      <c r="AO232" s="17">
        <v>418.52</v>
      </c>
      <c r="AP232" s="17"/>
      <c r="AQ232" s="17"/>
      <c r="AR232" s="17"/>
      <c r="AS232" s="17"/>
      <c r="AT232" s="17"/>
      <c r="AU232" s="17"/>
      <c r="AV232" s="17"/>
      <c r="AW232" s="17">
        <v>496.07299999999998</v>
      </c>
    </row>
    <row r="233" spans="1:49" x14ac:dyDescent="0.35">
      <c r="A233" s="3">
        <f t="shared" si="32"/>
        <v>216</v>
      </c>
      <c r="B233" s="17"/>
      <c r="C233" s="17"/>
      <c r="D233" s="17">
        <v>444.95</v>
      </c>
      <c r="E233" s="17">
        <v>451.44799999999998</v>
      </c>
      <c r="F233" s="17">
        <v>432.988</v>
      </c>
      <c r="G233" s="17">
        <v>410.238</v>
      </c>
      <c r="H233" s="17"/>
      <c r="I233" s="17"/>
      <c r="J233" s="17">
        <v>415.27800000000002</v>
      </c>
      <c r="K233" s="23"/>
      <c r="L233" s="17">
        <v>554.57100000000003</v>
      </c>
      <c r="M233" s="17"/>
      <c r="N233" s="17">
        <v>465.74900000000002</v>
      </c>
      <c r="O233" s="17">
        <v>441.137</v>
      </c>
      <c r="P233" s="17">
        <v>413.40600000000001</v>
      </c>
      <c r="Q233" s="17">
        <v>434.87900000000002</v>
      </c>
      <c r="R233" s="17"/>
      <c r="S233" s="17">
        <v>423.58</v>
      </c>
      <c r="T233" s="17"/>
      <c r="U233" s="17">
        <v>400.024</v>
      </c>
      <c r="V233" s="17">
        <v>415.71800000000002</v>
      </c>
      <c r="W233" s="17">
        <v>428.98899999999998</v>
      </c>
      <c r="X233" s="17">
        <v>453.48200000000003</v>
      </c>
      <c r="Y233" s="17">
        <v>553.76599999999996</v>
      </c>
      <c r="Z233" s="17">
        <v>472.94299999999998</v>
      </c>
      <c r="AA233" s="17">
        <v>440.80099999999999</v>
      </c>
      <c r="AB233" s="17"/>
      <c r="AC233" s="17"/>
      <c r="AD233" s="26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>
        <v>400.96199999999999</v>
      </c>
      <c r="AO233" s="17">
        <v>417.36799999999999</v>
      </c>
      <c r="AP233" s="17"/>
      <c r="AQ233" s="17"/>
      <c r="AR233" s="17"/>
      <c r="AS233" s="17"/>
      <c r="AT233" s="17"/>
      <c r="AU233" s="17"/>
      <c r="AV233" s="17"/>
      <c r="AW233" s="17">
        <v>496.70499999999998</v>
      </c>
    </row>
    <row r="234" spans="1:49" x14ac:dyDescent="0.35">
      <c r="A234" s="3">
        <f t="shared" si="32"/>
        <v>217</v>
      </c>
      <c r="B234" s="17"/>
      <c r="C234" s="17"/>
      <c r="D234" s="17">
        <v>446.06</v>
      </c>
      <c r="E234" s="17">
        <v>451.09500000000003</v>
      </c>
      <c r="F234" s="17">
        <v>433.49400000000003</v>
      </c>
      <c r="G234" s="17">
        <v>411.27800000000002</v>
      </c>
      <c r="H234" s="17"/>
      <c r="I234" s="17"/>
      <c r="J234" s="17">
        <v>417.30399999999997</v>
      </c>
      <c r="K234" s="23"/>
      <c r="L234" s="17">
        <v>552.50900000000001</v>
      </c>
      <c r="M234" s="17"/>
      <c r="N234" s="17">
        <v>465.13200000000001</v>
      </c>
      <c r="O234" s="17">
        <v>440.99599999999998</v>
      </c>
      <c r="P234" s="17">
        <v>412.01900000000001</v>
      </c>
      <c r="Q234" s="17">
        <v>435.44799999999998</v>
      </c>
      <c r="R234" s="17"/>
      <c r="S234" s="17">
        <v>421.89499999999998</v>
      </c>
      <c r="T234" s="17"/>
      <c r="U234" s="17">
        <v>399.99599999999998</v>
      </c>
      <c r="V234" s="17">
        <v>417.42399999999998</v>
      </c>
      <c r="W234" s="17">
        <v>428.48200000000003</v>
      </c>
      <c r="X234" s="17">
        <v>452.14100000000002</v>
      </c>
      <c r="Y234" s="17">
        <v>554.29300000000001</v>
      </c>
      <c r="Z234" s="17">
        <v>474.19299999999998</v>
      </c>
      <c r="AA234" s="17">
        <v>439.52199999999999</v>
      </c>
      <c r="AB234" s="17"/>
      <c r="AC234" s="17"/>
      <c r="AD234" s="26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>
        <v>401.64299999999997</v>
      </c>
      <c r="AO234" s="17">
        <v>416.911</v>
      </c>
      <c r="AP234" s="17"/>
      <c r="AQ234" s="17"/>
      <c r="AR234" s="17"/>
      <c r="AS234" s="17"/>
      <c r="AT234" s="17"/>
      <c r="AU234" s="17"/>
      <c r="AV234" s="17"/>
      <c r="AW234" s="17">
        <v>494.73</v>
      </c>
    </row>
    <row r="235" spans="1:49" x14ac:dyDescent="0.35">
      <c r="A235" s="3">
        <f t="shared" si="32"/>
        <v>218</v>
      </c>
      <c r="B235" s="17"/>
      <c r="C235" s="17"/>
      <c r="D235" s="17">
        <v>445.786</v>
      </c>
      <c r="E235" s="17">
        <v>451.30799999999999</v>
      </c>
      <c r="F235" s="17">
        <v>432.1</v>
      </c>
      <c r="G235" s="17">
        <v>409.928</v>
      </c>
      <c r="H235" s="17"/>
      <c r="I235" s="17"/>
      <c r="J235" s="17">
        <v>416.90800000000002</v>
      </c>
      <c r="K235" s="23"/>
      <c r="L235" s="17">
        <v>554.15099999999995</v>
      </c>
      <c r="M235" s="17"/>
      <c r="N235" s="17">
        <v>464.55599999999998</v>
      </c>
      <c r="O235" s="17">
        <v>441.25900000000001</v>
      </c>
      <c r="P235" s="17">
        <v>412.17</v>
      </c>
      <c r="Q235" s="17">
        <v>435.29899999999998</v>
      </c>
      <c r="R235" s="17"/>
      <c r="S235" s="17">
        <v>422.72399999999999</v>
      </c>
      <c r="T235" s="17"/>
      <c r="U235" s="17">
        <v>400.61200000000002</v>
      </c>
      <c r="V235" s="17">
        <v>415.84100000000001</v>
      </c>
      <c r="W235" s="17">
        <v>427.42899999999997</v>
      </c>
      <c r="X235" s="17">
        <v>453.54700000000003</v>
      </c>
      <c r="Y235" s="17">
        <v>555.37400000000002</v>
      </c>
      <c r="Z235" s="17">
        <v>473.524</v>
      </c>
      <c r="AA235" s="17">
        <v>441.42399999999998</v>
      </c>
      <c r="AB235" s="17"/>
      <c r="AC235" s="17"/>
      <c r="AD235" s="26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>
        <v>402.63200000000001</v>
      </c>
      <c r="AO235" s="17">
        <v>417.673</v>
      </c>
      <c r="AP235" s="17"/>
      <c r="AQ235" s="17"/>
      <c r="AR235" s="17"/>
      <c r="AS235" s="17"/>
      <c r="AT235" s="17"/>
      <c r="AU235" s="17"/>
      <c r="AV235" s="17"/>
      <c r="AW235" s="17">
        <v>496.346</v>
      </c>
    </row>
    <row r="236" spans="1:49" x14ac:dyDescent="0.35">
      <c r="A236" s="3">
        <f t="shared" si="32"/>
        <v>219</v>
      </c>
      <c r="B236" s="17"/>
      <c r="C236" s="17"/>
      <c r="D236" s="17">
        <v>445.83699999999999</v>
      </c>
      <c r="E236" s="17">
        <v>451.69900000000001</v>
      </c>
      <c r="F236" s="17">
        <v>433.68099999999998</v>
      </c>
      <c r="G236" s="17">
        <v>409.71600000000001</v>
      </c>
      <c r="H236" s="17"/>
      <c r="I236" s="17"/>
      <c r="J236" s="17">
        <v>417.95600000000002</v>
      </c>
      <c r="K236" s="23"/>
      <c r="L236" s="17">
        <v>554.39499999999998</v>
      </c>
      <c r="M236" s="17"/>
      <c r="N236" s="17">
        <v>464.93599999999998</v>
      </c>
      <c r="O236" s="17">
        <v>441.37</v>
      </c>
      <c r="P236" s="17">
        <v>412.76299999999998</v>
      </c>
      <c r="Q236" s="17">
        <v>435.52199999999999</v>
      </c>
      <c r="R236" s="17"/>
      <c r="S236" s="17">
        <v>421.91500000000002</v>
      </c>
      <c r="T236" s="17"/>
      <c r="U236" s="17">
        <v>400.07600000000002</v>
      </c>
      <c r="V236" s="17">
        <v>416.46699999999998</v>
      </c>
      <c r="W236" s="17">
        <v>430.28699999999998</v>
      </c>
      <c r="X236" s="17">
        <v>453.25799999999998</v>
      </c>
      <c r="Y236" s="17">
        <v>555.92899999999997</v>
      </c>
      <c r="Z236" s="17">
        <v>472.73099999999999</v>
      </c>
      <c r="AA236" s="17">
        <v>441.93099999999998</v>
      </c>
      <c r="AB236" s="17"/>
      <c r="AC236" s="17"/>
      <c r="AD236" s="26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>
        <v>401.697</v>
      </c>
      <c r="AO236" s="17">
        <v>416.63</v>
      </c>
      <c r="AP236" s="17"/>
      <c r="AQ236" s="17"/>
      <c r="AR236" s="17"/>
      <c r="AS236" s="17"/>
      <c r="AT236" s="17"/>
      <c r="AU236" s="17"/>
      <c r="AV236" s="17"/>
      <c r="AW236" s="17">
        <v>496.82</v>
      </c>
    </row>
    <row r="237" spans="1:49" x14ac:dyDescent="0.35">
      <c r="A237" s="3">
        <f t="shared" si="32"/>
        <v>220</v>
      </c>
      <c r="B237" s="17"/>
      <c r="C237" s="17"/>
      <c r="D237" s="17">
        <v>445.52100000000002</v>
      </c>
      <c r="E237" s="17">
        <v>452.13900000000001</v>
      </c>
      <c r="F237" s="17">
        <v>434.64299999999997</v>
      </c>
      <c r="G237" s="17">
        <v>410.95800000000003</v>
      </c>
      <c r="H237" s="17"/>
      <c r="I237" s="17"/>
      <c r="J237" s="17">
        <v>418.42</v>
      </c>
      <c r="K237" s="23"/>
      <c r="L237" s="17">
        <v>553.36900000000003</v>
      </c>
      <c r="M237" s="17"/>
      <c r="N237" s="17">
        <v>463.71</v>
      </c>
      <c r="O237" s="17">
        <v>441.12299999999999</v>
      </c>
      <c r="P237" s="17">
        <v>414.30399999999997</v>
      </c>
      <c r="Q237" s="17">
        <v>436.28</v>
      </c>
      <c r="R237" s="17"/>
      <c r="S237" s="17">
        <v>422.755</v>
      </c>
      <c r="T237" s="17"/>
      <c r="U237" s="17">
        <v>400.52100000000002</v>
      </c>
      <c r="V237" s="17">
        <v>417.03</v>
      </c>
      <c r="W237" s="17">
        <v>431.11700000000002</v>
      </c>
      <c r="X237" s="17">
        <v>452.596</v>
      </c>
      <c r="Y237" s="17">
        <v>556.20600000000002</v>
      </c>
      <c r="Z237" s="17">
        <v>474.45600000000002</v>
      </c>
      <c r="AA237" s="17">
        <v>441.85700000000003</v>
      </c>
      <c r="AB237" s="17"/>
      <c r="AC237" s="17"/>
      <c r="AD237" s="26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>
        <v>402.43200000000002</v>
      </c>
      <c r="AO237" s="17">
        <v>416.267</v>
      </c>
      <c r="AP237" s="17"/>
      <c r="AQ237" s="17"/>
      <c r="AR237" s="17"/>
      <c r="AS237" s="17"/>
      <c r="AT237" s="17"/>
      <c r="AU237" s="17"/>
      <c r="AV237" s="17"/>
      <c r="AW237" s="17">
        <v>497.69400000000002</v>
      </c>
    </row>
    <row r="238" spans="1:49" x14ac:dyDescent="0.35">
      <c r="A238" s="3">
        <f t="shared" si="32"/>
        <v>221</v>
      </c>
      <c r="B238" s="17"/>
      <c r="C238" s="17"/>
      <c r="D238" s="17">
        <v>445.63299999999998</v>
      </c>
      <c r="E238" s="17">
        <v>451.73399999999998</v>
      </c>
      <c r="F238" s="17">
        <v>433.62700000000001</v>
      </c>
      <c r="G238" s="17">
        <v>411.61799999999999</v>
      </c>
      <c r="H238" s="17"/>
      <c r="I238" s="17"/>
      <c r="J238" s="17">
        <v>419.09199999999998</v>
      </c>
      <c r="K238" s="23"/>
      <c r="L238" s="17">
        <v>553.49199999999996</v>
      </c>
      <c r="M238" s="17"/>
      <c r="N238" s="17">
        <v>461.83199999999999</v>
      </c>
      <c r="O238" s="17">
        <v>443.10899999999998</v>
      </c>
      <c r="P238" s="17">
        <v>412.63</v>
      </c>
      <c r="Q238" s="17">
        <v>436.82600000000002</v>
      </c>
      <c r="R238" s="17"/>
      <c r="S238" s="17">
        <v>422.66899999999998</v>
      </c>
      <c r="T238" s="17"/>
      <c r="U238" s="17">
        <v>401.16800000000001</v>
      </c>
      <c r="V238" s="17">
        <v>417.82</v>
      </c>
      <c r="W238" s="17">
        <v>429.286</v>
      </c>
      <c r="X238" s="17">
        <v>453.34100000000001</v>
      </c>
      <c r="Y238" s="17">
        <v>555.83500000000004</v>
      </c>
      <c r="Z238" s="17">
        <v>472.54199999999997</v>
      </c>
      <c r="AA238" s="17">
        <v>441.779</v>
      </c>
      <c r="AB238" s="17"/>
      <c r="AC238" s="17"/>
      <c r="AD238" s="26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>
        <v>401.85700000000003</v>
      </c>
      <c r="AO238" s="17">
        <v>417.53500000000003</v>
      </c>
      <c r="AP238" s="17"/>
      <c r="AQ238" s="17"/>
      <c r="AR238" s="17"/>
      <c r="AS238" s="17"/>
      <c r="AT238" s="17"/>
      <c r="AU238" s="17"/>
      <c r="AV238" s="17"/>
      <c r="AW238" s="17">
        <v>496.04700000000003</v>
      </c>
    </row>
    <row r="239" spans="1:49" x14ac:dyDescent="0.35">
      <c r="A239" s="3">
        <f t="shared" si="32"/>
        <v>222</v>
      </c>
      <c r="B239" s="17"/>
      <c r="C239" s="17"/>
      <c r="D239" s="17">
        <v>446.68099999999998</v>
      </c>
      <c r="E239" s="17">
        <v>451.81400000000002</v>
      </c>
      <c r="F239" s="17">
        <v>434.75700000000001</v>
      </c>
      <c r="G239" s="17">
        <v>409.99</v>
      </c>
      <c r="H239" s="17"/>
      <c r="I239" s="17"/>
      <c r="J239" s="17">
        <v>419.43700000000001</v>
      </c>
      <c r="K239" s="23"/>
      <c r="L239" s="17">
        <v>554.61500000000001</v>
      </c>
      <c r="M239" s="17"/>
      <c r="N239" s="17">
        <v>462.89</v>
      </c>
      <c r="O239" s="17">
        <v>441.24099999999999</v>
      </c>
      <c r="P239" s="17">
        <v>413.161</v>
      </c>
      <c r="Q239" s="17">
        <v>437.17700000000002</v>
      </c>
      <c r="R239" s="17"/>
      <c r="S239" s="17">
        <v>421.488</v>
      </c>
      <c r="T239" s="17"/>
      <c r="U239" s="17">
        <v>400.23</v>
      </c>
      <c r="V239" s="17">
        <v>419.79</v>
      </c>
      <c r="W239" s="17">
        <v>430.69799999999998</v>
      </c>
      <c r="X239" s="17">
        <v>452.50200000000001</v>
      </c>
      <c r="Y239" s="17">
        <v>557.80600000000004</v>
      </c>
      <c r="Z239" s="17">
        <v>475.24299999999999</v>
      </c>
      <c r="AA239" s="17">
        <v>442.27</v>
      </c>
      <c r="AB239" s="17"/>
      <c r="AC239" s="17"/>
      <c r="AD239" s="26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>
        <v>402.58</v>
      </c>
      <c r="AO239" s="17">
        <v>419.05500000000001</v>
      </c>
      <c r="AP239" s="17"/>
      <c r="AQ239" s="17"/>
      <c r="AR239" s="17"/>
      <c r="AS239" s="17"/>
      <c r="AT239" s="17"/>
      <c r="AU239" s="17"/>
      <c r="AV239" s="17"/>
      <c r="AW239" s="17">
        <v>497.13499999999999</v>
      </c>
    </row>
    <row r="240" spans="1:49" x14ac:dyDescent="0.35">
      <c r="A240" s="3">
        <f t="shared" si="32"/>
        <v>223</v>
      </c>
      <c r="B240" s="17"/>
      <c r="C240" s="17"/>
      <c r="D240" s="17">
        <v>446.91500000000002</v>
      </c>
      <c r="E240" s="17">
        <v>450.71100000000001</v>
      </c>
      <c r="F240" s="17">
        <v>434.37400000000002</v>
      </c>
      <c r="G240" s="17">
        <v>410.54700000000003</v>
      </c>
      <c r="H240" s="17"/>
      <c r="I240" s="17"/>
      <c r="J240" s="17">
        <v>419.92899999999997</v>
      </c>
      <c r="K240" s="23"/>
      <c r="L240" s="17">
        <v>554.577</v>
      </c>
      <c r="M240" s="17"/>
      <c r="N240" s="17">
        <v>461.286</v>
      </c>
      <c r="O240" s="17">
        <v>441.13400000000001</v>
      </c>
      <c r="P240" s="17">
        <v>412.9</v>
      </c>
      <c r="Q240" s="17">
        <v>436.82499999999999</v>
      </c>
      <c r="R240" s="17"/>
      <c r="S240" s="17">
        <v>423.07</v>
      </c>
      <c r="T240" s="17"/>
      <c r="U240" s="17">
        <v>401.54599999999999</v>
      </c>
      <c r="V240" s="17">
        <v>419.64100000000002</v>
      </c>
      <c r="W240" s="17">
        <v>429.77</v>
      </c>
      <c r="X240" s="17">
        <v>453.18299999999999</v>
      </c>
      <c r="Y240" s="17">
        <v>558.47500000000002</v>
      </c>
      <c r="Z240" s="17">
        <v>474.19499999999999</v>
      </c>
      <c r="AA240" s="17">
        <v>440.30799999999999</v>
      </c>
      <c r="AB240" s="17"/>
      <c r="AC240" s="17"/>
      <c r="AD240" s="26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>
        <v>402.69400000000002</v>
      </c>
      <c r="AO240" s="17">
        <v>418.54399999999998</v>
      </c>
      <c r="AP240" s="17"/>
      <c r="AQ240" s="17"/>
      <c r="AR240" s="17"/>
      <c r="AS240" s="17"/>
      <c r="AT240" s="17"/>
      <c r="AU240" s="17"/>
      <c r="AV240" s="17"/>
      <c r="AW240" s="17">
        <v>497.12400000000002</v>
      </c>
    </row>
    <row r="241" spans="1:49" x14ac:dyDescent="0.35">
      <c r="A241" s="3">
        <f t="shared" si="32"/>
        <v>224</v>
      </c>
      <c r="B241" s="17"/>
      <c r="C241" s="17"/>
      <c r="D241" s="17">
        <v>446.52100000000002</v>
      </c>
      <c r="E241" s="17">
        <v>451.529</v>
      </c>
      <c r="F241" s="17">
        <v>434.48099999999999</v>
      </c>
      <c r="G241" s="17">
        <v>408.94</v>
      </c>
      <c r="H241" s="17"/>
      <c r="I241" s="17"/>
      <c r="J241" s="17">
        <v>420.30500000000001</v>
      </c>
      <c r="K241" s="23"/>
      <c r="L241" s="17">
        <v>554.399</v>
      </c>
      <c r="M241" s="17"/>
      <c r="N241" s="17">
        <v>463.21600000000001</v>
      </c>
      <c r="O241" s="17">
        <v>441.71100000000001</v>
      </c>
      <c r="P241" s="17">
        <v>413.94799999999998</v>
      </c>
      <c r="Q241" s="17">
        <v>437.61399999999998</v>
      </c>
      <c r="R241" s="17"/>
      <c r="S241" s="17">
        <v>423.70100000000002</v>
      </c>
      <c r="T241" s="17"/>
      <c r="U241" s="17">
        <v>403.05500000000001</v>
      </c>
      <c r="V241" s="17">
        <v>419.971</v>
      </c>
      <c r="W241" s="17">
        <v>428.52</v>
      </c>
      <c r="X241" s="17">
        <v>453.33499999999998</v>
      </c>
      <c r="Y241" s="17">
        <v>558.89</v>
      </c>
      <c r="Z241" s="17">
        <v>474.18700000000001</v>
      </c>
      <c r="AA241" s="17">
        <v>440.26799999999997</v>
      </c>
      <c r="AB241" s="17"/>
      <c r="AC241" s="17"/>
      <c r="AD241" s="26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>
        <v>402.50799999999998</v>
      </c>
      <c r="AO241" s="17">
        <v>419.60300000000001</v>
      </c>
      <c r="AP241" s="17"/>
      <c r="AQ241" s="17"/>
      <c r="AR241" s="17"/>
      <c r="AS241" s="17"/>
      <c r="AT241" s="17"/>
      <c r="AU241" s="17"/>
      <c r="AV241" s="17"/>
      <c r="AW241" s="17">
        <v>497.22399999999999</v>
      </c>
    </row>
    <row r="242" spans="1:49" x14ac:dyDescent="0.35">
      <c r="A242" s="3">
        <f t="shared" si="32"/>
        <v>225</v>
      </c>
      <c r="B242" s="17"/>
      <c r="C242" s="17"/>
      <c r="D242" s="17">
        <v>447.887</v>
      </c>
      <c r="E242" s="17">
        <v>450.88099999999997</v>
      </c>
      <c r="F242" s="17">
        <v>435.02800000000002</v>
      </c>
      <c r="G242" s="17">
        <v>411.041</v>
      </c>
      <c r="H242" s="17"/>
      <c r="I242" s="17"/>
      <c r="J242" s="17">
        <v>420.149</v>
      </c>
      <c r="K242" s="23"/>
      <c r="L242" s="17">
        <v>554.69200000000001</v>
      </c>
      <c r="M242" s="17"/>
      <c r="N242" s="17">
        <v>461.19299999999998</v>
      </c>
      <c r="O242" s="17">
        <v>441.04700000000003</v>
      </c>
      <c r="P242" s="17">
        <v>413.142</v>
      </c>
      <c r="Q242" s="17">
        <v>438.41300000000001</v>
      </c>
      <c r="R242" s="17"/>
      <c r="S242" s="17">
        <v>421.29500000000002</v>
      </c>
      <c r="T242" s="17"/>
      <c r="U242" s="17">
        <v>401.56099999999998</v>
      </c>
      <c r="V242" s="17">
        <v>420.05</v>
      </c>
      <c r="W242" s="17">
        <v>430.69900000000001</v>
      </c>
      <c r="X242" s="17">
        <v>452.464</v>
      </c>
      <c r="Y242" s="17">
        <v>558</v>
      </c>
      <c r="Z242" s="17">
        <v>473.60599999999999</v>
      </c>
      <c r="AA242" s="17">
        <v>441.66399999999999</v>
      </c>
      <c r="AB242" s="17"/>
      <c r="AC242" s="17"/>
      <c r="AD242" s="26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>
        <v>402.53</v>
      </c>
      <c r="AO242" s="17">
        <v>419.077</v>
      </c>
      <c r="AP242" s="17"/>
      <c r="AQ242" s="17"/>
      <c r="AR242" s="17"/>
      <c r="AS242" s="17"/>
      <c r="AT242" s="17"/>
      <c r="AU242" s="17"/>
      <c r="AV242" s="17"/>
      <c r="AW242" s="17">
        <v>497.99299999999999</v>
      </c>
    </row>
    <row r="243" spans="1:49" x14ac:dyDescent="0.35">
      <c r="A243" s="3">
        <f t="shared" ref="A243:A306" si="33">A242+1</f>
        <v>226</v>
      </c>
      <c r="B243" s="17"/>
      <c r="C243" s="17"/>
      <c r="D243" s="17">
        <v>448.54700000000003</v>
      </c>
      <c r="E243" s="17">
        <v>451.786</v>
      </c>
      <c r="F243" s="17">
        <v>434.714</v>
      </c>
      <c r="G243" s="17">
        <v>411.483</v>
      </c>
      <c r="H243" s="17"/>
      <c r="I243" s="17"/>
      <c r="J243" s="17">
        <v>421.01299999999998</v>
      </c>
      <c r="K243" s="23"/>
      <c r="L243" s="17">
        <v>555.69200000000001</v>
      </c>
      <c r="M243" s="17"/>
      <c r="N243" s="17">
        <v>460.64600000000002</v>
      </c>
      <c r="O243" s="17">
        <v>440.05</v>
      </c>
      <c r="P243" s="17">
        <v>412.423</v>
      </c>
      <c r="Q243" s="17">
        <v>437.80599999999998</v>
      </c>
      <c r="R243" s="17"/>
      <c r="S243" s="17">
        <v>423.17099999999999</v>
      </c>
      <c r="T243" s="17"/>
      <c r="U243" s="17">
        <v>402.20100000000002</v>
      </c>
      <c r="V243" s="17">
        <v>420.98200000000003</v>
      </c>
      <c r="W243" s="17">
        <v>429.13600000000002</v>
      </c>
      <c r="X243" s="17">
        <v>453.57100000000003</v>
      </c>
      <c r="Y243" s="17">
        <v>559.66099999999994</v>
      </c>
      <c r="Z243" s="17">
        <v>472.97199999999998</v>
      </c>
      <c r="AA243" s="17">
        <v>439.339</v>
      </c>
      <c r="AB243" s="17"/>
      <c r="AC243" s="17"/>
      <c r="AD243" s="26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>
        <v>401.88200000000001</v>
      </c>
      <c r="AO243" s="17">
        <v>418.79700000000003</v>
      </c>
      <c r="AP243" s="17"/>
      <c r="AQ243" s="17"/>
      <c r="AR243" s="17"/>
      <c r="AS243" s="17"/>
      <c r="AT243" s="17"/>
      <c r="AU243" s="17"/>
      <c r="AV243" s="17"/>
      <c r="AW243" s="17">
        <v>497.66</v>
      </c>
    </row>
    <row r="244" spans="1:49" x14ac:dyDescent="0.35">
      <c r="A244" s="3">
        <f t="shared" si="33"/>
        <v>227</v>
      </c>
      <c r="B244" s="17"/>
      <c r="C244" s="17"/>
      <c r="D244" s="17">
        <v>447.46</v>
      </c>
      <c r="E244" s="17">
        <v>450.33499999999998</v>
      </c>
      <c r="F244" s="17">
        <v>434.351</v>
      </c>
      <c r="G244" s="17">
        <v>410.779</v>
      </c>
      <c r="H244" s="17"/>
      <c r="I244" s="17"/>
      <c r="J244" s="17">
        <v>421.48700000000002</v>
      </c>
      <c r="K244" s="23"/>
      <c r="L244" s="17">
        <v>555.82600000000002</v>
      </c>
      <c r="M244" s="17"/>
      <c r="N244" s="17">
        <v>460.952</v>
      </c>
      <c r="O244" s="17">
        <v>441.07799999999997</v>
      </c>
      <c r="P244" s="17">
        <v>413.59300000000002</v>
      </c>
      <c r="Q244" s="17">
        <v>438.38600000000002</v>
      </c>
      <c r="R244" s="17"/>
      <c r="S244" s="17">
        <v>422.63099999999997</v>
      </c>
      <c r="T244" s="17"/>
      <c r="U244" s="17">
        <v>402.28800000000001</v>
      </c>
      <c r="V244" s="17">
        <v>420.37099999999998</v>
      </c>
      <c r="W244" s="17">
        <v>428.77100000000002</v>
      </c>
      <c r="X244" s="17">
        <v>452.10700000000003</v>
      </c>
      <c r="Y244" s="17">
        <v>560.476</v>
      </c>
      <c r="Z244" s="17">
        <v>474.21600000000001</v>
      </c>
      <c r="AA244" s="17">
        <v>440.63</v>
      </c>
      <c r="AB244" s="17"/>
      <c r="AC244" s="17"/>
      <c r="AD244" s="26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>
        <v>403.89600000000002</v>
      </c>
      <c r="AO244" s="17">
        <v>420.63400000000001</v>
      </c>
      <c r="AP244" s="17"/>
      <c r="AQ244" s="17"/>
      <c r="AR244" s="17"/>
      <c r="AS244" s="17"/>
      <c r="AT244" s="17"/>
      <c r="AU244" s="17"/>
      <c r="AV244" s="17"/>
      <c r="AW244" s="17">
        <v>497.91699999999997</v>
      </c>
    </row>
    <row r="245" spans="1:49" x14ac:dyDescent="0.35">
      <c r="A245" s="3">
        <f t="shared" si="33"/>
        <v>228</v>
      </c>
      <c r="B245" s="17"/>
      <c r="C245" s="17"/>
      <c r="D245" s="17">
        <v>448.803</v>
      </c>
      <c r="E245" s="17">
        <v>450.13400000000001</v>
      </c>
      <c r="F245" s="17">
        <v>435.34300000000002</v>
      </c>
      <c r="G245" s="17">
        <v>412.15100000000001</v>
      </c>
      <c r="H245" s="17"/>
      <c r="I245" s="17"/>
      <c r="J245" s="17">
        <v>421.44600000000003</v>
      </c>
      <c r="K245" s="23"/>
      <c r="L245" s="17">
        <v>554.98699999999997</v>
      </c>
      <c r="M245" s="17"/>
      <c r="N245" s="17">
        <v>461.67500000000001</v>
      </c>
      <c r="O245" s="17">
        <v>441.63400000000001</v>
      </c>
      <c r="P245" s="17">
        <v>413.209</v>
      </c>
      <c r="Q245" s="17">
        <v>438.65800000000002</v>
      </c>
      <c r="R245" s="17"/>
      <c r="S245" s="17">
        <v>423.46100000000001</v>
      </c>
      <c r="T245" s="17"/>
      <c r="U245" s="17">
        <v>400.827</v>
      </c>
      <c r="V245" s="17">
        <v>421.33600000000001</v>
      </c>
      <c r="W245" s="17">
        <v>428.661</v>
      </c>
      <c r="X245" s="17">
        <v>452.36700000000002</v>
      </c>
      <c r="Y245" s="17">
        <v>561.45299999999997</v>
      </c>
      <c r="Z245" s="17">
        <v>473.65</v>
      </c>
      <c r="AA245" s="17">
        <v>441.98399999999998</v>
      </c>
      <c r="AB245" s="17"/>
      <c r="AC245" s="17"/>
      <c r="AD245" s="26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>
        <v>402.91</v>
      </c>
      <c r="AO245" s="17">
        <v>420.06700000000001</v>
      </c>
      <c r="AP245" s="17"/>
      <c r="AQ245" s="17"/>
      <c r="AR245" s="17"/>
      <c r="AS245" s="17"/>
      <c r="AT245" s="17"/>
      <c r="AU245" s="17"/>
      <c r="AV245" s="17"/>
      <c r="AW245" s="17">
        <v>497.755</v>
      </c>
    </row>
    <row r="246" spans="1:49" x14ac:dyDescent="0.35">
      <c r="A246" s="3">
        <f t="shared" si="33"/>
        <v>229</v>
      </c>
      <c r="B246" s="17"/>
      <c r="C246" s="17"/>
      <c r="D246" s="17">
        <v>446.91</v>
      </c>
      <c r="E246" s="17">
        <v>451.55099999999999</v>
      </c>
      <c r="F246" s="17">
        <v>435.53100000000001</v>
      </c>
      <c r="G246" s="17">
        <v>411.90600000000001</v>
      </c>
      <c r="H246" s="17"/>
      <c r="I246" s="17"/>
      <c r="J246" s="17">
        <v>421.26799999999997</v>
      </c>
      <c r="K246" s="23"/>
      <c r="L246" s="17">
        <v>555.99099999999999</v>
      </c>
      <c r="M246" s="17"/>
      <c r="N246" s="17">
        <v>459.76499999999999</v>
      </c>
      <c r="O246" s="17">
        <v>441.37400000000002</v>
      </c>
      <c r="P246" s="17">
        <v>412.81900000000002</v>
      </c>
      <c r="Q246" s="17">
        <v>438.27499999999998</v>
      </c>
      <c r="R246" s="17"/>
      <c r="S246" s="17">
        <v>422.983</v>
      </c>
      <c r="T246" s="17"/>
      <c r="U246" s="17">
        <v>401.82499999999999</v>
      </c>
      <c r="V246" s="17">
        <v>421.42700000000002</v>
      </c>
      <c r="W246" s="17">
        <v>431.452</v>
      </c>
      <c r="X246" s="17">
        <v>451.99299999999999</v>
      </c>
      <c r="Y246" s="17">
        <v>561.98299999999995</v>
      </c>
      <c r="Z246" s="17">
        <v>473.48399999999998</v>
      </c>
      <c r="AA246" s="17">
        <v>440.61</v>
      </c>
      <c r="AB246" s="17"/>
      <c r="AC246" s="17"/>
      <c r="AD246" s="26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>
        <v>402.64499999999998</v>
      </c>
      <c r="AO246" s="17">
        <v>419.34399999999999</v>
      </c>
      <c r="AP246" s="17"/>
      <c r="AQ246" s="17"/>
      <c r="AR246" s="17"/>
      <c r="AS246" s="17"/>
      <c r="AT246" s="17"/>
      <c r="AU246" s="17"/>
      <c r="AV246" s="17"/>
      <c r="AW246" s="17">
        <v>498.39499999999998</v>
      </c>
    </row>
    <row r="247" spans="1:49" x14ac:dyDescent="0.35">
      <c r="A247" s="3">
        <f t="shared" si="33"/>
        <v>230</v>
      </c>
      <c r="B247" s="17"/>
      <c r="C247" s="17"/>
      <c r="D247" s="17">
        <v>446.34</v>
      </c>
      <c r="E247" s="17">
        <v>450.39100000000002</v>
      </c>
      <c r="F247" s="17">
        <v>435.12900000000002</v>
      </c>
      <c r="G247" s="17">
        <v>411.589</v>
      </c>
      <c r="H247" s="17"/>
      <c r="I247" s="17"/>
      <c r="J247" s="17">
        <v>421.51299999999998</v>
      </c>
      <c r="K247" s="23"/>
      <c r="L247" s="17">
        <v>554.96600000000001</v>
      </c>
      <c r="M247" s="17"/>
      <c r="N247" s="17">
        <v>460.40199999999999</v>
      </c>
      <c r="O247" s="17">
        <v>441.17599999999999</v>
      </c>
      <c r="P247" s="17">
        <v>413.92700000000002</v>
      </c>
      <c r="Q247" s="17">
        <v>438.06599999999997</v>
      </c>
      <c r="R247" s="17"/>
      <c r="S247" s="17">
        <v>422.56299999999999</v>
      </c>
      <c r="T247" s="17"/>
      <c r="U247" s="17">
        <v>403.04700000000003</v>
      </c>
      <c r="V247" s="17">
        <v>423.36</v>
      </c>
      <c r="W247" s="17">
        <v>429.62200000000001</v>
      </c>
      <c r="X247" s="17">
        <v>453.238</v>
      </c>
      <c r="Y247" s="17">
        <v>561.54300000000001</v>
      </c>
      <c r="Z247" s="17">
        <v>472.18099999999998</v>
      </c>
      <c r="AA247" s="17">
        <v>440.87900000000002</v>
      </c>
      <c r="AB247" s="17"/>
      <c r="AC247" s="17"/>
      <c r="AD247" s="26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>
        <v>403.346</v>
      </c>
      <c r="AO247" s="17">
        <v>419.32600000000002</v>
      </c>
      <c r="AP247" s="17"/>
      <c r="AQ247" s="17"/>
      <c r="AR247" s="17"/>
      <c r="AS247" s="17"/>
      <c r="AT247" s="17"/>
      <c r="AU247" s="17"/>
      <c r="AV247" s="17"/>
      <c r="AW247" s="17">
        <v>497.98700000000002</v>
      </c>
    </row>
    <row r="248" spans="1:49" x14ac:dyDescent="0.35">
      <c r="A248" s="3">
        <f t="shared" si="33"/>
        <v>231</v>
      </c>
      <c r="B248" s="17"/>
      <c r="C248" s="17"/>
      <c r="D248" s="17">
        <v>448.96699999999998</v>
      </c>
      <c r="E248" s="17">
        <v>451.66399999999999</v>
      </c>
      <c r="F248" s="17">
        <v>435.536</v>
      </c>
      <c r="G248" s="17">
        <v>410.93900000000002</v>
      </c>
      <c r="H248" s="17"/>
      <c r="I248" s="17"/>
      <c r="J248" s="17"/>
      <c r="K248" s="23"/>
      <c r="L248" s="17">
        <v>556.33900000000006</v>
      </c>
      <c r="M248" s="17"/>
      <c r="N248" s="17">
        <v>461.262</v>
      </c>
      <c r="O248" s="17">
        <v>440.29199999999997</v>
      </c>
      <c r="P248" s="17">
        <v>414.83499999999998</v>
      </c>
      <c r="Q248" s="17">
        <v>437.55099999999999</v>
      </c>
      <c r="R248" s="17"/>
      <c r="S248" s="17">
        <v>423.43200000000002</v>
      </c>
      <c r="T248" s="17"/>
      <c r="U248" s="17">
        <v>401.15300000000002</v>
      </c>
      <c r="V248" s="17">
        <v>421.59199999999998</v>
      </c>
      <c r="W248" s="17">
        <v>429.39</v>
      </c>
      <c r="X248" s="17">
        <v>452.09899999999999</v>
      </c>
      <c r="Y248" s="17">
        <v>562.30899999999997</v>
      </c>
      <c r="Z248" s="17">
        <v>474.86399999999998</v>
      </c>
      <c r="AA248" s="17">
        <v>442.303</v>
      </c>
      <c r="AB248" s="17"/>
      <c r="AC248" s="17"/>
      <c r="AD248" s="26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>
        <v>402.88299999999998</v>
      </c>
      <c r="AO248" s="17">
        <v>418.48399999999998</v>
      </c>
      <c r="AP248" s="17"/>
      <c r="AQ248" s="17"/>
      <c r="AR248" s="17"/>
      <c r="AS248" s="17"/>
      <c r="AT248" s="17"/>
      <c r="AU248" s="17"/>
      <c r="AV248" s="17"/>
      <c r="AW248" s="17">
        <v>498.495</v>
      </c>
    </row>
    <row r="249" spans="1:49" x14ac:dyDescent="0.35">
      <c r="A249" s="3">
        <f t="shared" si="33"/>
        <v>232</v>
      </c>
      <c r="B249" s="17"/>
      <c r="C249" s="17"/>
      <c r="D249" s="17">
        <v>447.97800000000001</v>
      </c>
      <c r="E249" s="17">
        <v>452.19600000000003</v>
      </c>
      <c r="F249" s="17">
        <v>435.803</v>
      </c>
      <c r="G249" s="17">
        <v>411.06900000000002</v>
      </c>
      <c r="H249" s="17"/>
      <c r="I249" s="17"/>
      <c r="J249" s="17"/>
      <c r="K249" s="23"/>
      <c r="L249" s="17">
        <v>555.61800000000005</v>
      </c>
      <c r="M249" s="17"/>
      <c r="N249" s="17">
        <v>460.03500000000003</v>
      </c>
      <c r="O249" s="17">
        <v>441.60300000000001</v>
      </c>
      <c r="P249" s="17">
        <v>414.76400000000001</v>
      </c>
      <c r="Q249" s="17">
        <v>437.74099999999999</v>
      </c>
      <c r="R249" s="17"/>
      <c r="S249" s="17">
        <v>422.68799999999999</v>
      </c>
      <c r="T249" s="17"/>
      <c r="U249" s="17">
        <v>402.49</v>
      </c>
      <c r="V249" s="17">
        <v>423.36599999999999</v>
      </c>
      <c r="W249" s="17">
        <v>431.404</v>
      </c>
      <c r="X249" s="17">
        <v>453.25099999999998</v>
      </c>
      <c r="Y249" s="17">
        <v>562.37699999999995</v>
      </c>
      <c r="Z249" s="17">
        <v>473.39699999999999</v>
      </c>
      <c r="AA249" s="17">
        <v>443.26</v>
      </c>
      <c r="AB249" s="17"/>
      <c r="AC249" s="17"/>
      <c r="AD249" s="26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>
        <v>402.21899999999999</v>
      </c>
      <c r="AO249" s="17">
        <v>416.80200000000002</v>
      </c>
      <c r="AP249" s="17"/>
      <c r="AQ249" s="17"/>
      <c r="AR249" s="17"/>
      <c r="AS249" s="17"/>
      <c r="AT249" s="17"/>
      <c r="AU249" s="17"/>
      <c r="AV249" s="17"/>
      <c r="AW249" s="17">
        <v>497.99599999999998</v>
      </c>
    </row>
    <row r="250" spans="1:49" x14ac:dyDescent="0.35">
      <c r="A250" s="3">
        <f t="shared" si="33"/>
        <v>233</v>
      </c>
      <c r="B250" s="17"/>
      <c r="C250" s="17"/>
      <c r="D250" s="17">
        <v>448.93599999999998</v>
      </c>
      <c r="E250" s="17">
        <v>451.25</v>
      </c>
      <c r="F250" s="17">
        <v>434.92700000000002</v>
      </c>
      <c r="G250" s="17">
        <v>411.983</v>
      </c>
      <c r="H250" s="17"/>
      <c r="I250" s="17"/>
      <c r="J250" s="17"/>
      <c r="K250" s="23"/>
      <c r="L250" s="17">
        <v>556.31100000000004</v>
      </c>
      <c r="M250" s="17"/>
      <c r="N250" s="17">
        <v>461.096</v>
      </c>
      <c r="O250" s="17">
        <v>442.084</v>
      </c>
      <c r="P250" s="17">
        <v>413.77100000000002</v>
      </c>
      <c r="Q250" s="17">
        <v>439.93799999999999</v>
      </c>
      <c r="R250" s="17"/>
      <c r="S250" s="17">
        <v>422.27499999999998</v>
      </c>
      <c r="T250" s="17"/>
      <c r="U250" s="17">
        <v>400.23099999999999</v>
      </c>
      <c r="V250" s="17">
        <v>422.54199999999997</v>
      </c>
      <c r="W250" s="17">
        <v>430.21199999999999</v>
      </c>
      <c r="X250" s="17">
        <v>453.09100000000001</v>
      </c>
      <c r="Y250" s="17">
        <v>563.97699999999998</v>
      </c>
      <c r="Z250" s="17">
        <v>472.28800000000001</v>
      </c>
      <c r="AA250" s="17">
        <v>441.10599999999999</v>
      </c>
      <c r="AB250" s="17"/>
      <c r="AC250" s="17"/>
      <c r="AD250" s="26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>
        <v>403.322</v>
      </c>
      <c r="AO250" s="17">
        <v>417.96</v>
      </c>
      <c r="AP250" s="17"/>
      <c r="AQ250" s="17"/>
      <c r="AR250" s="17"/>
      <c r="AS250" s="17"/>
      <c r="AT250" s="17"/>
      <c r="AU250" s="17"/>
      <c r="AV250" s="17"/>
      <c r="AW250" s="17">
        <v>499.83699999999999</v>
      </c>
    </row>
    <row r="251" spans="1:49" x14ac:dyDescent="0.35">
      <c r="A251" s="3">
        <f t="shared" si="33"/>
        <v>234</v>
      </c>
      <c r="B251" s="17"/>
      <c r="C251" s="17"/>
      <c r="D251" s="17">
        <v>449.50400000000002</v>
      </c>
      <c r="E251" s="17">
        <v>449.97</v>
      </c>
      <c r="F251" s="17">
        <v>436.06400000000002</v>
      </c>
      <c r="G251" s="17">
        <v>411.28</v>
      </c>
      <c r="H251" s="17"/>
      <c r="I251" s="17"/>
      <c r="J251" s="17"/>
      <c r="K251" s="23"/>
      <c r="L251" s="17">
        <v>556.92999999999995</v>
      </c>
      <c r="M251" s="17"/>
      <c r="N251" s="17">
        <v>460.70499999999998</v>
      </c>
      <c r="O251" s="17">
        <v>441.48200000000003</v>
      </c>
      <c r="P251" s="17">
        <v>414.00200000000001</v>
      </c>
      <c r="Q251" s="17">
        <v>438.875</v>
      </c>
      <c r="R251" s="17"/>
      <c r="S251" s="17">
        <v>423.589</v>
      </c>
      <c r="T251" s="17"/>
      <c r="U251" s="17">
        <v>401.81700000000001</v>
      </c>
      <c r="V251" s="17">
        <v>422.75400000000002</v>
      </c>
      <c r="W251" s="17">
        <v>429.44900000000001</v>
      </c>
      <c r="X251" s="17">
        <v>452.33100000000002</v>
      </c>
      <c r="Y251" s="17">
        <v>563.95799999999997</v>
      </c>
      <c r="Z251" s="17">
        <v>473.649</v>
      </c>
      <c r="AA251" s="17">
        <v>439.91699999999997</v>
      </c>
      <c r="AB251" s="17"/>
      <c r="AC251" s="17"/>
      <c r="AD251" s="26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>
        <v>402.721</v>
      </c>
      <c r="AO251" s="17">
        <v>416.72399999999999</v>
      </c>
      <c r="AP251" s="17"/>
      <c r="AQ251" s="17"/>
      <c r="AR251" s="17"/>
      <c r="AS251" s="17"/>
      <c r="AT251" s="17"/>
      <c r="AU251" s="17"/>
      <c r="AV251" s="17"/>
      <c r="AW251" s="17">
        <v>498.93700000000001</v>
      </c>
    </row>
    <row r="252" spans="1:49" x14ac:dyDescent="0.35">
      <c r="A252" s="3">
        <f t="shared" si="33"/>
        <v>235</v>
      </c>
      <c r="B252" s="17"/>
      <c r="C252" s="17"/>
      <c r="D252" s="17">
        <v>448.77100000000002</v>
      </c>
      <c r="E252" s="17">
        <v>452.37799999999999</v>
      </c>
      <c r="F252" s="17">
        <v>436.06900000000002</v>
      </c>
      <c r="G252" s="17">
        <v>410.738</v>
      </c>
      <c r="H252" s="17"/>
      <c r="I252" s="17"/>
      <c r="J252" s="17"/>
      <c r="K252" s="23"/>
      <c r="L252" s="17">
        <v>556.76400000000001</v>
      </c>
      <c r="M252" s="17"/>
      <c r="N252" s="17">
        <v>461.66500000000002</v>
      </c>
      <c r="O252" s="17">
        <v>441.697</v>
      </c>
      <c r="P252" s="17">
        <v>414.09199999999998</v>
      </c>
      <c r="Q252" s="17">
        <v>439.346</v>
      </c>
      <c r="R252" s="17"/>
      <c r="S252" s="17">
        <v>422.892</v>
      </c>
      <c r="T252" s="17"/>
      <c r="U252" s="17">
        <v>401.05700000000002</v>
      </c>
      <c r="V252" s="17">
        <v>422.77</v>
      </c>
      <c r="W252" s="17">
        <v>431.05200000000002</v>
      </c>
      <c r="X252" s="17">
        <v>452.84800000000001</v>
      </c>
      <c r="Y252" s="17">
        <v>563.85900000000004</v>
      </c>
      <c r="Z252" s="17">
        <v>473.18299999999999</v>
      </c>
      <c r="AA252" s="17">
        <v>441.10899999999998</v>
      </c>
      <c r="AB252" s="17"/>
      <c r="AC252" s="17"/>
      <c r="AD252" s="26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>
        <v>402.48599999999999</v>
      </c>
      <c r="AO252" s="17">
        <v>416.80500000000001</v>
      </c>
      <c r="AP252" s="17"/>
      <c r="AQ252" s="17"/>
      <c r="AR252" s="17"/>
      <c r="AS252" s="17"/>
      <c r="AT252" s="17"/>
      <c r="AU252" s="17"/>
      <c r="AV252" s="17"/>
      <c r="AW252" s="17">
        <v>498.197</v>
      </c>
    </row>
    <row r="253" spans="1:49" x14ac:dyDescent="0.35">
      <c r="A253" s="3">
        <f t="shared" si="33"/>
        <v>236</v>
      </c>
      <c r="B253" s="17"/>
      <c r="C253" s="17"/>
      <c r="D253" s="17">
        <v>448.947</v>
      </c>
      <c r="E253" s="17">
        <v>451.91300000000001</v>
      </c>
      <c r="F253" s="17">
        <v>436.476</v>
      </c>
      <c r="G253" s="17">
        <v>412.15699999999998</v>
      </c>
      <c r="H253" s="17"/>
      <c r="I253" s="17"/>
      <c r="J253" s="17"/>
      <c r="K253" s="23"/>
      <c r="L253" s="17">
        <v>556.79700000000003</v>
      </c>
      <c r="M253" s="17"/>
      <c r="N253" s="17">
        <v>461.02499999999998</v>
      </c>
      <c r="O253" s="17">
        <v>441.16</v>
      </c>
      <c r="P253" s="17">
        <v>414.34</v>
      </c>
      <c r="Q253" s="17">
        <v>439.44099999999997</v>
      </c>
      <c r="R253" s="17"/>
      <c r="S253" s="17">
        <v>423.18299999999999</v>
      </c>
      <c r="T253" s="17"/>
      <c r="U253" s="17">
        <v>401.44099999999997</v>
      </c>
      <c r="V253" s="17">
        <v>422.68299999999999</v>
      </c>
      <c r="W253" s="17">
        <v>432.00400000000002</v>
      </c>
      <c r="X253" s="17">
        <v>453.16399999999999</v>
      </c>
      <c r="Y253" s="17">
        <v>564.04999999999995</v>
      </c>
      <c r="Z253" s="17">
        <v>471.97399999999999</v>
      </c>
      <c r="AA253" s="17">
        <v>440.83499999999998</v>
      </c>
      <c r="AB253" s="17"/>
      <c r="AC253" s="17"/>
      <c r="AD253" s="26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>
        <v>403.23200000000003</v>
      </c>
      <c r="AO253" s="17">
        <v>416.48599999999999</v>
      </c>
      <c r="AP253" s="17"/>
      <c r="AQ253" s="17"/>
      <c r="AR253" s="17"/>
      <c r="AS253" s="17"/>
      <c r="AT253" s="17"/>
      <c r="AU253" s="17"/>
      <c r="AV253" s="17"/>
      <c r="AW253" s="17">
        <v>497.99599999999998</v>
      </c>
    </row>
    <row r="254" spans="1:49" x14ac:dyDescent="0.35">
      <c r="A254" s="3">
        <f t="shared" si="33"/>
        <v>237</v>
      </c>
      <c r="B254" s="17"/>
      <c r="C254" s="17"/>
      <c r="D254" s="17">
        <v>449.15300000000002</v>
      </c>
      <c r="E254" s="17">
        <v>452.62599999999998</v>
      </c>
      <c r="F254" s="17">
        <v>435.26799999999997</v>
      </c>
      <c r="G254" s="17">
        <v>410.22800000000001</v>
      </c>
      <c r="H254" s="17"/>
      <c r="I254" s="17"/>
      <c r="J254" s="17"/>
      <c r="K254" s="23"/>
      <c r="L254" s="17">
        <v>557.64700000000005</v>
      </c>
      <c r="M254" s="17"/>
      <c r="N254" s="17">
        <v>461.01299999999998</v>
      </c>
      <c r="O254" s="17">
        <v>442.209</v>
      </c>
      <c r="P254" s="17">
        <v>414.49599999999998</v>
      </c>
      <c r="Q254" s="17">
        <v>439.505</v>
      </c>
      <c r="R254" s="17"/>
      <c r="S254" s="17">
        <v>421.48</v>
      </c>
      <c r="T254" s="17"/>
      <c r="U254" s="17">
        <v>401.46</v>
      </c>
      <c r="V254" s="17">
        <v>423.50400000000002</v>
      </c>
      <c r="W254" s="17">
        <v>432.27100000000002</v>
      </c>
      <c r="X254" s="17">
        <v>452.55399999999997</v>
      </c>
      <c r="Y254" s="17">
        <v>564.654</v>
      </c>
      <c r="Z254" s="17">
        <v>472.392</v>
      </c>
      <c r="AA254" s="17">
        <v>440.71699999999998</v>
      </c>
      <c r="AB254" s="17"/>
      <c r="AC254" s="17"/>
      <c r="AD254" s="26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>
        <v>403.42899999999997</v>
      </c>
      <c r="AO254" s="17">
        <v>416.84899999999999</v>
      </c>
      <c r="AP254" s="17"/>
      <c r="AQ254" s="17"/>
      <c r="AR254" s="17"/>
      <c r="AS254" s="17"/>
      <c r="AT254" s="17"/>
      <c r="AU254" s="17"/>
      <c r="AV254" s="17"/>
      <c r="AW254" s="17">
        <v>499.851</v>
      </c>
    </row>
    <row r="255" spans="1:49" x14ac:dyDescent="0.35">
      <c r="A255" s="3">
        <f t="shared" si="33"/>
        <v>238</v>
      </c>
      <c r="B255" s="17"/>
      <c r="C255" s="17"/>
      <c r="D255" s="17">
        <v>447.57799999999997</v>
      </c>
      <c r="E255" s="17">
        <v>451.774</v>
      </c>
      <c r="F255" s="17">
        <v>435.40199999999999</v>
      </c>
      <c r="G255" s="17">
        <v>411.14600000000002</v>
      </c>
      <c r="H255" s="17"/>
      <c r="I255" s="17"/>
      <c r="J255" s="17"/>
      <c r="K255" s="23"/>
      <c r="L255" s="17">
        <v>556.78700000000003</v>
      </c>
      <c r="M255" s="17"/>
      <c r="N255" s="17">
        <v>461.15600000000001</v>
      </c>
      <c r="O255" s="17">
        <v>440.61900000000003</v>
      </c>
      <c r="P255" s="17">
        <v>414.435</v>
      </c>
      <c r="Q255" s="17">
        <v>438.30099999999999</v>
      </c>
      <c r="R255" s="17"/>
      <c r="S255" s="17">
        <v>423.66</v>
      </c>
      <c r="T255" s="17"/>
      <c r="U255" s="17">
        <v>400.96</v>
      </c>
      <c r="V255" s="17">
        <v>423.54700000000003</v>
      </c>
      <c r="W255" s="17">
        <v>432.92599999999999</v>
      </c>
      <c r="X255" s="17">
        <v>452.15199999999999</v>
      </c>
      <c r="Y255" s="17">
        <v>565.41800000000001</v>
      </c>
      <c r="Z255" s="17">
        <v>471.66899999999998</v>
      </c>
      <c r="AA255" s="17">
        <v>440.96699999999998</v>
      </c>
      <c r="AB255" s="17"/>
      <c r="AC255" s="17"/>
      <c r="AD255" s="26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>
        <v>403.15199999999999</v>
      </c>
      <c r="AO255" s="17">
        <v>416.20499999999998</v>
      </c>
      <c r="AP255" s="17"/>
      <c r="AQ255" s="17"/>
      <c r="AR255" s="17"/>
      <c r="AS255" s="17"/>
      <c r="AT255" s="17"/>
      <c r="AU255" s="17"/>
      <c r="AV255" s="17"/>
      <c r="AW255" s="17">
        <v>498.16399999999999</v>
      </c>
    </row>
    <row r="256" spans="1:49" x14ac:dyDescent="0.35">
      <c r="A256" s="3">
        <f t="shared" si="33"/>
        <v>239</v>
      </c>
      <c r="B256" s="17"/>
      <c r="C256" s="17"/>
      <c r="D256" s="17">
        <v>447.91</v>
      </c>
      <c r="E256" s="17">
        <v>452.64800000000002</v>
      </c>
      <c r="F256" s="17">
        <v>435.88900000000001</v>
      </c>
      <c r="G256" s="17">
        <v>413.04599999999999</v>
      </c>
      <c r="H256" s="17"/>
      <c r="I256" s="17"/>
      <c r="J256" s="17"/>
      <c r="K256" s="23"/>
      <c r="L256" s="17">
        <v>557.54</v>
      </c>
      <c r="M256" s="17"/>
      <c r="N256" s="17">
        <v>460.82</v>
      </c>
      <c r="O256" s="17">
        <v>440.91899999999998</v>
      </c>
      <c r="P256" s="17">
        <v>414.22500000000002</v>
      </c>
      <c r="Q256" s="17">
        <v>438.80599999999998</v>
      </c>
      <c r="R256" s="17"/>
      <c r="S256" s="17">
        <v>422.988</v>
      </c>
      <c r="T256" s="17"/>
      <c r="U256" s="17">
        <v>401.09399999999999</v>
      </c>
      <c r="V256" s="17">
        <v>424.89800000000002</v>
      </c>
      <c r="W256" s="17">
        <v>432.75099999999998</v>
      </c>
      <c r="X256" s="17">
        <v>453.59399999999999</v>
      </c>
      <c r="Y256" s="17">
        <v>565.34799999999996</v>
      </c>
      <c r="Z256" s="17">
        <v>473.93</v>
      </c>
      <c r="AA256" s="17">
        <v>440.73700000000002</v>
      </c>
      <c r="AB256" s="17"/>
      <c r="AC256" s="17"/>
      <c r="AD256" s="26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>
        <v>403.63099999999997</v>
      </c>
      <c r="AO256" s="17">
        <v>418.06700000000001</v>
      </c>
      <c r="AP256" s="17"/>
      <c r="AQ256" s="17"/>
      <c r="AR256" s="17"/>
      <c r="AS256" s="17"/>
      <c r="AT256" s="17"/>
      <c r="AU256" s="17"/>
      <c r="AV256" s="17"/>
      <c r="AW256" s="17">
        <v>499.44600000000003</v>
      </c>
    </row>
    <row r="257" spans="1:49" x14ac:dyDescent="0.35">
      <c r="A257" s="3">
        <f t="shared" si="33"/>
        <v>240</v>
      </c>
      <c r="B257" s="17"/>
      <c r="C257" s="17"/>
      <c r="D257" s="17">
        <v>446.78</v>
      </c>
      <c r="E257" s="17">
        <v>453.17500000000001</v>
      </c>
      <c r="F257" s="17">
        <v>435.24900000000002</v>
      </c>
      <c r="G257" s="17">
        <v>412.899</v>
      </c>
      <c r="H257" s="17"/>
      <c r="I257" s="17"/>
      <c r="J257" s="17"/>
      <c r="K257" s="23"/>
      <c r="L257" s="17">
        <v>556.93600000000004</v>
      </c>
      <c r="M257" s="17"/>
      <c r="N257" s="17">
        <v>462.10599999999999</v>
      </c>
      <c r="O257" s="17">
        <v>440.43299999999999</v>
      </c>
      <c r="P257" s="17">
        <v>413.68400000000003</v>
      </c>
      <c r="Q257" s="17">
        <v>439.072</v>
      </c>
      <c r="R257" s="17"/>
      <c r="S257" s="17">
        <v>423.68799999999999</v>
      </c>
      <c r="T257" s="17"/>
      <c r="U257" s="17">
        <v>401.19400000000002</v>
      </c>
      <c r="V257" s="17">
        <v>424.53300000000002</v>
      </c>
      <c r="W257" s="17">
        <v>432.94099999999997</v>
      </c>
      <c r="X257" s="17">
        <v>453.38799999999998</v>
      </c>
      <c r="Y257" s="17">
        <v>565.82799999999997</v>
      </c>
      <c r="Z257" s="17">
        <v>474.40100000000001</v>
      </c>
      <c r="AA257" s="17">
        <v>441.625</v>
      </c>
      <c r="AB257" s="17"/>
      <c r="AC257" s="17"/>
      <c r="AD257" s="26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>
        <v>403.661</v>
      </c>
      <c r="AO257" s="17">
        <v>416.63299999999998</v>
      </c>
      <c r="AP257" s="17"/>
      <c r="AQ257" s="17"/>
      <c r="AR257" s="17"/>
      <c r="AS257" s="17"/>
      <c r="AT257" s="17"/>
      <c r="AU257" s="17"/>
      <c r="AV257" s="17"/>
      <c r="AW257" s="17">
        <v>499.09800000000001</v>
      </c>
    </row>
    <row r="258" spans="1:49" x14ac:dyDescent="0.35">
      <c r="A258" s="3">
        <f t="shared" si="33"/>
        <v>241</v>
      </c>
      <c r="B258" s="17"/>
      <c r="C258" s="17"/>
      <c r="D258" s="17">
        <v>448.02</v>
      </c>
      <c r="E258" s="17">
        <v>453.13299999999998</v>
      </c>
      <c r="F258" s="17">
        <v>433.87700000000001</v>
      </c>
      <c r="G258" s="17">
        <v>413.76499999999999</v>
      </c>
      <c r="H258" s="17"/>
      <c r="I258" s="17"/>
      <c r="J258" s="17"/>
      <c r="K258" s="23"/>
      <c r="L258" s="17">
        <v>557.88800000000003</v>
      </c>
      <c r="M258" s="17"/>
      <c r="N258" s="17">
        <v>461.44900000000001</v>
      </c>
      <c r="O258" s="17">
        <v>441.20299999999997</v>
      </c>
      <c r="P258" s="17">
        <v>413.83100000000002</v>
      </c>
      <c r="Q258" s="17">
        <v>439.654</v>
      </c>
      <c r="R258" s="17"/>
      <c r="S258" s="17">
        <v>422.61399999999998</v>
      </c>
      <c r="T258" s="17"/>
      <c r="U258" s="17">
        <v>400.93599999999998</v>
      </c>
      <c r="V258" s="17">
        <v>423.803</v>
      </c>
      <c r="W258" s="17">
        <v>431.19400000000002</v>
      </c>
      <c r="X258" s="17">
        <v>454.50799999999998</v>
      </c>
      <c r="Y258" s="17">
        <v>564.00900000000001</v>
      </c>
      <c r="Z258" s="17">
        <v>473.47899999999998</v>
      </c>
      <c r="AA258" s="17">
        <v>441.27499999999998</v>
      </c>
      <c r="AB258" s="17"/>
      <c r="AC258" s="17"/>
      <c r="AD258" s="26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>
        <v>402.839</v>
      </c>
      <c r="AO258" s="17">
        <v>417.35199999999998</v>
      </c>
      <c r="AP258" s="17"/>
      <c r="AQ258" s="17"/>
      <c r="AR258" s="17"/>
      <c r="AS258" s="17"/>
      <c r="AT258" s="17"/>
      <c r="AU258" s="17"/>
      <c r="AV258" s="17"/>
      <c r="AW258" s="17">
        <v>499.65300000000002</v>
      </c>
    </row>
    <row r="259" spans="1:49" x14ac:dyDescent="0.35">
      <c r="A259" s="3">
        <f t="shared" si="33"/>
        <v>242</v>
      </c>
      <c r="B259" s="17"/>
      <c r="C259" s="17"/>
      <c r="D259" s="17">
        <v>447.91300000000001</v>
      </c>
      <c r="E259" s="17">
        <v>453.13200000000001</v>
      </c>
      <c r="F259" s="17">
        <v>434.363</v>
      </c>
      <c r="G259" s="17">
        <v>412.39800000000002</v>
      </c>
      <c r="H259" s="17"/>
      <c r="I259" s="17"/>
      <c r="J259" s="17"/>
      <c r="K259" s="23"/>
      <c r="L259" s="17">
        <v>557.92600000000004</v>
      </c>
      <c r="M259" s="17"/>
      <c r="N259" s="17">
        <v>462.23</v>
      </c>
      <c r="O259" s="17">
        <v>441.774</v>
      </c>
      <c r="P259" s="17">
        <v>414.488</v>
      </c>
      <c r="Q259" s="17">
        <v>438.94600000000003</v>
      </c>
      <c r="R259" s="17"/>
      <c r="S259" s="17">
        <v>424.13799999999998</v>
      </c>
      <c r="T259" s="17"/>
      <c r="U259" s="17">
        <v>401.05099999999999</v>
      </c>
      <c r="V259" s="17">
        <v>425.63400000000001</v>
      </c>
      <c r="W259" s="17">
        <v>431.26100000000002</v>
      </c>
      <c r="X259" s="17">
        <v>452.65899999999999</v>
      </c>
      <c r="Y259" s="17">
        <v>565.38400000000001</v>
      </c>
      <c r="Z259" s="17">
        <v>473.97199999999998</v>
      </c>
      <c r="AA259" s="17">
        <v>440.11</v>
      </c>
      <c r="AB259" s="17"/>
      <c r="AC259" s="17"/>
      <c r="AD259" s="26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>
        <v>402.82799999999997</v>
      </c>
      <c r="AO259" s="17">
        <v>416.875</v>
      </c>
      <c r="AP259" s="17"/>
      <c r="AQ259" s="17"/>
      <c r="AR259" s="17"/>
      <c r="AS259" s="17"/>
      <c r="AT259" s="17"/>
      <c r="AU259" s="17"/>
      <c r="AV259" s="17"/>
      <c r="AW259" s="17">
        <v>499.54599999999999</v>
      </c>
    </row>
    <row r="260" spans="1:49" x14ac:dyDescent="0.35">
      <c r="A260" s="3">
        <f t="shared" si="33"/>
        <v>243</v>
      </c>
      <c r="B260" s="17"/>
      <c r="C260" s="17"/>
      <c r="D260" s="17">
        <v>447.55500000000001</v>
      </c>
      <c r="E260" s="17">
        <v>453.34199999999998</v>
      </c>
      <c r="F260" s="17">
        <v>435.71199999999999</v>
      </c>
      <c r="G260" s="17">
        <v>413.33800000000002</v>
      </c>
      <c r="H260" s="17"/>
      <c r="I260" s="17"/>
      <c r="J260" s="17"/>
      <c r="K260" s="23"/>
      <c r="L260" s="17">
        <v>558.40700000000004</v>
      </c>
      <c r="M260" s="17"/>
      <c r="N260" s="17">
        <v>461.142</v>
      </c>
      <c r="O260" s="17">
        <v>441.25</v>
      </c>
      <c r="P260" s="17">
        <v>413.79899999999998</v>
      </c>
      <c r="Q260" s="17">
        <v>439.09800000000001</v>
      </c>
      <c r="R260" s="17"/>
      <c r="S260" s="17">
        <v>424.29500000000002</v>
      </c>
      <c r="T260" s="17"/>
      <c r="U260" s="17">
        <v>399.83699999999999</v>
      </c>
      <c r="V260" s="17">
        <v>426.80700000000002</v>
      </c>
      <c r="W260" s="17">
        <v>431.79899999999998</v>
      </c>
      <c r="X260" s="17">
        <v>454.267</v>
      </c>
      <c r="Y260" s="17">
        <v>564.47500000000002</v>
      </c>
      <c r="Z260" s="17">
        <v>473.40300000000002</v>
      </c>
      <c r="AA260" s="17">
        <v>441.95299999999997</v>
      </c>
      <c r="AB260" s="17"/>
      <c r="AC260" s="17"/>
      <c r="AD260" s="26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>
        <v>403.72399999999999</v>
      </c>
      <c r="AO260" s="17">
        <v>418.09300000000002</v>
      </c>
      <c r="AP260" s="17"/>
      <c r="AQ260" s="17"/>
      <c r="AR260" s="17"/>
      <c r="AS260" s="17"/>
      <c r="AT260" s="17"/>
      <c r="AU260" s="17"/>
      <c r="AV260" s="17"/>
      <c r="AW260" s="17">
        <v>499.589</v>
      </c>
    </row>
    <row r="261" spans="1:49" x14ac:dyDescent="0.35">
      <c r="A261" s="3">
        <f t="shared" si="33"/>
        <v>244</v>
      </c>
      <c r="B261" s="17"/>
      <c r="C261" s="17"/>
      <c r="D261" s="17">
        <v>447.47</v>
      </c>
      <c r="E261" s="17">
        <v>453.24799999999999</v>
      </c>
      <c r="F261" s="17">
        <v>435.19499999999999</v>
      </c>
      <c r="G261" s="17">
        <v>412.80900000000003</v>
      </c>
      <c r="H261" s="17"/>
      <c r="I261" s="17"/>
      <c r="J261" s="17"/>
      <c r="K261" s="23"/>
      <c r="L261" s="17">
        <v>559.02499999999998</v>
      </c>
      <c r="M261" s="17"/>
      <c r="N261" s="17">
        <v>462.02</v>
      </c>
      <c r="O261" s="17">
        <v>442.34</v>
      </c>
      <c r="P261" s="17">
        <v>414.77499999999998</v>
      </c>
      <c r="Q261" s="17">
        <v>439.92200000000003</v>
      </c>
      <c r="R261" s="17"/>
      <c r="S261" s="17">
        <v>424.07799999999997</v>
      </c>
      <c r="T261" s="17"/>
      <c r="U261" s="17">
        <v>401.161</v>
      </c>
      <c r="V261" s="17">
        <v>425.58100000000002</v>
      </c>
      <c r="W261" s="17">
        <v>431.21800000000002</v>
      </c>
      <c r="X261" s="17">
        <v>453.04599999999999</v>
      </c>
      <c r="Y261" s="17">
        <v>565.33199999999999</v>
      </c>
      <c r="Z261" s="17">
        <v>473.14400000000001</v>
      </c>
      <c r="AA261" s="17">
        <v>441.964</v>
      </c>
      <c r="AB261" s="17"/>
      <c r="AC261" s="17"/>
      <c r="AD261" s="26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>
        <v>403.83</v>
      </c>
      <c r="AO261" s="17">
        <v>417.95</v>
      </c>
      <c r="AP261" s="17"/>
      <c r="AQ261" s="17"/>
      <c r="AR261" s="17"/>
      <c r="AS261" s="17"/>
      <c r="AT261" s="17"/>
      <c r="AU261" s="17"/>
      <c r="AV261" s="17"/>
      <c r="AW261" s="17">
        <v>500.06099999999998</v>
      </c>
    </row>
    <row r="262" spans="1:49" x14ac:dyDescent="0.35">
      <c r="A262" s="3">
        <f t="shared" si="33"/>
        <v>245</v>
      </c>
      <c r="B262" s="17"/>
      <c r="C262" s="17"/>
      <c r="D262" s="17">
        <v>447.33300000000003</v>
      </c>
      <c r="E262" s="17">
        <v>453.04899999999998</v>
      </c>
      <c r="F262" s="17">
        <v>435.87799999999999</v>
      </c>
      <c r="G262" s="17">
        <v>413.786</v>
      </c>
      <c r="H262" s="17"/>
      <c r="I262" s="17"/>
      <c r="J262" s="17"/>
      <c r="K262" s="23"/>
      <c r="L262" s="17">
        <v>558.64499999999998</v>
      </c>
      <c r="M262" s="17"/>
      <c r="N262" s="17">
        <v>461.97500000000002</v>
      </c>
      <c r="O262" s="17">
        <v>440.63099999999997</v>
      </c>
      <c r="P262" s="17">
        <v>413.46199999999999</v>
      </c>
      <c r="Q262" s="17">
        <v>438.399</v>
      </c>
      <c r="R262" s="17"/>
      <c r="S262" s="17">
        <v>423.548</v>
      </c>
      <c r="T262" s="17"/>
      <c r="U262" s="17">
        <v>400.863</v>
      </c>
      <c r="V262" s="17">
        <v>423.61900000000003</v>
      </c>
      <c r="W262" s="17">
        <v>432.34500000000003</v>
      </c>
      <c r="X262" s="17">
        <v>453.04300000000001</v>
      </c>
      <c r="Y262" s="17">
        <v>566.99599999999998</v>
      </c>
      <c r="Z262" s="17">
        <v>473.98500000000001</v>
      </c>
      <c r="AA262" s="17">
        <v>441.85500000000002</v>
      </c>
      <c r="AB262" s="17"/>
      <c r="AC262" s="17"/>
      <c r="AD262" s="26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>
        <v>403.95499999999998</v>
      </c>
      <c r="AO262" s="17">
        <v>417.79700000000003</v>
      </c>
      <c r="AP262" s="17"/>
      <c r="AQ262" s="17"/>
      <c r="AR262" s="17"/>
      <c r="AS262" s="17"/>
      <c r="AT262" s="17"/>
      <c r="AU262" s="17"/>
      <c r="AV262" s="17"/>
      <c r="AW262" s="17">
        <v>499.17399999999998</v>
      </c>
    </row>
    <row r="263" spans="1:49" x14ac:dyDescent="0.35">
      <c r="A263" s="3">
        <f t="shared" si="33"/>
        <v>246</v>
      </c>
      <c r="B263" s="17"/>
      <c r="C263" s="17"/>
      <c r="D263" s="17">
        <v>448.35399999999998</v>
      </c>
      <c r="E263" s="17">
        <v>453.46600000000001</v>
      </c>
      <c r="F263" s="17">
        <v>435.18200000000002</v>
      </c>
      <c r="G263" s="17">
        <v>413.09199999999998</v>
      </c>
      <c r="H263" s="17"/>
      <c r="I263" s="17"/>
      <c r="J263" s="17"/>
      <c r="K263" s="23"/>
      <c r="L263" s="17">
        <v>559.98800000000006</v>
      </c>
      <c r="M263" s="17"/>
      <c r="N263" s="17">
        <v>462.00900000000001</v>
      </c>
      <c r="O263" s="17">
        <v>441.44299999999998</v>
      </c>
      <c r="P263" s="17">
        <v>415.43099999999998</v>
      </c>
      <c r="Q263" s="17">
        <v>439.19099999999997</v>
      </c>
      <c r="R263" s="17"/>
      <c r="S263" s="17">
        <v>423.84800000000001</v>
      </c>
      <c r="T263" s="17"/>
      <c r="U263" s="17">
        <v>401.03399999999999</v>
      </c>
      <c r="V263" s="17">
        <v>425.35199999999998</v>
      </c>
      <c r="W263" s="17">
        <v>430.08600000000001</v>
      </c>
      <c r="X263" s="17">
        <v>455.16300000000001</v>
      </c>
      <c r="Y263" s="17">
        <v>567.05100000000004</v>
      </c>
      <c r="Z263" s="17">
        <v>472.79300000000001</v>
      </c>
      <c r="AA263" s="17">
        <v>443.20400000000001</v>
      </c>
      <c r="AB263" s="17"/>
      <c r="AC263" s="17"/>
      <c r="AD263" s="26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>
        <v>402.286</v>
      </c>
      <c r="AO263" s="17">
        <v>416.63799999999998</v>
      </c>
      <c r="AP263" s="17"/>
      <c r="AQ263" s="17"/>
      <c r="AR263" s="17"/>
      <c r="AS263" s="17"/>
      <c r="AT263" s="17"/>
      <c r="AU263" s="17"/>
      <c r="AV263" s="17"/>
      <c r="AW263" s="17">
        <v>499.09699999999998</v>
      </c>
    </row>
    <row r="264" spans="1:49" x14ac:dyDescent="0.35">
      <c r="A264" s="3">
        <f t="shared" si="33"/>
        <v>247</v>
      </c>
      <c r="B264" s="17"/>
      <c r="C264" s="17"/>
      <c r="D264" s="17">
        <v>449.59</v>
      </c>
      <c r="E264" s="17">
        <v>453.99299999999999</v>
      </c>
      <c r="F264" s="17">
        <v>434.93599999999998</v>
      </c>
      <c r="G264" s="17">
        <v>412.53300000000002</v>
      </c>
      <c r="H264" s="17"/>
      <c r="I264" s="17"/>
      <c r="J264" s="17"/>
      <c r="K264" s="23"/>
      <c r="L264" s="17">
        <v>559.80399999999997</v>
      </c>
      <c r="M264" s="17"/>
      <c r="N264" s="17">
        <v>462.97199999999998</v>
      </c>
      <c r="O264" s="17">
        <v>441.428</v>
      </c>
      <c r="P264" s="17">
        <v>413.97399999999999</v>
      </c>
      <c r="Q264" s="17">
        <v>440.61799999999999</v>
      </c>
      <c r="R264" s="17"/>
      <c r="S264" s="17">
        <v>422.875</v>
      </c>
      <c r="T264" s="17"/>
      <c r="U264" s="17">
        <v>400.95499999999998</v>
      </c>
      <c r="V264" s="17">
        <v>423.47199999999998</v>
      </c>
      <c r="W264" s="17">
        <v>432.94200000000001</v>
      </c>
      <c r="X264" s="17">
        <v>454.94</v>
      </c>
      <c r="Y264" s="17">
        <v>567.56799999999998</v>
      </c>
      <c r="Z264" s="17">
        <v>473.18799999999999</v>
      </c>
      <c r="AA264" s="17">
        <v>442.40800000000002</v>
      </c>
      <c r="AB264" s="17"/>
      <c r="AC264" s="17"/>
      <c r="AD264" s="26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>
        <v>403.93299999999999</v>
      </c>
      <c r="AO264" s="17">
        <v>417.459</v>
      </c>
      <c r="AP264" s="17"/>
      <c r="AQ264" s="17"/>
      <c r="AR264" s="17"/>
      <c r="AS264" s="17"/>
      <c r="AT264" s="17"/>
      <c r="AU264" s="17"/>
      <c r="AV264" s="17"/>
      <c r="AW264" s="17">
        <v>500.32900000000001</v>
      </c>
    </row>
    <row r="265" spans="1:49" x14ac:dyDescent="0.35">
      <c r="A265" s="3">
        <f t="shared" si="33"/>
        <v>248</v>
      </c>
      <c r="B265" s="17"/>
      <c r="C265" s="17"/>
      <c r="D265" s="17">
        <v>449.19299999999998</v>
      </c>
      <c r="E265" s="17">
        <v>453.63299999999998</v>
      </c>
      <c r="F265" s="17">
        <v>435.78</v>
      </c>
      <c r="G265" s="17">
        <v>412.90499999999997</v>
      </c>
      <c r="H265" s="17"/>
      <c r="I265" s="17"/>
      <c r="J265" s="17"/>
      <c r="K265" s="23"/>
      <c r="L265" s="17">
        <v>560.40700000000004</v>
      </c>
      <c r="M265" s="17"/>
      <c r="N265" s="17">
        <v>461.80399999999997</v>
      </c>
      <c r="O265" s="17">
        <v>441.64</v>
      </c>
      <c r="P265" s="17">
        <v>414.12700000000001</v>
      </c>
      <c r="Q265" s="17">
        <v>439.32499999999999</v>
      </c>
      <c r="R265" s="17"/>
      <c r="S265" s="17">
        <v>424.84699999999998</v>
      </c>
      <c r="T265" s="17"/>
      <c r="U265" s="17">
        <v>401.49799999999999</v>
      </c>
      <c r="V265" s="17">
        <v>424.86200000000002</v>
      </c>
      <c r="W265" s="17">
        <v>431.38900000000001</v>
      </c>
      <c r="X265" s="17">
        <v>452.93900000000002</v>
      </c>
      <c r="Y265" s="17">
        <v>566.26900000000001</v>
      </c>
      <c r="Z265" s="17">
        <v>474.60899999999998</v>
      </c>
      <c r="AA265" s="17">
        <v>441.10300000000001</v>
      </c>
      <c r="AB265" s="17"/>
      <c r="AC265" s="17"/>
      <c r="AD265" s="26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>
        <v>402.23200000000003</v>
      </c>
      <c r="AO265" s="17">
        <v>417.09500000000003</v>
      </c>
      <c r="AP265" s="17"/>
      <c r="AQ265" s="17"/>
      <c r="AR265" s="17"/>
      <c r="AS265" s="17"/>
      <c r="AT265" s="17"/>
      <c r="AU265" s="17"/>
      <c r="AV265" s="17"/>
      <c r="AW265" s="17">
        <v>500.67099999999999</v>
      </c>
    </row>
    <row r="266" spans="1:49" x14ac:dyDescent="0.35">
      <c r="A266" s="3">
        <f t="shared" si="33"/>
        <v>249</v>
      </c>
      <c r="B266" s="17"/>
      <c r="C266" s="17"/>
      <c r="D266" s="17">
        <v>449.69499999999999</v>
      </c>
      <c r="E266" s="17">
        <v>453.95800000000003</v>
      </c>
      <c r="F266" s="17">
        <v>434.78</v>
      </c>
      <c r="G266" s="17">
        <v>413.57900000000001</v>
      </c>
      <c r="H266" s="17"/>
      <c r="I266" s="17"/>
      <c r="J266" s="17"/>
      <c r="K266" s="23"/>
      <c r="L266" s="17">
        <v>559.37800000000004</v>
      </c>
      <c r="M266" s="17"/>
      <c r="N266" s="17">
        <v>462.63099999999997</v>
      </c>
      <c r="O266" s="17">
        <v>441.101</v>
      </c>
      <c r="P266" s="17">
        <v>414.733</v>
      </c>
      <c r="Q266" s="17">
        <v>439.608</v>
      </c>
      <c r="R266" s="17"/>
      <c r="S266" s="17">
        <v>424.47899999999998</v>
      </c>
      <c r="T266" s="17"/>
      <c r="U266" s="17">
        <v>402.19499999999999</v>
      </c>
      <c r="V266" s="17">
        <v>423.07799999999997</v>
      </c>
      <c r="W266" s="17">
        <v>432.00900000000001</v>
      </c>
      <c r="X266" s="17">
        <v>453.827</v>
      </c>
      <c r="Y266" s="17">
        <v>566.81200000000001</v>
      </c>
      <c r="Z266" s="17">
        <v>473.84699999999998</v>
      </c>
      <c r="AA266" s="17">
        <v>440.70299999999997</v>
      </c>
      <c r="AB266" s="17"/>
      <c r="AC266" s="17"/>
      <c r="AD266" s="26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>
        <v>402.20100000000002</v>
      </c>
      <c r="AO266" s="17">
        <v>416.42500000000001</v>
      </c>
      <c r="AP266" s="17"/>
      <c r="AQ266" s="17"/>
      <c r="AR266" s="17"/>
      <c r="AS266" s="17"/>
      <c r="AT266" s="17"/>
      <c r="AU266" s="17"/>
      <c r="AV266" s="17"/>
      <c r="AW266" s="17">
        <v>499.50700000000001</v>
      </c>
    </row>
    <row r="267" spans="1:49" x14ac:dyDescent="0.35">
      <c r="A267" s="3">
        <f t="shared" si="33"/>
        <v>250</v>
      </c>
      <c r="B267" s="17"/>
      <c r="C267" s="17"/>
      <c r="D267" s="17">
        <v>450.33699999999999</v>
      </c>
      <c r="E267" s="17">
        <v>453.66899999999998</v>
      </c>
      <c r="F267" s="17">
        <v>435.50200000000001</v>
      </c>
      <c r="G267" s="17">
        <v>412.88299999999998</v>
      </c>
      <c r="H267" s="17"/>
      <c r="I267" s="17"/>
      <c r="J267" s="17"/>
      <c r="K267" s="23"/>
      <c r="L267" s="17">
        <v>559.495</v>
      </c>
      <c r="M267" s="17"/>
      <c r="N267" s="17">
        <v>463.16399999999999</v>
      </c>
      <c r="O267" s="17">
        <v>442.03500000000003</v>
      </c>
      <c r="P267" s="17">
        <v>415.447</v>
      </c>
      <c r="Q267" s="17">
        <v>440.411</v>
      </c>
      <c r="R267" s="17"/>
      <c r="S267" s="17">
        <v>422.93</v>
      </c>
      <c r="T267" s="17"/>
      <c r="U267" s="17">
        <v>401.78300000000002</v>
      </c>
      <c r="V267" s="17">
        <v>422.65199999999999</v>
      </c>
      <c r="W267" s="17">
        <v>433.43799999999999</v>
      </c>
      <c r="X267" s="17">
        <v>453.94200000000001</v>
      </c>
      <c r="Y267" s="17">
        <v>568.10699999999997</v>
      </c>
      <c r="Z267" s="17">
        <v>474.29399999999998</v>
      </c>
      <c r="AA267" s="17">
        <v>442.10500000000002</v>
      </c>
      <c r="AB267" s="17"/>
      <c r="AC267" s="17"/>
      <c r="AD267" s="26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>
        <v>402.70400000000001</v>
      </c>
      <c r="AO267" s="17">
        <v>415.84100000000001</v>
      </c>
      <c r="AP267" s="17"/>
      <c r="AQ267" s="17"/>
      <c r="AR267" s="17"/>
      <c r="AS267" s="17"/>
      <c r="AT267" s="17"/>
      <c r="AU267" s="17"/>
      <c r="AV267" s="17"/>
      <c r="AW267" s="17">
        <v>500.505</v>
      </c>
    </row>
    <row r="268" spans="1:49" x14ac:dyDescent="0.35">
      <c r="A268" s="3">
        <f t="shared" si="33"/>
        <v>251</v>
      </c>
      <c r="B268" s="17"/>
      <c r="C268" s="17"/>
      <c r="D268" s="17">
        <v>450.10700000000003</v>
      </c>
      <c r="E268" s="17">
        <v>452.99599999999998</v>
      </c>
      <c r="F268" s="17">
        <v>435.21199999999999</v>
      </c>
      <c r="G268" s="17">
        <v>414.51900000000001</v>
      </c>
      <c r="H268" s="17"/>
      <c r="I268" s="17"/>
      <c r="J268" s="17"/>
      <c r="K268" s="23"/>
      <c r="L268" s="17">
        <v>560.85599999999999</v>
      </c>
      <c r="M268" s="17"/>
      <c r="N268" s="17">
        <v>462.66399999999999</v>
      </c>
      <c r="O268" s="17">
        <v>442.56700000000001</v>
      </c>
      <c r="P268" s="17">
        <v>415.35199999999998</v>
      </c>
      <c r="Q268" s="17">
        <v>440.99900000000002</v>
      </c>
      <c r="R268" s="17"/>
      <c r="S268" s="17">
        <v>424.35500000000002</v>
      </c>
      <c r="T268" s="17"/>
      <c r="U268" s="17">
        <v>401.21</v>
      </c>
      <c r="V268" s="17">
        <v>422.68200000000002</v>
      </c>
      <c r="W268" s="17">
        <v>431.59300000000002</v>
      </c>
      <c r="X268" s="17">
        <v>452.84</v>
      </c>
      <c r="Y268" s="17">
        <v>568.22500000000002</v>
      </c>
      <c r="Z268" s="17">
        <v>473.30599999999998</v>
      </c>
      <c r="AA268" s="17">
        <v>441.19900000000001</v>
      </c>
      <c r="AB268" s="17"/>
      <c r="AC268" s="17"/>
      <c r="AD268" s="26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>
        <v>403.17200000000003</v>
      </c>
      <c r="AO268" s="17">
        <v>416.03100000000001</v>
      </c>
      <c r="AP268" s="17"/>
      <c r="AQ268" s="17"/>
      <c r="AR268" s="17"/>
      <c r="AS268" s="17"/>
      <c r="AT268" s="17"/>
      <c r="AU268" s="17"/>
      <c r="AV268" s="17"/>
      <c r="AW268" s="17">
        <v>500.53500000000003</v>
      </c>
    </row>
    <row r="269" spans="1:49" x14ac:dyDescent="0.35">
      <c r="A269" s="3">
        <f t="shared" si="33"/>
        <v>252</v>
      </c>
      <c r="B269" s="17"/>
      <c r="C269" s="17"/>
      <c r="D269" s="17">
        <v>450.87700000000001</v>
      </c>
      <c r="E269" s="17">
        <v>453.42200000000003</v>
      </c>
      <c r="F269" s="17">
        <v>435.18900000000002</v>
      </c>
      <c r="G269" s="17">
        <v>412.774</v>
      </c>
      <c r="H269" s="17"/>
      <c r="I269" s="17"/>
      <c r="J269" s="17"/>
      <c r="K269" s="23"/>
      <c r="L269" s="17">
        <v>561.47299999999996</v>
      </c>
      <c r="M269" s="17"/>
      <c r="N269" s="17">
        <v>462.27</v>
      </c>
      <c r="O269" s="17">
        <v>442.24799999999999</v>
      </c>
      <c r="P269" s="17">
        <v>416.73200000000003</v>
      </c>
      <c r="Q269" s="17">
        <v>440.04899999999998</v>
      </c>
      <c r="R269" s="17"/>
      <c r="S269" s="17">
        <v>422.97</v>
      </c>
      <c r="T269" s="17"/>
      <c r="U269" s="17">
        <v>401.07499999999999</v>
      </c>
      <c r="V269" s="17">
        <v>422.59399999999999</v>
      </c>
      <c r="W269" s="17">
        <v>433.29199999999997</v>
      </c>
      <c r="X269" s="17">
        <v>454.45600000000002</v>
      </c>
      <c r="Y269" s="17">
        <v>568.44799999999998</v>
      </c>
      <c r="Z269" s="17">
        <v>473.35700000000003</v>
      </c>
      <c r="AA269" s="17">
        <v>441.62799999999999</v>
      </c>
      <c r="AB269" s="17"/>
      <c r="AC269" s="17"/>
      <c r="AD269" s="26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>
        <v>403.089</v>
      </c>
      <c r="AO269" s="17">
        <v>417.61700000000002</v>
      </c>
      <c r="AP269" s="17"/>
      <c r="AQ269" s="17"/>
      <c r="AR269" s="17"/>
      <c r="AS269" s="17"/>
      <c r="AT269" s="17"/>
      <c r="AU269" s="17"/>
      <c r="AV269" s="17"/>
      <c r="AW269" s="17">
        <v>499.488</v>
      </c>
    </row>
    <row r="270" spans="1:49" x14ac:dyDescent="0.35">
      <c r="A270" s="3">
        <f t="shared" si="33"/>
        <v>253</v>
      </c>
      <c r="B270" s="17"/>
      <c r="C270" s="17"/>
      <c r="D270" s="17">
        <v>450.74700000000001</v>
      </c>
      <c r="E270" s="17">
        <v>453.13</v>
      </c>
      <c r="F270" s="17">
        <v>435.25200000000001</v>
      </c>
      <c r="G270" s="17">
        <v>412.803</v>
      </c>
      <c r="H270" s="17"/>
      <c r="I270" s="17"/>
      <c r="J270" s="17"/>
      <c r="K270" s="23"/>
      <c r="L270" s="17">
        <v>559.48699999999997</v>
      </c>
      <c r="M270" s="17"/>
      <c r="N270" s="17">
        <v>464.12799999999999</v>
      </c>
      <c r="O270" s="17">
        <v>441.72399999999999</v>
      </c>
      <c r="P270" s="17">
        <v>416.37200000000001</v>
      </c>
      <c r="Q270" s="17">
        <v>439.86</v>
      </c>
      <c r="R270" s="17"/>
      <c r="S270" s="17">
        <v>423.49099999999999</v>
      </c>
      <c r="T270" s="17"/>
      <c r="U270" s="17">
        <v>400.92500000000001</v>
      </c>
      <c r="V270" s="17">
        <v>420.726</v>
      </c>
      <c r="W270" s="17">
        <v>431.904</v>
      </c>
      <c r="X270" s="17">
        <v>454.63099999999997</v>
      </c>
      <c r="Y270" s="17">
        <v>568.88099999999997</v>
      </c>
      <c r="Z270" s="17">
        <v>474.096</v>
      </c>
      <c r="AA270" s="17">
        <v>443.09699999999998</v>
      </c>
      <c r="AB270" s="17"/>
      <c r="AC270" s="17"/>
      <c r="AD270" s="26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>
        <v>403.02800000000002</v>
      </c>
      <c r="AO270" s="17">
        <v>417.096</v>
      </c>
      <c r="AP270" s="17"/>
      <c r="AQ270" s="17"/>
      <c r="AR270" s="17"/>
      <c r="AS270" s="17"/>
      <c r="AT270" s="17"/>
      <c r="AU270" s="17"/>
      <c r="AV270" s="17"/>
      <c r="AW270" s="17">
        <v>500.642</v>
      </c>
    </row>
    <row r="271" spans="1:49" x14ac:dyDescent="0.35">
      <c r="A271" s="3">
        <f t="shared" si="33"/>
        <v>254</v>
      </c>
      <c r="B271" s="17"/>
      <c r="C271" s="17"/>
      <c r="D271" s="17">
        <v>450.51900000000001</v>
      </c>
      <c r="E271" s="17">
        <v>453.49400000000003</v>
      </c>
      <c r="F271" s="17">
        <v>435.99299999999999</v>
      </c>
      <c r="G271" s="17">
        <v>413.20400000000001</v>
      </c>
      <c r="H271" s="17"/>
      <c r="I271" s="17"/>
      <c r="J271" s="17"/>
      <c r="K271" s="23"/>
      <c r="L271" s="17">
        <v>560.10799999999995</v>
      </c>
      <c r="M271" s="17"/>
      <c r="N271" s="17">
        <v>463.50200000000001</v>
      </c>
      <c r="O271" s="17">
        <v>442.34699999999998</v>
      </c>
      <c r="P271" s="17">
        <v>415.33600000000001</v>
      </c>
      <c r="Q271" s="17">
        <v>441.05399999999997</v>
      </c>
      <c r="R271" s="17"/>
      <c r="S271" s="17">
        <v>424.43299999999999</v>
      </c>
      <c r="T271" s="17"/>
      <c r="U271" s="17">
        <v>402.68299999999999</v>
      </c>
      <c r="V271" s="17">
        <v>422.04899999999998</v>
      </c>
      <c r="W271" s="17">
        <v>433.49</v>
      </c>
      <c r="X271" s="17">
        <v>453.63</v>
      </c>
      <c r="Y271" s="17">
        <v>570.60799999999995</v>
      </c>
      <c r="Z271" s="17">
        <v>472.55599999999998</v>
      </c>
      <c r="AA271" s="17">
        <v>441.02300000000002</v>
      </c>
      <c r="AB271" s="17"/>
      <c r="AC271" s="17"/>
      <c r="AD271" s="26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>
        <v>403.315</v>
      </c>
      <c r="AO271" s="17">
        <v>418.63600000000002</v>
      </c>
      <c r="AP271" s="17"/>
      <c r="AQ271" s="17"/>
      <c r="AR271" s="17"/>
      <c r="AS271" s="17"/>
      <c r="AT271" s="17"/>
      <c r="AU271" s="17"/>
      <c r="AV271" s="17"/>
      <c r="AW271" s="17">
        <v>501.06599999999997</v>
      </c>
    </row>
    <row r="272" spans="1:49" x14ac:dyDescent="0.35">
      <c r="A272" s="3">
        <f t="shared" si="33"/>
        <v>255</v>
      </c>
      <c r="B272" s="17"/>
      <c r="C272" s="17"/>
      <c r="D272" s="17">
        <v>450.82100000000003</v>
      </c>
      <c r="E272" s="17">
        <v>453.37599999999998</v>
      </c>
      <c r="F272" s="17">
        <v>435.089</v>
      </c>
      <c r="G272" s="17">
        <v>413.74299999999999</v>
      </c>
      <c r="H272" s="17"/>
      <c r="I272" s="17"/>
      <c r="J272" s="17"/>
      <c r="K272" s="23"/>
      <c r="L272" s="17">
        <v>560.55600000000004</v>
      </c>
      <c r="M272" s="17"/>
      <c r="N272" s="17">
        <v>461.911</v>
      </c>
      <c r="O272" s="17">
        <v>441.755</v>
      </c>
      <c r="P272" s="17">
        <v>415.685</v>
      </c>
      <c r="Q272" s="17">
        <v>440.67599999999999</v>
      </c>
      <c r="R272" s="17"/>
      <c r="S272" s="17">
        <v>424.55599999999998</v>
      </c>
      <c r="T272" s="17"/>
      <c r="U272" s="17">
        <v>402.36700000000002</v>
      </c>
      <c r="V272" s="17">
        <v>422.59399999999999</v>
      </c>
      <c r="W272" s="17">
        <v>433.77100000000002</v>
      </c>
      <c r="X272" s="17">
        <v>454.03399999999999</v>
      </c>
      <c r="Y272" s="17">
        <v>571.96600000000001</v>
      </c>
      <c r="Z272" s="17">
        <v>472.99099999999999</v>
      </c>
      <c r="AA272" s="17">
        <v>442.99900000000002</v>
      </c>
      <c r="AB272" s="17"/>
      <c r="AC272" s="17"/>
      <c r="AD272" s="26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>
        <v>403.45800000000003</v>
      </c>
      <c r="AO272" s="17">
        <v>419.06599999999997</v>
      </c>
      <c r="AP272" s="17"/>
      <c r="AQ272" s="17"/>
      <c r="AR272" s="17"/>
      <c r="AS272" s="17"/>
      <c r="AT272" s="17"/>
      <c r="AU272" s="17"/>
      <c r="AV272" s="17"/>
      <c r="AW272" s="17">
        <v>499.35199999999998</v>
      </c>
    </row>
    <row r="273" spans="1:49" x14ac:dyDescent="0.35">
      <c r="A273" s="3">
        <f t="shared" si="33"/>
        <v>256</v>
      </c>
      <c r="B273" s="17"/>
      <c r="C273" s="17"/>
      <c r="D273" s="17">
        <v>452.089</v>
      </c>
      <c r="E273" s="17">
        <v>454.06299999999999</v>
      </c>
      <c r="F273" s="17">
        <v>436.27800000000002</v>
      </c>
      <c r="G273" s="17">
        <v>414.13799999999998</v>
      </c>
      <c r="H273" s="17"/>
      <c r="I273" s="17"/>
      <c r="J273" s="17"/>
      <c r="K273" s="23"/>
      <c r="L273" s="17">
        <v>560.178</v>
      </c>
      <c r="M273" s="17"/>
      <c r="N273" s="17">
        <v>462.57900000000001</v>
      </c>
      <c r="O273" s="17">
        <v>441.428</v>
      </c>
      <c r="P273" s="17">
        <v>415.99099999999999</v>
      </c>
      <c r="Q273" s="17">
        <v>441.23899999999998</v>
      </c>
      <c r="R273" s="17"/>
      <c r="S273" s="17">
        <v>422.36599999999999</v>
      </c>
      <c r="T273" s="17"/>
      <c r="U273" s="17">
        <v>401.899</v>
      </c>
      <c r="V273" s="17">
        <v>422.77199999999999</v>
      </c>
      <c r="W273" s="17">
        <v>433.68</v>
      </c>
      <c r="X273" s="17">
        <v>454.178</v>
      </c>
      <c r="Y273" s="17">
        <v>569.42600000000004</v>
      </c>
      <c r="Z273" s="17">
        <v>472.77300000000002</v>
      </c>
      <c r="AA273" s="17">
        <v>442.47699999999998</v>
      </c>
      <c r="AB273" s="17"/>
      <c r="AC273" s="17"/>
      <c r="AD273" s="26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>
        <v>402.83199999999999</v>
      </c>
      <c r="AO273" s="17">
        <v>418.75200000000001</v>
      </c>
      <c r="AP273" s="17"/>
      <c r="AQ273" s="17"/>
      <c r="AR273" s="17"/>
      <c r="AS273" s="17"/>
      <c r="AT273" s="17"/>
      <c r="AU273" s="17"/>
      <c r="AV273" s="17"/>
      <c r="AW273" s="17">
        <v>500.51299999999998</v>
      </c>
    </row>
    <row r="274" spans="1:49" x14ac:dyDescent="0.35">
      <c r="A274" s="3">
        <f t="shared" si="33"/>
        <v>257</v>
      </c>
      <c r="B274" s="17"/>
      <c r="C274" s="17"/>
      <c r="D274" s="17">
        <v>451.61900000000003</v>
      </c>
      <c r="E274" s="17">
        <v>452.95</v>
      </c>
      <c r="F274" s="17">
        <v>436.05700000000002</v>
      </c>
      <c r="G274" s="17">
        <v>414.09899999999999</v>
      </c>
      <c r="H274" s="17"/>
      <c r="I274" s="17"/>
      <c r="J274" s="17"/>
      <c r="K274" s="23"/>
      <c r="L274" s="17">
        <v>561.19899999999996</v>
      </c>
      <c r="M274" s="17"/>
      <c r="N274" s="17">
        <v>462.87700000000001</v>
      </c>
      <c r="O274" s="17">
        <v>442.63299999999998</v>
      </c>
      <c r="P274" s="17">
        <v>415.93400000000003</v>
      </c>
      <c r="Q274" s="17">
        <v>441.35300000000001</v>
      </c>
      <c r="R274" s="17"/>
      <c r="S274" s="17">
        <v>423.21300000000002</v>
      </c>
      <c r="T274" s="17"/>
      <c r="U274" s="17">
        <v>402.23700000000002</v>
      </c>
      <c r="V274" s="17">
        <v>421.57799999999997</v>
      </c>
      <c r="W274" s="17">
        <v>434.28399999999999</v>
      </c>
      <c r="X274" s="17">
        <v>455.22399999999999</v>
      </c>
      <c r="Y274" s="17">
        <v>571.47</v>
      </c>
      <c r="Z274" s="17">
        <v>473.38799999999998</v>
      </c>
      <c r="AA274" s="17">
        <v>442.48200000000003</v>
      </c>
      <c r="AB274" s="17"/>
      <c r="AC274" s="17"/>
      <c r="AD274" s="26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>
        <v>402.96100000000001</v>
      </c>
      <c r="AO274" s="17">
        <v>418.084</v>
      </c>
      <c r="AP274" s="17"/>
      <c r="AQ274" s="17"/>
      <c r="AR274" s="17"/>
      <c r="AS274" s="17"/>
      <c r="AT274" s="17"/>
      <c r="AU274" s="17"/>
      <c r="AV274" s="17"/>
      <c r="AW274" s="17">
        <v>501.62900000000002</v>
      </c>
    </row>
    <row r="275" spans="1:49" x14ac:dyDescent="0.35">
      <c r="A275" s="3">
        <f t="shared" si="33"/>
        <v>258</v>
      </c>
      <c r="B275" s="17"/>
      <c r="C275" s="17"/>
      <c r="D275" s="17">
        <v>451.13400000000001</v>
      </c>
      <c r="E275" s="17">
        <v>453.346</v>
      </c>
      <c r="F275" s="17">
        <v>436.72199999999998</v>
      </c>
      <c r="G275" s="17">
        <v>415.19799999999998</v>
      </c>
      <c r="H275" s="17"/>
      <c r="I275" s="17"/>
      <c r="J275" s="17"/>
      <c r="K275" s="23"/>
      <c r="L275" s="17">
        <v>559.99400000000003</v>
      </c>
      <c r="M275" s="17"/>
      <c r="N275" s="17">
        <v>463.49200000000002</v>
      </c>
      <c r="O275" s="17">
        <v>440.63200000000001</v>
      </c>
      <c r="P275" s="17">
        <v>415.541</v>
      </c>
      <c r="Q275" s="17">
        <v>440.685</v>
      </c>
      <c r="R275" s="17"/>
      <c r="S275" s="17">
        <v>423.48599999999999</v>
      </c>
      <c r="T275" s="17"/>
      <c r="U275" s="17">
        <v>401.30900000000003</v>
      </c>
      <c r="V275" s="17">
        <v>420.911</v>
      </c>
      <c r="W275" s="17">
        <v>434.98899999999998</v>
      </c>
      <c r="X275" s="17">
        <v>453.54</v>
      </c>
      <c r="Y275" s="17">
        <v>572.17100000000005</v>
      </c>
      <c r="Z275" s="17">
        <v>473.423</v>
      </c>
      <c r="AA275" s="17">
        <v>442.28100000000001</v>
      </c>
      <c r="AB275" s="17"/>
      <c r="AC275" s="17"/>
      <c r="AD275" s="26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>
        <v>402.80799999999999</v>
      </c>
      <c r="AO275" s="17">
        <v>418.95499999999998</v>
      </c>
      <c r="AP275" s="17"/>
      <c r="AQ275" s="17"/>
      <c r="AR275" s="17"/>
      <c r="AS275" s="17"/>
      <c r="AT275" s="17"/>
      <c r="AU275" s="17"/>
      <c r="AV275" s="17"/>
      <c r="AW275" s="17">
        <v>499.99599999999998</v>
      </c>
    </row>
    <row r="276" spans="1:49" x14ac:dyDescent="0.35">
      <c r="A276" s="3">
        <f t="shared" si="33"/>
        <v>259</v>
      </c>
      <c r="B276" s="17"/>
      <c r="C276" s="17"/>
      <c r="D276" s="17">
        <v>450.10199999999998</v>
      </c>
      <c r="E276" s="17">
        <v>453.76299999999998</v>
      </c>
      <c r="F276" s="17">
        <v>436.108</v>
      </c>
      <c r="G276" s="17">
        <v>414.83800000000002</v>
      </c>
      <c r="H276" s="17"/>
      <c r="I276" s="17"/>
      <c r="J276" s="17"/>
      <c r="K276" s="23"/>
      <c r="L276" s="17">
        <v>560.98199999999997</v>
      </c>
      <c r="M276" s="17"/>
      <c r="N276" s="17">
        <v>463.59199999999998</v>
      </c>
      <c r="O276" s="17">
        <v>441.76799999999997</v>
      </c>
      <c r="P276" s="17">
        <v>416.41500000000002</v>
      </c>
      <c r="Q276" s="17">
        <v>442.25900000000001</v>
      </c>
      <c r="R276" s="17"/>
      <c r="S276" s="17">
        <v>422.779</v>
      </c>
      <c r="T276" s="17"/>
      <c r="U276" s="17">
        <v>402.30200000000002</v>
      </c>
      <c r="V276" s="17">
        <v>421.67200000000003</v>
      </c>
      <c r="W276" s="17">
        <v>436.72399999999999</v>
      </c>
      <c r="X276" s="17">
        <v>454.41300000000001</v>
      </c>
      <c r="Y276" s="17">
        <v>571.36800000000005</v>
      </c>
      <c r="Z276" s="17">
        <v>475.99599999999998</v>
      </c>
      <c r="AA276" s="17">
        <v>441.48399999999998</v>
      </c>
      <c r="AB276" s="17"/>
      <c r="AC276" s="17"/>
      <c r="AD276" s="26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>
        <v>401.88900000000001</v>
      </c>
      <c r="AO276" s="17">
        <v>418.71800000000002</v>
      </c>
      <c r="AP276" s="17"/>
      <c r="AQ276" s="17"/>
      <c r="AR276" s="17"/>
      <c r="AS276" s="17"/>
      <c r="AT276" s="17"/>
      <c r="AU276" s="17"/>
      <c r="AV276" s="17"/>
      <c r="AW276" s="17">
        <v>501.73200000000003</v>
      </c>
    </row>
    <row r="277" spans="1:49" x14ac:dyDescent="0.35">
      <c r="A277" s="3">
        <f t="shared" si="33"/>
        <v>260</v>
      </c>
      <c r="B277" s="17"/>
      <c r="C277" s="17"/>
      <c r="D277" s="17">
        <v>450.88200000000001</v>
      </c>
      <c r="E277" s="17">
        <v>452.59699999999998</v>
      </c>
      <c r="F277" s="17">
        <v>436.72300000000001</v>
      </c>
      <c r="G277" s="17">
        <v>415.077</v>
      </c>
      <c r="H277" s="17"/>
      <c r="I277" s="17"/>
      <c r="J277" s="17"/>
      <c r="K277" s="23"/>
      <c r="L277" s="17">
        <v>561.67700000000002</v>
      </c>
      <c r="M277" s="17"/>
      <c r="N277" s="17">
        <v>463.71100000000001</v>
      </c>
      <c r="O277" s="17">
        <v>441.774</v>
      </c>
      <c r="P277" s="17">
        <v>416.28899999999999</v>
      </c>
      <c r="Q277" s="17">
        <v>440.71499999999997</v>
      </c>
      <c r="R277" s="17"/>
      <c r="S277" s="17">
        <v>425.16300000000001</v>
      </c>
      <c r="T277" s="17"/>
      <c r="U277" s="17">
        <v>403.17500000000001</v>
      </c>
      <c r="V277" s="17">
        <v>422.14400000000001</v>
      </c>
      <c r="W277" s="17">
        <v>434.74400000000003</v>
      </c>
      <c r="X277" s="17">
        <v>454.98099999999999</v>
      </c>
      <c r="Y277" s="17">
        <v>572.93899999999996</v>
      </c>
      <c r="Z277" s="17">
        <v>474.322</v>
      </c>
      <c r="AA277" s="17">
        <v>442.50099999999998</v>
      </c>
      <c r="AB277" s="17"/>
      <c r="AC277" s="17"/>
      <c r="AD277" s="26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>
        <v>403.14</v>
      </c>
      <c r="AO277" s="17">
        <v>418.91800000000001</v>
      </c>
      <c r="AP277" s="17"/>
      <c r="AQ277" s="17"/>
      <c r="AR277" s="17"/>
      <c r="AS277" s="17"/>
      <c r="AT277" s="17"/>
      <c r="AU277" s="17"/>
      <c r="AV277" s="17"/>
      <c r="AW277" s="17">
        <v>500.90100000000001</v>
      </c>
    </row>
    <row r="278" spans="1:49" x14ac:dyDescent="0.35">
      <c r="A278" s="3">
        <f t="shared" si="33"/>
        <v>261</v>
      </c>
      <c r="B278" s="17"/>
      <c r="C278" s="17"/>
      <c r="D278" s="17">
        <v>450.74400000000003</v>
      </c>
      <c r="E278" s="17">
        <v>453.76499999999999</v>
      </c>
      <c r="F278" s="17">
        <v>437.4</v>
      </c>
      <c r="G278" s="17">
        <v>414.41199999999998</v>
      </c>
      <c r="H278" s="17"/>
      <c r="I278" s="17"/>
      <c r="J278" s="17"/>
      <c r="K278" s="23"/>
      <c r="L278" s="17">
        <v>560.83900000000006</v>
      </c>
      <c r="M278" s="17"/>
      <c r="N278" s="17">
        <v>463.279</v>
      </c>
      <c r="O278" s="17">
        <v>441.017</v>
      </c>
      <c r="P278" s="17">
        <v>417.58800000000002</v>
      </c>
      <c r="Q278" s="17">
        <v>441.73</v>
      </c>
      <c r="R278" s="17"/>
      <c r="S278" s="17">
        <v>423.63299999999998</v>
      </c>
      <c r="T278" s="17"/>
      <c r="U278" s="17">
        <v>403.12099999999998</v>
      </c>
      <c r="V278" s="17">
        <v>421.64499999999998</v>
      </c>
      <c r="W278" s="17">
        <v>434.67399999999998</v>
      </c>
      <c r="X278" s="17">
        <v>454.35899999999998</v>
      </c>
      <c r="Y278" s="17">
        <v>571.84299999999996</v>
      </c>
      <c r="Z278" s="17">
        <v>473.21199999999999</v>
      </c>
      <c r="AA278" s="17">
        <v>442.87099999999998</v>
      </c>
      <c r="AB278" s="17"/>
      <c r="AC278" s="17"/>
      <c r="AD278" s="26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>
        <v>401.46600000000001</v>
      </c>
      <c r="AO278" s="17">
        <v>419.80700000000002</v>
      </c>
      <c r="AP278" s="17"/>
      <c r="AQ278" s="17"/>
      <c r="AR278" s="17"/>
      <c r="AS278" s="17"/>
      <c r="AT278" s="17"/>
      <c r="AU278" s="17"/>
      <c r="AV278" s="17"/>
      <c r="AW278" s="17">
        <v>501.96600000000001</v>
      </c>
    </row>
    <row r="279" spans="1:49" x14ac:dyDescent="0.35">
      <c r="A279" s="3">
        <f t="shared" si="33"/>
        <v>262</v>
      </c>
      <c r="B279" s="17"/>
      <c r="C279" s="17"/>
      <c r="D279" s="17">
        <v>450.34800000000001</v>
      </c>
      <c r="E279" s="17">
        <v>453.39699999999999</v>
      </c>
      <c r="F279" s="17">
        <v>436.75799999999998</v>
      </c>
      <c r="G279" s="17">
        <v>412.14800000000002</v>
      </c>
      <c r="H279" s="17"/>
      <c r="I279" s="17"/>
      <c r="J279" s="17"/>
      <c r="K279" s="23"/>
      <c r="L279" s="17">
        <v>562.07000000000005</v>
      </c>
      <c r="M279" s="17"/>
      <c r="N279" s="17">
        <v>463.06099999999998</v>
      </c>
      <c r="O279" s="17">
        <v>441.79500000000002</v>
      </c>
      <c r="P279" s="17">
        <v>417.15499999999997</v>
      </c>
      <c r="Q279" s="17">
        <v>441.13799999999998</v>
      </c>
      <c r="R279" s="17"/>
      <c r="S279" s="17">
        <v>423.58300000000003</v>
      </c>
      <c r="T279" s="17"/>
      <c r="U279" s="17">
        <v>403.786</v>
      </c>
      <c r="V279" s="17">
        <v>423.01900000000001</v>
      </c>
      <c r="W279" s="17">
        <v>436.88</v>
      </c>
      <c r="X279" s="17">
        <v>455.38099999999997</v>
      </c>
      <c r="Y279" s="17">
        <v>572.73699999999997</v>
      </c>
      <c r="Z279" s="17">
        <v>474.85300000000001</v>
      </c>
      <c r="AA279" s="17">
        <v>442.387</v>
      </c>
      <c r="AB279" s="17"/>
      <c r="AC279" s="17"/>
      <c r="AD279" s="26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>
        <v>402.404</v>
      </c>
      <c r="AO279" s="17">
        <v>420.27199999999999</v>
      </c>
      <c r="AP279" s="17"/>
      <c r="AQ279" s="17"/>
      <c r="AR279" s="17"/>
      <c r="AS279" s="17"/>
      <c r="AT279" s="17"/>
      <c r="AU279" s="17"/>
      <c r="AV279" s="17"/>
      <c r="AW279" s="17">
        <v>501.3</v>
      </c>
    </row>
    <row r="280" spans="1:49" x14ac:dyDescent="0.35">
      <c r="A280" s="3">
        <f t="shared" si="33"/>
        <v>263</v>
      </c>
      <c r="B280" s="17"/>
      <c r="C280" s="17"/>
      <c r="D280" s="17">
        <v>450.02199999999999</v>
      </c>
      <c r="E280" s="17">
        <v>453.23899999999998</v>
      </c>
      <c r="F280" s="17">
        <v>437.09100000000001</v>
      </c>
      <c r="G280" s="17">
        <v>413.24299999999999</v>
      </c>
      <c r="H280" s="17"/>
      <c r="I280" s="17"/>
      <c r="J280" s="17"/>
      <c r="K280" s="23"/>
      <c r="L280" s="17">
        <v>561.45699999999999</v>
      </c>
      <c r="M280" s="17"/>
      <c r="N280" s="17">
        <v>462.76400000000001</v>
      </c>
      <c r="O280" s="17">
        <v>441.79300000000001</v>
      </c>
      <c r="P280" s="17">
        <v>417.435</v>
      </c>
      <c r="Q280" s="17">
        <v>442.38099999999997</v>
      </c>
      <c r="R280" s="17"/>
      <c r="S280" s="17">
        <v>423.08199999999999</v>
      </c>
      <c r="T280" s="17"/>
      <c r="U280" s="17">
        <v>403.745</v>
      </c>
      <c r="V280" s="17">
        <v>423.077</v>
      </c>
      <c r="W280" s="17">
        <v>437.173</v>
      </c>
      <c r="X280" s="17">
        <v>454.267</v>
      </c>
      <c r="Y280" s="17">
        <v>573.86400000000003</v>
      </c>
      <c r="Z280" s="17">
        <v>475.83300000000003</v>
      </c>
      <c r="AA280" s="17">
        <v>441.959</v>
      </c>
      <c r="AB280" s="17"/>
      <c r="AC280" s="17"/>
      <c r="AD280" s="26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>
        <v>402.86700000000002</v>
      </c>
      <c r="AO280" s="17">
        <v>418.30500000000001</v>
      </c>
      <c r="AP280" s="17"/>
      <c r="AQ280" s="17"/>
      <c r="AR280" s="17"/>
      <c r="AS280" s="17"/>
      <c r="AT280" s="17"/>
      <c r="AU280" s="17"/>
      <c r="AV280" s="17"/>
      <c r="AW280" s="17">
        <v>501.322</v>
      </c>
    </row>
    <row r="281" spans="1:49" x14ac:dyDescent="0.35">
      <c r="A281" s="3">
        <f t="shared" si="33"/>
        <v>264</v>
      </c>
      <c r="B281" s="17"/>
      <c r="C281" s="17"/>
      <c r="D281" s="17">
        <v>451.077</v>
      </c>
      <c r="E281" s="17">
        <v>453.54700000000003</v>
      </c>
      <c r="F281" s="17">
        <v>437.54599999999999</v>
      </c>
      <c r="G281" s="17">
        <v>414.35700000000003</v>
      </c>
      <c r="H281" s="17"/>
      <c r="I281" s="17"/>
      <c r="J281" s="17"/>
      <c r="K281" s="23"/>
      <c r="L281" s="17">
        <v>562.06899999999996</v>
      </c>
      <c r="M281" s="17"/>
      <c r="N281" s="17">
        <v>463.77199999999999</v>
      </c>
      <c r="O281" s="17">
        <v>442.23599999999999</v>
      </c>
      <c r="P281" s="17">
        <v>416.17700000000002</v>
      </c>
      <c r="Q281" s="17">
        <v>442.22699999999998</v>
      </c>
      <c r="R281" s="17"/>
      <c r="S281" s="17">
        <v>424.73500000000001</v>
      </c>
      <c r="T281" s="17"/>
      <c r="U281" s="17">
        <v>404.113</v>
      </c>
      <c r="V281" s="17">
        <v>423.03800000000001</v>
      </c>
      <c r="W281" s="17">
        <v>436.60899999999998</v>
      </c>
      <c r="X281" s="17">
        <v>453.54599999999999</v>
      </c>
      <c r="Y281" s="17">
        <v>573.67399999999998</v>
      </c>
      <c r="Z281" s="17">
        <v>472.81299999999999</v>
      </c>
      <c r="AA281" s="17">
        <v>443.78399999999999</v>
      </c>
      <c r="AB281" s="17"/>
      <c r="AC281" s="17"/>
      <c r="AD281" s="26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>
        <v>403.39600000000002</v>
      </c>
      <c r="AO281" s="17">
        <v>418.99400000000003</v>
      </c>
      <c r="AP281" s="17"/>
      <c r="AQ281" s="17"/>
      <c r="AR281" s="17"/>
      <c r="AS281" s="17"/>
      <c r="AT281" s="17"/>
      <c r="AU281" s="17"/>
      <c r="AV281" s="17"/>
      <c r="AW281" s="17">
        <v>501.83499999999998</v>
      </c>
    </row>
    <row r="282" spans="1:49" x14ac:dyDescent="0.35">
      <c r="A282" s="3">
        <f t="shared" si="33"/>
        <v>265</v>
      </c>
      <c r="B282" s="17"/>
      <c r="C282" s="17"/>
      <c r="D282" s="17">
        <v>450.95100000000002</v>
      </c>
      <c r="E282" s="17">
        <v>453.64100000000002</v>
      </c>
      <c r="F282" s="17">
        <v>437.48099999999999</v>
      </c>
      <c r="G282" s="17">
        <v>412.42599999999999</v>
      </c>
      <c r="H282" s="17"/>
      <c r="I282" s="17"/>
      <c r="J282" s="17"/>
      <c r="K282" s="23"/>
      <c r="L282" s="17">
        <v>561.726</v>
      </c>
      <c r="M282" s="17"/>
      <c r="N282" s="17">
        <v>464.00799999999998</v>
      </c>
      <c r="O282" s="17">
        <v>441.74900000000002</v>
      </c>
      <c r="P282" s="17">
        <v>416.61900000000003</v>
      </c>
      <c r="Q282" s="17">
        <v>443.40600000000001</v>
      </c>
      <c r="R282" s="17"/>
      <c r="S282" s="17">
        <v>424.75599999999997</v>
      </c>
      <c r="T282" s="17"/>
      <c r="U282" s="17">
        <v>403.69499999999999</v>
      </c>
      <c r="V282" s="17">
        <v>423.41899999999998</v>
      </c>
      <c r="W282" s="17">
        <v>435.11</v>
      </c>
      <c r="X282" s="17">
        <v>454.27800000000002</v>
      </c>
      <c r="Y282" s="17">
        <v>572.71400000000006</v>
      </c>
      <c r="Z282" s="17">
        <v>473.68700000000001</v>
      </c>
      <c r="AA282" s="17">
        <v>442.80500000000001</v>
      </c>
      <c r="AB282" s="17"/>
      <c r="AC282" s="17"/>
      <c r="AD282" s="26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>
        <v>403.55500000000001</v>
      </c>
      <c r="AO282" s="17">
        <v>418.48500000000001</v>
      </c>
      <c r="AP282" s="17"/>
      <c r="AQ282" s="17"/>
      <c r="AR282" s="17"/>
      <c r="AS282" s="17"/>
      <c r="AT282" s="17"/>
      <c r="AU282" s="17"/>
      <c r="AV282" s="17"/>
      <c r="AW282" s="17">
        <v>501.64299999999997</v>
      </c>
    </row>
    <row r="283" spans="1:49" x14ac:dyDescent="0.35">
      <c r="A283" s="3">
        <f t="shared" si="33"/>
        <v>266</v>
      </c>
      <c r="B283" s="17"/>
      <c r="C283" s="17"/>
      <c r="D283" s="17">
        <v>451.32600000000002</v>
      </c>
      <c r="E283" s="17">
        <v>452.57900000000001</v>
      </c>
      <c r="F283" s="17">
        <v>437.084</v>
      </c>
      <c r="G283" s="17">
        <v>414.12</v>
      </c>
      <c r="H283" s="17"/>
      <c r="I283" s="17"/>
      <c r="J283" s="17"/>
      <c r="K283" s="23"/>
      <c r="L283" s="17">
        <v>562.45100000000002</v>
      </c>
      <c r="M283" s="17"/>
      <c r="N283" s="17">
        <v>464.32100000000003</v>
      </c>
      <c r="O283" s="17">
        <v>441.63499999999999</v>
      </c>
      <c r="P283" s="17">
        <v>416.38200000000001</v>
      </c>
      <c r="Q283" s="17">
        <v>442.93599999999998</v>
      </c>
      <c r="R283" s="17"/>
      <c r="S283" s="17">
        <v>423.60199999999998</v>
      </c>
      <c r="T283" s="17"/>
      <c r="U283" s="17">
        <v>404.803</v>
      </c>
      <c r="V283" s="17">
        <v>423.26299999999998</v>
      </c>
      <c r="W283" s="17">
        <v>435.303</v>
      </c>
      <c r="X283" s="17">
        <v>452.84399999999999</v>
      </c>
      <c r="Y283" s="17">
        <v>573.93700000000001</v>
      </c>
      <c r="Z283" s="17">
        <v>473.62200000000001</v>
      </c>
      <c r="AA283" s="17">
        <v>443.17899999999997</v>
      </c>
      <c r="AB283" s="17"/>
      <c r="AC283" s="17"/>
      <c r="AD283" s="26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>
        <v>404.529</v>
      </c>
      <c r="AO283" s="17">
        <v>419.01499999999999</v>
      </c>
      <c r="AP283" s="17"/>
      <c r="AQ283" s="17"/>
      <c r="AR283" s="17"/>
      <c r="AS283" s="17"/>
      <c r="AT283" s="17"/>
      <c r="AU283" s="17"/>
      <c r="AV283" s="17"/>
      <c r="AW283" s="17">
        <v>500.79500000000002</v>
      </c>
    </row>
    <row r="284" spans="1:49" x14ac:dyDescent="0.35">
      <c r="A284" s="3">
        <f t="shared" si="33"/>
        <v>267</v>
      </c>
      <c r="B284" s="17"/>
      <c r="C284" s="17"/>
      <c r="D284" s="17">
        <v>451.29899999999998</v>
      </c>
      <c r="E284" s="17">
        <v>452.65899999999999</v>
      </c>
      <c r="F284" s="17">
        <v>437.358</v>
      </c>
      <c r="G284" s="17">
        <v>415.34500000000003</v>
      </c>
      <c r="H284" s="17"/>
      <c r="I284" s="17"/>
      <c r="J284" s="17"/>
      <c r="K284" s="23"/>
      <c r="L284" s="17">
        <v>562.47799999999995</v>
      </c>
      <c r="M284" s="17"/>
      <c r="N284" s="17">
        <v>465.45800000000003</v>
      </c>
      <c r="O284" s="17">
        <v>441.61099999999999</v>
      </c>
      <c r="P284" s="17">
        <v>416.67</v>
      </c>
      <c r="Q284" s="17">
        <v>442.327</v>
      </c>
      <c r="R284" s="17"/>
      <c r="S284" s="17">
        <v>423.62400000000002</v>
      </c>
      <c r="T284" s="17"/>
      <c r="U284" s="17">
        <v>404.27</v>
      </c>
      <c r="V284" s="17">
        <v>423.20600000000002</v>
      </c>
      <c r="W284" s="17">
        <v>436.56200000000001</v>
      </c>
      <c r="X284" s="17">
        <v>452.798</v>
      </c>
      <c r="Y284" s="17">
        <v>573.75900000000001</v>
      </c>
      <c r="Z284" s="17">
        <v>473.72300000000001</v>
      </c>
      <c r="AA284" s="17">
        <v>442.20400000000001</v>
      </c>
      <c r="AB284" s="17"/>
      <c r="AC284" s="17"/>
      <c r="AD284" s="26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>
        <v>402.81299999999999</v>
      </c>
      <c r="AO284" s="17">
        <v>418.49599999999998</v>
      </c>
      <c r="AP284" s="17"/>
      <c r="AQ284" s="17"/>
      <c r="AR284" s="17"/>
      <c r="AS284" s="17"/>
      <c r="AT284" s="17"/>
      <c r="AU284" s="17"/>
      <c r="AV284" s="17"/>
      <c r="AW284" s="17">
        <v>502.26100000000002</v>
      </c>
    </row>
    <row r="285" spans="1:49" x14ac:dyDescent="0.35">
      <c r="A285" s="3">
        <f t="shared" si="33"/>
        <v>268</v>
      </c>
      <c r="B285" s="17"/>
      <c r="C285" s="17"/>
      <c r="D285" s="17">
        <v>451.30500000000001</v>
      </c>
      <c r="E285" s="17">
        <v>452.72300000000001</v>
      </c>
      <c r="F285" s="17">
        <v>436.96899999999999</v>
      </c>
      <c r="G285" s="17">
        <v>414.34399999999999</v>
      </c>
      <c r="H285" s="17"/>
      <c r="I285" s="17"/>
      <c r="J285" s="17"/>
      <c r="K285" s="23"/>
      <c r="L285" s="17">
        <v>562.21500000000003</v>
      </c>
      <c r="M285" s="17"/>
      <c r="N285" s="17">
        <v>463.77699999999999</v>
      </c>
      <c r="O285" s="17">
        <v>442.26900000000001</v>
      </c>
      <c r="P285" s="17">
        <v>417.96199999999999</v>
      </c>
      <c r="Q285" s="17">
        <v>441.89299999999997</v>
      </c>
      <c r="R285" s="17"/>
      <c r="S285" s="17">
        <v>423.97899999999998</v>
      </c>
      <c r="T285" s="17"/>
      <c r="U285" s="17">
        <v>404.27100000000002</v>
      </c>
      <c r="V285" s="17">
        <v>424.34500000000003</v>
      </c>
      <c r="W285" s="17">
        <v>435.46300000000002</v>
      </c>
      <c r="X285" s="17">
        <v>453.58600000000001</v>
      </c>
      <c r="Y285" s="17">
        <v>573.04700000000003</v>
      </c>
      <c r="Z285" s="17">
        <v>474.64499999999998</v>
      </c>
      <c r="AA285" s="17">
        <v>442.15100000000001</v>
      </c>
      <c r="AB285" s="17"/>
      <c r="AC285" s="17"/>
      <c r="AD285" s="26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>
        <v>403.48500000000001</v>
      </c>
      <c r="AO285" s="17">
        <v>418.09500000000003</v>
      </c>
      <c r="AP285" s="17"/>
      <c r="AQ285" s="17"/>
      <c r="AR285" s="17"/>
      <c r="AS285" s="17"/>
      <c r="AT285" s="17"/>
      <c r="AU285" s="17"/>
      <c r="AV285" s="17"/>
      <c r="AW285" s="17">
        <v>502.35899999999998</v>
      </c>
    </row>
    <row r="286" spans="1:49" x14ac:dyDescent="0.35">
      <c r="A286" s="3">
        <f t="shared" si="33"/>
        <v>269</v>
      </c>
      <c r="B286" s="17"/>
      <c r="C286" s="17"/>
      <c r="D286" s="17">
        <v>452.42599999999999</v>
      </c>
      <c r="E286" s="17">
        <v>452.47</v>
      </c>
      <c r="F286" s="17">
        <v>438</v>
      </c>
      <c r="G286" s="17">
        <v>415.42200000000003</v>
      </c>
      <c r="H286" s="17"/>
      <c r="I286" s="17"/>
      <c r="J286" s="17"/>
      <c r="K286" s="23"/>
      <c r="L286" s="17">
        <v>561.94899999999996</v>
      </c>
      <c r="M286" s="17"/>
      <c r="N286" s="17">
        <v>465.52600000000001</v>
      </c>
      <c r="O286" s="17">
        <v>442.43900000000002</v>
      </c>
      <c r="P286" s="17">
        <v>417.40800000000002</v>
      </c>
      <c r="Q286" s="17">
        <v>443.24799999999999</v>
      </c>
      <c r="R286" s="17"/>
      <c r="S286" s="17">
        <v>423.78699999999998</v>
      </c>
      <c r="T286" s="17"/>
      <c r="U286" s="17">
        <v>404.09100000000001</v>
      </c>
      <c r="V286" s="17">
        <v>424.94099999999997</v>
      </c>
      <c r="W286" s="17">
        <v>435.74599999999998</v>
      </c>
      <c r="X286" s="17">
        <v>453.82</v>
      </c>
      <c r="Y286" s="17">
        <v>572.846</v>
      </c>
      <c r="Z286" s="17">
        <v>476.06599999999997</v>
      </c>
      <c r="AA286" s="17">
        <v>441.74400000000003</v>
      </c>
      <c r="AB286" s="17"/>
      <c r="AC286" s="17"/>
      <c r="AD286" s="26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>
        <v>403.79500000000002</v>
      </c>
      <c r="AO286" s="17">
        <v>417.70400000000001</v>
      </c>
      <c r="AP286" s="17"/>
      <c r="AQ286" s="17"/>
      <c r="AR286" s="17"/>
      <c r="AS286" s="17"/>
      <c r="AT286" s="17"/>
      <c r="AU286" s="17"/>
      <c r="AV286" s="17"/>
      <c r="AW286" s="17">
        <v>502.166</v>
      </c>
    </row>
    <row r="287" spans="1:49" x14ac:dyDescent="0.35">
      <c r="A287" s="3">
        <f t="shared" si="33"/>
        <v>270</v>
      </c>
      <c r="B287" s="17"/>
      <c r="C287" s="17"/>
      <c r="D287" s="17">
        <v>451.22800000000001</v>
      </c>
      <c r="E287" s="17">
        <v>453.517</v>
      </c>
      <c r="F287" s="17">
        <v>436.59699999999998</v>
      </c>
      <c r="G287" s="17">
        <v>414.69</v>
      </c>
      <c r="H287" s="17"/>
      <c r="I287" s="17"/>
      <c r="J287" s="17"/>
      <c r="K287" s="23"/>
      <c r="L287" s="17">
        <v>562.05899999999997</v>
      </c>
      <c r="M287" s="17"/>
      <c r="N287" s="17">
        <v>464.50599999999997</v>
      </c>
      <c r="O287" s="17">
        <v>441.40699999999998</v>
      </c>
      <c r="P287" s="17">
        <v>417.53800000000001</v>
      </c>
      <c r="Q287" s="17">
        <v>443.09100000000001</v>
      </c>
      <c r="R287" s="17"/>
      <c r="S287" s="17">
        <v>423.221</v>
      </c>
      <c r="T287" s="17"/>
      <c r="U287" s="17">
        <v>404.41500000000002</v>
      </c>
      <c r="V287" s="17">
        <v>423.733</v>
      </c>
      <c r="W287" s="17">
        <v>437.23500000000001</v>
      </c>
      <c r="X287" s="17">
        <v>453.96300000000002</v>
      </c>
      <c r="Y287" s="17">
        <v>572.87699999999995</v>
      </c>
      <c r="Z287" s="17">
        <v>473.71899999999999</v>
      </c>
      <c r="AA287" s="17">
        <v>444.11700000000002</v>
      </c>
      <c r="AB287" s="17"/>
      <c r="AC287" s="17"/>
      <c r="AD287" s="26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>
        <v>403.69099999999997</v>
      </c>
      <c r="AO287" s="17">
        <v>418.96199999999999</v>
      </c>
      <c r="AP287" s="17"/>
      <c r="AQ287" s="17"/>
      <c r="AR287" s="17"/>
      <c r="AS287" s="17"/>
      <c r="AT287" s="17"/>
      <c r="AU287" s="17"/>
      <c r="AV287" s="17"/>
      <c r="AW287" s="17">
        <v>503.03500000000003</v>
      </c>
    </row>
    <row r="288" spans="1:49" x14ac:dyDescent="0.35">
      <c r="A288" s="3">
        <f t="shared" si="33"/>
        <v>271</v>
      </c>
      <c r="B288" s="17"/>
      <c r="C288" s="17"/>
      <c r="D288" s="17">
        <v>451.601</v>
      </c>
      <c r="E288" s="17">
        <v>452.41500000000002</v>
      </c>
      <c r="F288" s="17">
        <v>437.09300000000002</v>
      </c>
      <c r="G288" s="17">
        <v>414.803</v>
      </c>
      <c r="H288" s="17"/>
      <c r="I288" s="17"/>
      <c r="J288" s="17"/>
      <c r="K288" s="23"/>
      <c r="L288" s="17">
        <v>563.10699999999997</v>
      </c>
      <c r="M288" s="17"/>
      <c r="N288" s="17">
        <v>464.90699999999998</v>
      </c>
      <c r="O288" s="17">
        <v>441.72500000000002</v>
      </c>
      <c r="P288" s="17">
        <v>417.22399999999999</v>
      </c>
      <c r="Q288" s="17">
        <v>443.73700000000002</v>
      </c>
      <c r="R288" s="17"/>
      <c r="S288" s="17">
        <v>424.07600000000002</v>
      </c>
      <c r="T288" s="17"/>
      <c r="U288" s="17">
        <v>405.637</v>
      </c>
      <c r="V288" s="17">
        <v>426.31099999999998</v>
      </c>
      <c r="W288" s="17">
        <v>434.61399999999998</v>
      </c>
      <c r="X288" s="17">
        <v>453.72199999999998</v>
      </c>
      <c r="Y288" s="17">
        <v>573.65300000000002</v>
      </c>
      <c r="Z288" s="17">
        <v>475.642</v>
      </c>
      <c r="AA288" s="17">
        <v>443.95</v>
      </c>
      <c r="AB288" s="17"/>
      <c r="AC288" s="17"/>
      <c r="AD288" s="26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>
        <v>403.99299999999999</v>
      </c>
      <c r="AO288" s="17">
        <v>418.76</v>
      </c>
      <c r="AP288" s="17"/>
      <c r="AQ288" s="17"/>
      <c r="AR288" s="17"/>
      <c r="AS288" s="17"/>
      <c r="AT288" s="17"/>
      <c r="AU288" s="17"/>
      <c r="AV288" s="17"/>
      <c r="AW288" s="17">
        <v>503.339</v>
      </c>
    </row>
    <row r="289" spans="1:49" x14ac:dyDescent="0.35">
      <c r="A289" s="3">
        <f t="shared" si="33"/>
        <v>272</v>
      </c>
      <c r="B289" s="17"/>
      <c r="C289" s="17"/>
      <c r="D289" s="17">
        <v>453.13200000000001</v>
      </c>
      <c r="E289" s="17">
        <v>451.69099999999997</v>
      </c>
      <c r="F289" s="17">
        <v>437.81599999999997</v>
      </c>
      <c r="G289" s="17">
        <v>415.74299999999999</v>
      </c>
      <c r="H289" s="17"/>
      <c r="I289" s="17"/>
      <c r="J289" s="17"/>
      <c r="K289" s="23"/>
      <c r="L289" s="17">
        <v>563.44000000000005</v>
      </c>
      <c r="M289" s="17"/>
      <c r="N289" s="17">
        <v>465.68099999999998</v>
      </c>
      <c r="O289" s="17">
        <v>441.81599999999997</v>
      </c>
      <c r="P289" s="17">
        <v>417.75</v>
      </c>
      <c r="Q289" s="17">
        <v>444.26900000000001</v>
      </c>
      <c r="R289" s="17"/>
      <c r="S289" s="17">
        <v>423.911</v>
      </c>
      <c r="T289" s="17"/>
      <c r="U289" s="17">
        <v>404.66699999999997</v>
      </c>
      <c r="V289" s="17">
        <v>424.35300000000001</v>
      </c>
      <c r="W289" s="17">
        <v>437.39600000000002</v>
      </c>
      <c r="X289" s="17">
        <v>453.14</v>
      </c>
      <c r="Y289" s="17">
        <v>574.53700000000003</v>
      </c>
      <c r="Z289" s="17">
        <v>475.38200000000001</v>
      </c>
      <c r="AA289" s="17">
        <v>441.53100000000001</v>
      </c>
      <c r="AB289" s="17"/>
      <c r="AC289" s="17"/>
      <c r="AD289" s="26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>
        <v>402.40300000000002</v>
      </c>
      <c r="AO289" s="17">
        <v>419.46899999999999</v>
      </c>
      <c r="AP289" s="17"/>
      <c r="AQ289" s="17"/>
      <c r="AR289" s="17"/>
      <c r="AS289" s="17"/>
      <c r="AT289" s="17"/>
      <c r="AU289" s="17"/>
      <c r="AV289" s="17"/>
      <c r="AW289" s="17">
        <v>504.18799999999999</v>
      </c>
    </row>
    <row r="290" spans="1:49" x14ac:dyDescent="0.35">
      <c r="A290" s="3">
        <f t="shared" si="33"/>
        <v>273</v>
      </c>
      <c r="B290" s="17"/>
      <c r="C290" s="17"/>
      <c r="D290" s="17">
        <v>452.779</v>
      </c>
      <c r="E290" s="17">
        <v>452.79</v>
      </c>
      <c r="F290" s="17">
        <v>437.63499999999999</v>
      </c>
      <c r="G290" s="17">
        <v>415.52300000000002</v>
      </c>
      <c r="H290" s="17"/>
      <c r="I290" s="17"/>
      <c r="J290" s="17"/>
      <c r="K290" s="23"/>
      <c r="L290" s="17">
        <v>563.25400000000002</v>
      </c>
      <c r="M290" s="17"/>
      <c r="N290" s="17">
        <v>466.05099999999999</v>
      </c>
      <c r="O290" s="17">
        <v>441.03199999999998</v>
      </c>
      <c r="P290" s="17">
        <v>419.4</v>
      </c>
      <c r="Q290" s="17">
        <v>443.83499999999998</v>
      </c>
      <c r="R290" s="17"/>
      <c r="S290" s="17">
        <v>424.09699999999998</v>
      </c>
      <c r="T290" s="17"/>
      <c r="U290" s="17">
        <v>406.32299999999998</v>
      </c>
      <c r="V290" s="17">
        <v>426.45699999999999</v>
      </c>
      <c r="W290" s="17">
        <v>434.988</v>
      </c>
      <c r="X290" s="17">
        <v>453.09100000000001</v>
      </c>
      <c r="Y290" s="17">
        <v>574.86300000000006</v>
      </c>
      <c r="Z290" s="17">
        <v>475.87799999999999</v>
      </c>
      <c r="AA290" s="17">
        <v>441.447</v>
      </c>
      <c r="AB290" s="17"/>
      <c r="AC290" s="17"/>
      <c r="AD290" s="26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>
        <v>403.56099999999998</v>
      </c>
      <c r="AO290" s="17">
        <v>419.35399999999998</v>
      </c>
      <c r="AP290" s="17"/>
      <c r="AQ290" s="17"/>
      <c r="AR290" s="17"/>
      <c r="AS290" s="17"/>
      <c r="AT290" s="17"/>
      <c r="AU290" s="17"/>
      <c r="AV290" s="17"/>
      <c r="AW290" s="17">
        <v>502.25900000000001</v>
      </c>
    </row>
    <row r="291" spans="1:49" x14ac:dyDescent="0.35">
      <c r="A291" s="3">
        <f t="shared" si="33"/>
        <v>274</v>
      </c>
      <c r="B291" s="17"/>
      <c r="C291" s="17"/>
      <c r="D291" s="17">
        <v>453.6</v>
      </c>
      <c r="E291" s="17">
        <v>452.38499999999999</v>
      </c>
      <c r="F291" s="17">
        <v>437.51499999999999</v>
      </c>
      <c r="G291" s="17">
        <v>415.35700000000003</v>
      </c>
      <c r="H291" s="17"/>
      <c r="I291" s="17"/>
      <c r="J291" s="17"/>
      <c r="K291" s="23"/>
      <c r="L291" s="17">
        <v>563.16300000000001</v>
      </c>
      <c r="M291" s="17"/>
      <c r="N291" s="17">
        <v>465.59399999999999</v>
      </c>
      <c r="O291" s="17">
        <v>440.99799999999999</v>
      </c>
      <c r="P291" s="17">
        <v>416.65899999999999</v>
      </c>
      <c r="Q291" s="17">
        <v>443.31</v>
      </c>
      <c r="R291" s="17"/>
      <c r="S291" s="17">
        <v>424.12599999999998</v>
      </c>
      <c r="T291" s="17"/>
      <c r="U291" s="17">
        <v>405.37599999999998</v>
      </c>
      <c r="V291" s="17">
        <v>426.10199999999998</v>
      </c>
      <c r="W291" s="17">
        <v>437.14800000000002</v>
      </c>
      <c r="X291" s="17">
        <v>454.416</v>
      </c>
      <c r="Y291" s="17">
        <v>575.32100000000003</v>
      </c>
      <c r="Z291" s="17">
        <v>476.44400000000002</v>
      </c>
      <c r="AA291" s="17">
        <v>443.97899999999998</v>
      </c>
      <c r="AB291" s="17"/>
      <c r="AC291" s="17"/>
      <c r="AD291" s="26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>
        <v>403.17</v>
      </c>
      <c r="AO291" s="17">
        <v>420.96699999999998</v>
      </c>
      <c r="AP291" s="17"/>
      <c r="AQ291" s="17"/>
      <c r="AR291" s="17"/>
      <c r="AS291" s="17"/>
      <c r="AT291" s="17"/>
      <c r="AU291" s="17"/>
      <c r="AV291" s="17"/>
      <c r="AW291" s="17">
        <v>502.68900000000002</v>
      </c>
    </row>
    <row r="292" spans="1:49" x14ac:dyDescent="0.35">
      <c r="A292" s="3">
        <f t="shared" si="33"/>
        <v>275</v>
      </c>
      <c r="B292" s="17"/>
      <c r="C292" s="17"/>
      <c r="D292" s="17">
        <v>453.91800000000001</v>
      </c>
      <c r="E292" s="17">
        <v>452.637</v>
      </c>
      <c r="F292" s="17">
        <v>437.27199999999999</v>
      </c>
      <c r="G292" s="17">
        <v>414.39499999999998</v>
      </c>
      <c r="H292" s="17"/>
      <c r="I292" s="17"/>
      <c r="J292" s="17"/>
      <c r="K292" s="23"/>
      <c r="L292" s="17">
        <v>563.673</v>
      </c>
      <c r="M292" s="17"/>
      <c r="N292" s="17">
        <v>466.37299999999999</v>
      </c>
      <c r="O292" s="17">
        <v>442.60599999999999</v>
      </c>
      <c r="P292" s="17">
        <v>417.82600000000002</v>
      </c>
      <c r="Q292" s="17">
        <v>443.43400000000003</v>
      </c>
      <c r="R292" s="17"/>
      <c r="S292" s="17">
        <v>425.02</v>
      </c>
      <c r="T292" s="17"/>
      <c r="U292" s="17">
        <v>406.55900000000003</v>
      </c>
      <c r="V292" s="17">
        <v>424.65499999999997</v>
      </c>
      <c r="W292" s="17">
        <v>435.37799999999999</v>
      </c>
      <c r="X292" s="17">
        <v>454.01499999999999</v>
      </c>
      <c r="Y292" s="17">
        <v>576.74300000000005</v>
      </c>
      <c r="Z292" s="17">
        <v>475.15100000000001</v>
      </c>
      <c r="AA292" s="17">
        <v>442.76600000000002</v>
      </c>
      <c r="AB292" s="17"/>
      <c r="AC292" s="17"/>
      <c r="AD292" s="26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>
        <v>402.411</v>
      </c>
      <c r="AO292" s="17">
        <v>419.06700000000001</v>
      </c>
      <c r="AP292" s="17"/>
      <c r="AQ292" s="17"/>
      <c r="AR292" s="17"/>
      <c r="AS292" s="17"/>
      <c r="AT292" s="17"/>
      <c r="AU292" s="17"/>
      <c r="AV292" s="17"/>
      <c r="AW292" s="17">
        <v>503.38900000000001</v>
      </c>
    </row>
    <row r="293" spans="1:49" x14ac:dyDescent="0.35">
      <c r="A293" s="3">
        <f t="shared" si="33"/>
        <v>276</v>
      </c>
      <c r="B293" s="17"/>
      <c r="C293" s="17"/>
      <c r="D293" s="17">
        <v>453.37799999999999</v>
      </c>
      <c r="E293" s="17">
        <v>452.71</v>
      </c>
      <c r="F293" s="17">
        <v>437.79899999999998</v>
      </c>
      <c r="G293" s="17">
        <v>414.185</v>
      </c>
      <c r="H293" s="17"/>
      <c r="I293" s="17"/>
      <c r="J293" s="17"/>
      <c r="K293" s="23"/>
      <c r="L293" s="17">
        <v>563.43100000000004</v>
      </c>
      <c r="M293" s="17"/>
      <c r="N293" s="17">
        <v>466.48599999999999</v>
      </c>
      <c r="O293" s="17">
        <v>442.73700000000002</v>
      </c>
      <c r="P293" s="17">
        <v>417.411</v>
      </c>
      <c r="Q293" s="17">
        <v>445.62099999999998</v>
      </c>
      <c r="R293" s="17"/>
      <c r="S293" s="17">
        <v>423.81299999999999</v>
      </c>
      <c r="T293" s="17"/>
      <c r="U293" s="17">
        <v>407.06099999999998</v>
      </c>
      <c r="V293" s="17">
        <v>426.202</v>
      </c>
      <c r="W293" s="17">
        <v>438.21499999999997</v>
      </c>
      <c r="X293" s="17">
        <v>453.84800000000001</v>
      </c>
      <c r="Y293" s="17">
        <v>577.29300000000001</v>
      </c>
      <c r="Z293" s="17">
        <v>476.65600000000001</v>
      </c>
      <c r="AA293" s="17">
        <v>442.09100000000001</v>
      </c>
      <c r="AB293" s="17"/>
      <c r="AC293" s="17"/>
      <c r="AD293" s="26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>
        <v>402.685</v>
      </c>
      <c r="AO293" s="17">
        <v>419.16399999999999</v>
      </c>
      <c r="AP293" s="17"/>
      <c r="AQ293" s="17"/>
      <c r="AR293" s="17"/>
      <c r="AS293" s="17"/>
      <c r="AT293" s="17"/>
      <c r="AU293" s="17"/>
      <c r="AV293" s="17"/>
      <c r="AW293" s="17">
        <v>502.27499999999998</v>
      </c>
    </row>
    <row r="294" spans="1:49" x14ac:dyDescent="0.35">
      <c r="A294" s="3">
        <f t="shared" si="33"/>
        <v>277</v>
      </c>
      <c r="B294" s="17"/>
      <c r="C294" s="17"/>
      <c r="D294" s="17">
        <v>454.31</v>
      </c>
      <c r="E294" s="17">
        <v>453.11200000000002</v>
      </c>
      <c r="F294" s="17">
        <v>437.97399999999999</v>
      </c>
      <c r="G294" s="17">
        <v>415.71</v>
      </c>
      <c r="H294" s="17"/>
      <c r="I294" s="17"/>
      <c r="J294" s="17"/>
      <c r="K294" s="23"/>
      <c r="L294" s="17">
        <v>562.58699999999999</v>
      </c>
      <c r="M294" s="17"/>
      <c r="N294" s="17">
        <v>466.92</v>
      </c>
      <c r="O294" s="17">
        <v>441.39800000000002</v>
      </c>
      <c r="P294" s="17">
        <v>417.28</v>
      </c>
      <c r="Q294" s="17">
        <v>443.73099999999999</v>
      </c>
      <c r="R294" s="17"/>
      <c r="S294" s="17">
        <v>424.46300000000002</v>
      </c>
      <c r="T294" s="17"/>
      <c r="U294" s="17">
        <v>406.35199999999998</v>
      </c>
      <c r="V294" s="17">
        <v>424.54</v>
      </c>
      <c r="W294" s="17">
        <v>435.89499999999998</v>
      </c>
      <c r="X294" s="17">
        <v>454.18299999999999</v>
      </c>
      <c r="Y294" s="17">
        <v>578.78300000000002</v>
      </c>
      <c r="Z294" s="17">
        <v>475.971</v>
      </c>
      <c r="AA294" s="17">
        <v>444.072</v>
      </c>
      <c r="AB294" s="17"/>
      <c r="AC294" s="17"/>
      <c r="AD294" s="26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>
        <v>403.09899999999999</v>
      </c>
      <c r="AO294" s="17">
        <v>419.63499999999999</v>
      </c>
      <c r="AP294" s="17"/>
      <c r="AQ294" s="17"/>
      <c r="AR294" s="17"/>
      <c r="AS294" s="17"/>
      <c r="AT294" s="17"/>
      <c r="AU294" s="17"/>
      <c r="AV294" s="17"/>
      <c r="AW294" s="17">
        <v>503.03199999999998</v>
      </c>
    </row>
    <row r="295" spans="1:49" x14ac:dyDescent="0.35">
      <c r="A295" s="3">
        <f t="shared" si="33"/>
        <v>278</v>
      </c>
      <c r="B295" s="17"/>
      <c r="C295" s="17"/>
      <c r="D295" s="17">
        <v>454.56200000000001</v>
      </c>
      <c r="E295" s="17">
        <v>453.05599999999998</v>
      </c>
      <c r="F295" s="17">
        <v>437.13099999999997</v>
      </c>
      <c r="G295" s="17">
        <v>415.74599999999998</v>
      </c>
      <c r="H295" s="17"/>
      <c r="I295" s="17"/>
      <c r="J295" s="17"/>
      <c r="K295" s="23"/>
      <c r="L295" s="17">
        <v>563.20100000000002</v>
      </c>
      <c r="M295" s="17"/>
      <c r="N295" s="17">
        <v>466.33499999999998</v>
      </c>
      <c r="O295" s="17">
        <v>441.05</v>
      </c>
      <c r="P295" s="17">
        <v>418.73200000000003</v>
      </c>
      <c r="Q295" s="17">
        <v>445.084</v>
      </c>
      <c r="R295" s="17"/>
      <c r="S295" s="17">
        <v>423.99900000000002</v>
      </c>
      <c r="T295" s="17"/>
      <c r="U295" s="17">
        <v>406.60399999999998</v>
      </c>
      <c r="V295" s="17">
        <v>426.03500000000003</v>
      </c>
      <c r="W295" s="17">
        <v>436.30799999999999</v>
      </c>
      <c r="X295" s="17">
        <v>453.81900000000002</v>
      </c>
      <c r="Y295" s="17">
        <v>578.596</v>
      </c>
      <c r="Z295" s="17">
        <v>477.77800000000002</v>
      </c>
      <c r="AA295" s="17">
        <v>443.47500000000002</v>
      </c>
      <c r="AB295" s="17"/>
      <c r="AC295" s="17"/>
      <c r="AD295" s="26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>
        <v>403.52199999999999</v>
      </c>
      <c r="AO295" s="17">
        <v>418.57400000000001</v>
      </c>
      <c r="AP295" s="17"/>
      <c r="AQ295" s="17"/>
      <c r="AR295" s="17"/>
      <c r="AS295" s="17"/>
      <c r="AT295" s="17"/>
      <c r="AU295" s="17"/>
      <c r="AV295" s="17"/>
      <c r="AW295" s="17">
        <v>502.68200000000002</v>
      </c>
    </row>
    <row r="296" spans="1:49" x14ac:dyDescent="0.35">
      <c r="A296" s="3">
        <f t="shared" si="33"/>
        <v>279</v>
      </c>
      <c r="B296" s="17"/>
      <c r="C296" s="17"/>
      <c r="D296" s="17">
        <v>454.012</v>
      </c>
      <c r="E296" s="17">
        <v>453.48099999999999</v>
      </c>
      <c r="F296" s="17">
        <v>438.077</v>
      </c>
      <c r="G296" s="17">
        <v>416.45699999999999</v>
      </c>
      <c r="H296" s="17"/>
      <c r="I296" s="17"/>
      <c r="J296" s="17"/>
      <c r="K296" s="23"/>
      <c r="L296" s="17">
        <v>564.62199999999996</v>
      </c>
      <c r="M296" s="17"/>
      <c r="N296" s="17">
        <v>467.76900000000001</v>
      </c>
      <c r="O296" s="17">
        <v>442.65600000000001</v>
      </c>
      <c r="P296" s="17">
        <v>417.51299999999998</v>
      </c>
      <c r="Q296" s="17">
        <v>445.75</v>
      </c>
      <c r="R296" s="17"/>
      <c r="S296" s="17">
        <v>425.27800000000002</v>
      </c>
      <c r="T296" s="17"/>
      <c r="U296" s="17">
        <v>406.88799999999998</v>
      </c>
      <c r="V296" s="17">
        <v>425.56200000000001</v>
      </c>
      <c r="W296" s="17">
        <v>437.62299999999999</v>
      </c>
      <c r="X296" s="17">
        <v>454.92200000000003</v>
      </c>
      <c r="Y296" s="17">
        <v>579.15800000000002</v>
      </c>
      <c r="Z296" s="17">
        <v>476.48599999999999</v>
      </c>
      <c r="AA296" s="17">
        <v>441.65899999999999</v>
      </c>
      <c r="AB296" s="17"/>
      <c r="AC296" s="17"/>
      <c r="AD296" s="26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>
        <v>403.94400000000002</v>
      </c>
      <c r="AO296" s="17">
        <v>418.75099999999998</v>
      </c>
      <c r="AP296" s="17"/>
      <c r="AQ296" s="17"/>
      <c r="AR296" s="17"/>
      <c r="AS296" s="17"/>
      <c r="AT296" s="17"/>
      <c r="AU296" s="17"/>
      <c r="AV296" s="17"/>
      <c r="AW296" s="17">
        <v>502.93200000000002</v>
      </c>
    </row>
    <row r="297" spans="1:49" x14ac:dyDescent="0.35">
      <c r="A297" s="3">
        <f t="shared" si="33"/>
        <v>280</v>
      </c>
      <c r="B297" s="17"/>
      <c r="C297" s="17"/>
      <c r="D297" s="17">
        <v>453.392</v>
      </c>
      <c r="E297" s="17">
        <v>454.084</v>
      </c>
      <c r="F297" s="17">
        <v>438.01799999999997</v>
      </c>
      <c r="G297" s="17">
        <v>415.34199999999998</v>
      </c>
      <c r="H297" s="17"/>
      <c r="I297" s="17"/>
      <c r="J297" s="17"/>
      <c r="K297" s="23"/>
      <c r="L297" s="17">
        <v>564.51400000000001</v>
      </c>
      <c r="M297" s="17"/>
      <c r="N297" s="17">
        <v>468.28500000000003</v>
      </c>
      <c r="O297" s="17">
        <v>442.327</v>
      </c>
      <c r="P297" s="17">
        <v>418.53399999999999</v>
      </c>
      <c r="Q297" s="17">
        <v>444.536</v>
      </c>
      <c r="R297" s="17"/>
      <c r="S297" s="17">
        <v>424.27</v>
      </c>
      <c r="T297" s="17"/>
      <c r="U297" s="17">
        <v>407.64</v>
      </c>
      <c r="V297" s="17">
        <v>425.62400000000002</v>
      </c>
      <c r="W297" s="17">
        <v>437.74099999999999</v>
      </c>
      <c r="X297" s="17">
        <v>453.62700000000001</v>
      </c>
      <c r="Y297" s="17">
        <v>578.75800000000004</v>
      </c>
      <c r="Z297" s="17">
        <v>476.10199999999998</v>
      </c>
      <c r="AA297" s="17">
        <v>444.17899999999997</v>
      </c>
      <c r="AB297" s="17"/>
      <c r="AC297" s="17"/>
      <c r="AD297" s="26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>
        <v>404.77199999999999</v>
      </c>
      <c r="AO297" s="17">
        <v>419.30900000000003</v>
      </c>
      <c r="AP297" s="17"/>
      <c r="AQ297" s="17"/>
      <c r="AR297" s="17"/>
      <c r="AS297" s="17"/>
      <c r="AT297" s="17"/>
      <c r="AU297" s="17"/>
      <c r="AV297" s="17"/>
      <c r="AW297" s="17">
        <v>502.80799999999999</v>
      </c>
    </row>
    <row r="298" spans="1:49" x14ac:dyDescent="0.35">
      <c r="A298" s="3">
        <f t="shared" si="33"/>
        <v>281</v>
      </c>
      <c r="B298" s="17"/>
      <c r="C298" s="17"/>
      <c r="D298" s="17">
        <v>454.79399999999998</v>
      </c>
      <c r="E298" s="17">
        <v>453.66399999999999</v>
      </c>
      <c r="F298" s="17">
        <v>438.46300000000002</v>
      </c>
      <c r="G298" s="17">
        <v>417.10599999999999</v>
      </c>
      <c r="H298" s="17"/>
      <c r="I298" s="17"/>
      <c r="J298" s="17"/>
      <c r="K298" s="23"/>
      <c r="L298" s="17">
        <v>563.87099999999998</v>
      </c>
      <c r="M298" s="17"/>
      <c r="N298" s="17">
        <v>469.38799999999998</v>
      </c>
      <c r="O298" s="17">
        <v>441.08300000000003</v>
      </c>
      <c r="P298" s="17">
        <v>418.64499999999998</v>
      </c>
      <c r="Q298" s="17">
        <v>445.21800000000002</v>
      </c>
      <c r="R298" s="17"/>
      <c r="S298" s="17">
        <v>423.99799999999999</v>
      </c>
      <c r="T298" s="17"/>
      <c r="U298" s="17">
        <v>407.49</v>
      </c>
      <c r="V298" s="17">
        <v>426.43</v>
      </c>
      <c r="W298" s="17">
        <v>435.76400000000001</v>
      </c>
      <c r="X298" s="17">
        <v>455.52199999999999</v>
      </c>
      <c r="Y298" s="17">
        <v>578.71699999999998</v>
      </c>
      <c r="Z298" s="17">
        <v>477.81299999999999</v>
      </c>
      <c r="AA298" s="17">
        <v>444.08499999999998</v>
      </c>
      <c r="AB298" s="17"/>
      <c r="AC298" s="17"/>
      <c r="AD298" s="26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>
        <v>403.81200000000001</v>
      </c>
      <c r="AO298" s="17">
        <v>419.40300000000002</v>
      </c>
      <c r="AP298" s="17"/>
      <c r="AQ298" s="17"/>
      <c r="AR298" s="17"/>
      <c r="AS298" s="17"/>
      <c r="AT298" s="17"/>
      <c r="AU298" s="17"/>
      <c r="AV298" s="17"/>
      <c r="AW298" s="17">
        <v>503.041</v>
      </c>
    </row>
    <row r="299" spans="1:49" x14ac:dyDescent="0.35">
      <c r="A299" s="3">
        <f t="shared" si="33"/>
        <v>282</v>
      </c>
      <c r="B299" s="17"/>
      <c r="C299" s="17"/>
      <c r="D299" s="17">
        <v>454.19</v>
      </c>
      <c r="E299" s="17">
        <v>453.95</v>
      </c>
      <c r="F299" s="17">
        <v>437.76900000000001</v>
      </c>
      <c r="G299" s="17">
        <v>416.36599999999999</v>
      </c>
      <c r="H299" s="17"/>
      <c r="I299" s="17"/>
      <c r="J299" s="17"/>
      <c r="K299" s="23"/>
      <c r="L299" s="17">
        <v>563.80499999999995</v>
      </c>
      <c r="M299" s="17"/>
      <c r="N299" s="17">
        <v>469.50700000000001</v>
      </c>
      <c r="O299" s="17">
        <v>443.65499999999997</v>
      </c>
      <c r="P299" s="17">
        <v>418.34</v>
      </c>
      <c r="Q299" s="17">
        <v>446.13400000000001</v>
      </c>
      <c r="R299" s="17"/>
      <c r="S299" s="17">
        <v>424.06</v>
      </c>
      <c r="T299" s="17"/>
      <c r="U299" s="17">
        <v>408.60300000000001</v>
      </c>
      <c r="V299" s="17">
        <v>426.36500000000001</v>
      </c>
      <c r="W299" s="17">
        <v>437.05099999999999</v>
      </c>
      <c r="X299" s="17">
        <v>454.41300000000001</v>
      </c>
      <c r="Y299" s="17">
        <v>581.10400000000004</v>
      </c>
      <c r="Z299" s="17">
        <v>475.57100000000003</v>
      </c>
      <c r="AA299" s="17">
        <v>442.93099999999998</v>
      </c>
      <c r="AB299" s="17"/>
      <c r="AC299" s="17"/>
      <c r="AD299" s="26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>
        <v>403.43799999999999</v>
      </c>
      <c r="AO299" s="17">
        <v>420.16399999999999</v>
      </c>
      <c r="AP299" s="17"/>
      <c r="AQ299" s="17"/>
      <c r="AR299" s="17"/>
      <c r="AS299" s="17"/>
      <c r="AT299" s="17"/>
      <c r="AU299" s="17"/>
      <c r="AV299" s="17"/>
      <c r="AW299" s="17">
        <v>503.87099999999998</v>
      </c>
    </row>
    <row r="300" spans="1:49" x14ac:dyDescent="0.35">
      <c r="A300" s="3">
        <f t="shared" si="33"/>
        <v>283</v>
      </c>
      <c r="B300" s="17"/>
      <c r="C300" s="17"/>
      <c r="D300" s="17">
        <v>454.541</v>
      </c>
      <c r="E300" s="17">
        <v>454.24200000000002</v>
      </c>
      <c r="F300" s="17">
        <v>438.30099999999999</v>
      </c>
      <c r="G300" s="17">
        <v>415.29</v>
      </c>
      <c r="H300" s="17"/>
      <c r="I300" s="17"/>
      <c r="J300" s="17"/>
      <c r="K300" s="23"/>
      <c r="L300" s="17">
        <v>565.12</v>
      </c>
      <c r="M300" s="17"/>
      <c r="N300" s="17">
        <v>468.59899999999999</v>
      </c>
      <c r="O300" s="17">
        <v>443.22199999999998</v>
      </c>
      <c r="P300" s="17">
        <v>419.11799999999999</v>
      </c>
      <c r="Q300" s="17">
        <v>444.56299999999999</v>
      </c>
      <c r="R300" s="17"/>
      <c r="S300" s="17">
        <v>424.85300000000001</v>
      </c>
      <c r="T300" s="17"/>
      <c r="U300" s="17">
        <v>408.68700000000001</v>
      </c>
      <c r="V300" s="17">
        <v>426.197</v>
      </c>
      <c r="W300" s="17">
        <v>437.35500000000002</v>
      </c>
      <c r="X300" s="17">
        <v>455.06400000000002</v>
      </c>
      <c r="Y300" s="17">
        <v>579.44799999999998</v>
      </c>
      <c r="Z300" s="17">
        <v>476.64800000000002</v>
      </c>
      <c r="AA300" s="17">
        <v>442.71100000000001</v>
      </c>
      <c r="AB300" s="17"/>
      <c r="AC300" s="17"/>
      <c r="AD300" s="26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>
        <v>403.97399999999999</v>
      </c>
      <c r="AO300" s="17">
        <v>418.12400000000002</v>
      </c>
      <c r="AP300" s="17"/>
      <c r="AQ300" s="17"/>
      <c r="AR300" s="17"/>
      <c r="AS300" s="17"/>
      <c r="AT300" s="17"/>
      <c r="AU300" s="17"/>
      <c r="AV300" s="17"/>
      <c r="AW300" s="17">
        <v>503.10500000000002</v>
      </c>
    </row>
    <row r="301" spans="1:49" x14ac:dyDescent="0.35">
      <c r="A301" s="3">
        <f t="shared" si="33"/>
        <v>284</v>
      </c>
      <c r="B301" s="17"/>
      <c r="C301" s="17"/>
      <c r="D301" s="17">
        <v>454.11200000000002</v>
      </c>
      <c r="E301" s="17">
        <v>453.76</v>
      </c>
      <c r="F301" s="17">
        <v>438.137</v>
      </c>
      <c r="G301" s="17">
        <v>416.04700000000003</v>
      </c>
      <c r="H301" s="17"/>
      <c r="I301" s="17"/>
      <c r="J301" s="17"/>
      <c r="K301" s="23"/>
      <c r="L301" s="17">
        <v>565.57799999999997</v>
      </c>
      <c r="M301" s="17"/>
      <c r="N301" s="17">
        <v>470.5</v>
      </c>
      <c r="O301" s="17">
        <v>442.71</v>
      </c>
      <c r="P301" s="17">
        <v>417.11900000000003</v>
      </c>
      <c r="Q301" s="17">
        <v>446.04199999999997</v>
      </c>
      <c r="R301" s="17"/>
      <c r="S301" s="17">
        <v>424.87599999999998</v>
      </c>
      <c r="T301" s="17"/>
      <c r="U301" s="17">
        <v>407.87900000000002</v>
      </c>
      <c r="V301" s="17">
        <v>425.89699999999999</v>
      </c>
      <c r="W301" s="17">
        <v>436.16399999999999</v>
      </c>
      <c r="X301" s="17">
        <v>454.685</v>
      </c>
      <c r="Y301" s="17">
        <v>579.91800000000001</v>
      </c>
      <c r="Z301" s="17">
        <v>476.98500000000001</v>
      </c>
      <c r="AA301" s="17">
        <v>443.185</v>
      </c>
      <c r="AB301" s="17"/>
      <c r="AC301" s="17"/>
      <c r="AD301" s="26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>
        <v>403.14600000000002</v>
      </c>
      <c r="AO301" s="17">
        <v>419.41199999999998</v>
      </c>
      <c r="AP301" s="17"/>
      <c r="AQ301" s="17"/>
      <c r="AR301" s="17"/>
      <c r="AS301" s="17"/>
      <c r="AT301" s="17"/>
      <c r="AU301" s="17"/>
      <c r="AV301" s="17"/>
      <c r="AW301" s="17">
        <v>504.1</v>
      </c>
    </row>
    <row r="302" spans="1:49" x14ac:dyDescent="0.35">
      <c r="A302" s="3">
        <f t="shared" si="33"/>
        <v>285</v>
      </c>
      <c r="B302" s="17"/>
      <c r="C302" s="17"/>
      <c r="D302" s="17">
        <v>453.67599999999999</v>
      </c>
      <c r="E302" s="17">
        <v>453.82499999999999</v>
      </c>
      <c r="F302" s="17">
        <v>439.03100000000001</v>
      </c>
      <c r="G302" s="17">
        <v>416.14499999999998</v>
      </c>
      <c r="H302" s="17"/>
      <c r="I302" s="17"/>
      <c r="J302" s="17"/>
      <c r="K302" s="23"/>
      <c r="L302" s="17">
        <v>564.82799999999997</v>
      </c>
      <c r="M302" s="17"/>
      <c r="N302" s="17">
        <v>469.32600000000002</v>
      </c>
      <c r="O302" s="17">
        <v>443.666</v>
      </c>
      <c r="P302" s="17">
        <v>418.60899999999998</v>
      </c>
      <c r="Q302" s="17">
        <v>446.15899999999999</v>
      </c>
      <c r="R302" s="17"/>
      <c r="S302" s="17">
        <v>425.24799999999999</v>
      </c>
      <c r="T302" s="17"/>
      <c r="U302" s="17">
        <v>408.13099999999997</v>
      </c>
      <c r="V302" s="17">
        <v>425.529</v>
      </c>
      <c r="W302" s="17">
        <v>436.34199999999998</v>
      </c>
      <c r="X302" s="17">
        <v>455.09399999999999</v>
      </c>
      <c r="Y302" s="17">
        <v>579.65</v>
      </c>
      <c r="Z302" s="17">
        <v>477.18299999999999</v>
      </c>
      <c r="AA302" s="17">
        <v>443.32900000000001</v>
      </c>
      <c r="AB302" s="17"/>
      <c r="AC302" s="17"/>
      <c r="AD302" s="26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>
        <v>404.24599999999998</v>
      </c>
      <c r="AO302" s="17">
        <v>419.93200000000002</v>
      </c>
      <c r="AP302" s="17"/>
      <c r="AQ302" s="17"/>
      <c r="AR302" s="17"/>
      <c r="AS302" s="17"/>
      <c r="AT302" s="17"/>
      <c r="AU302" s="17"/>
      <c r="AV302" s="17"/>
      <c r="AW302" s="17">
        <v>504.35899999999998</v>
      </c>
    </row>
    <row r="303" spans="1:49" x14ac:dyDescent="0.35">
      <c r="A303" s="3">
        <f t="shared" si="33"/>
        <v>286</v>
      </c>
      <c r="B303" s="17"/>
      <c r="C303" s="17"/>
      <c r="D303" s="17">
        <v>454.51</v>
      </c>
      <c r="E303" s="17">
        <v>453.61799999999999</v>
      </c>
      <c r="F303" s="17">
        <v>438.67599999999999</v>
      </c>
      <c r="G303" s="17">
        <v>414.51100000000002</v>
      </c>
      <c r="H303" s="17"/>
      <c r="I303" s="17"/>
      <c r="J303" s="17"/>
      <c r="K303" s="23"/>
      <c r="L303" s="17">
        <v>564.93799999999999</v>
      </c>
      <c r="M303" s="17"/>
      <c r="N303" s="17">
        <v>470.55399999999997</v>
      </c>
      <c r="O303" s="17">
        <v>442.08499999999998</v>
      </c>
      <c r="P303" s="17">
        <v>418.85500000000002</v>
      </c>
      <c r="Q303" s="17">
        <v>446.38900000000001</v>
      </c>
      <c r="R303" s="17"/>
      <c r="S303" s="17">
        <v>425.15100000000001</v>
      </c>
      <c r="T303" s="17"/>
      <c r="U303" s="17">
        <v>408.435</v>
      </c>
      <c r="V303" s="17">
        <v>425.36200000000002</v>
      </c>
      <c r="W303" s="17">
        <v>437.63400000000001</v>
      </c>
      <c r="X303" s="17">
        <v>454.66699999999997</v>
      </c>
      <c r="Y303" s="17">
        <v>578.19100000000003</v>
      </c>
      <c r="Z303" s="17">
        <v>476.27699999999999</v>
      </c>
      <c r="AA303" s="17">
        <v>443.12700000000001</v>
      </c>
      <c r="AB303" s="17"/>
      <c r="AC303" s="17"/>
      <c r="AD303" s="26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>
        <v>403.036</v>
      </c>
      <c r="AO303" s="17">
        <v>419.82</v>
      </c>
      <c r="AP303" s="17"/>
      <c r="AQ303" s="17"/>
      <c r="AR303" s="17"/>
      <c r="AS303" s="17"/>
      <c r="AT303" s="17"/>
      <c r="AU303" s="17"/>
      <c r="AV303" s="17"/>
      <c r="AW303" s="17">
        <v>503.58100000000002</v>
      </c>
    </row>
    <row r="304" spans="1:49" x14ac:dyDescent="0.35">
      <c r="A304" s="3">
        <f t="shared" si="33"/>
        <v>287</v>
      </c>
      <c r="B304" s="17"/>
      <c r="C304" s="17"/>
      <c r="D304" s="17">
        <v>453.64100000000002</v>
      </c>
      <c r="E304" s="17">
        <v>454.16800000000001</v>
      </c>
      <c r="F304" s="17">
        <v>438.334</v>
      </c>
      <c r="G304" s="17">
        <v>416.16300000000001</v>
      </c>
      <c r="H304" s="17"/>
      <c r="I304" s="17"/>
      <c r="J304" s="17"/>
      <c r="K304" s="23"/>
      <c r="L304" s="17">
        <v>565.14400000000001</v>
      </c>
      <c r="M304" s="17"/>
      <c r="N304" s="17">
        <v>470.71</v>
      </c>
      <c r="O304" s="17">
        <v>442.06599999999997</v>
      </c>
      <c r="P304" s="17">
        <v>418.52</v>
      </c>
      <c r="Q304" s="17">
        <v>446.57299999999998</v>
      </c>
      <c r="R304" s="17"/>
      <c r="S304" s="17">
        <v>425.26400000000001</v>
      </c>
      <c r="T304" s="17"/>
      <c r="U304" s="17">
        <v>408.298</v>
      </c>
      <c r="V304" s="17">
        <v>426.279</v>
      </c>
      <c r="W304" s="17">
        <v>437.43099999999998</v>
      </c>
      <c r="X304" s="17">
        <v>455.077</v>
      </c>
      <c r="Y304" s="17">
        <v>577.82100000000003</v>
      </c>
      <c r="Z304" s="17">
        <v>476.87599999999998</v>
      </c>
      <c r="AA304" s="17">
        <v>442.20499999999998</v>
      </c>
      <c r="AB304" s="17"/>
      <c r="AC304" s="17"/>
      <c r="AD304" s="26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>
        <v>403.84699999999998</v>
      </c>
      <c r="AO304" s="17">
        <v>419.92700000000002</v>
      </c>
      <c r="AP304" s="17"/>
      <c r="AQ304" s="17"/>
      <c r="AR304" s="17"/>
      <c r="AS304" s="17"/>
      <c r="AT304" s="17"/>
      <c r="AU304" s="17"/>
      <c r="AV304" s="17"/>
      <c r="AW304" s="17">
        <v>502.19099999999997</v>
      </c>
    </row>
    <row r="305" spans="1:49" x14ac:dyDescent="0.35">
      <c r="A305" s="3">
        <f t="shared" si="33"/>
        <v>288</v>
      </c>
      <c r="B305" s="17"/>
      <c r="C305" s="17"/>
      <c r="D305" s="17">
        <v>454.71600000000001</v>
      </c>
      <c r="E305" s="17">
        <v>454.10399999999998</v>
      </c>
      <c r="F305" s="17">
        <v>437.971</v>
      </c>
      <c r="G305" s="17">
        <v>415.46699999999998</v>
      </c>
      <c r="H305" s="17"/>
      <c r="I305" s="17"/>
      <c r="J305" s="17"/>
      <c r="K305" s="23"/>
      <c r="L305" s="17">
        <v>566.71699999999998</v>
      </c>
      <c r="M305" s="17"/>
      <c r="N305" s="17">
        <v>471.02600000000001</v>
      </c>
      <c r="O305" s="17">
        <v>443.05200000000002</v>
      </c>
      <c r="P305" s="17">
        <v>420.09</v>
      </c>
      <c r="Q305" s="17">
        <v>447.392</v>
      </c>
      <c r="R305" s="17"/>
      <c r="S305" s="17">
        <v>425.10500000000002</v>
      </c>
      <c r="T305" s="17"/>
      <c r="U305" s="17">
        <v>407.91500000000002</v>
      </c>
      <c r="V305" s="17">
        <v>425.108</v>
      </c>
      <c r="W305" s="17">
        <v>437.565</v>
      </c>
      <c r="X305" s="17">
        <v>455.01799999999997</v>
      </c>
      <c r="Y305" s="17">
        <v>576.72</v>
      </c>
      <c r="Z305" s="17">
        <v>477.62200000000001</v>
      </c>
      <c r="AA305" s="17">
        <v>442.791</v>
      </c>
      <c r="AB305" s="17"/>
      <c r="AC305" s="17"/>
      <c r="AD305" s="26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>
        <v>403.09199999999998</v>
      </c>
      <c r="AO305" s="17">
        <v>420.82499999999999</v>
      </c>
      <c r="AP305" s="17"/>
      <c r="AQ305" s="17"/>
      <c r="AR305" s="17"/>
      <c r="AS305" s="17"/>
      <c r="AT305" s="17"/>
      <c r="AU305" s="17"/>
      <c r="AV305" s="17"/>
      <c r="AW305" s="17">
        <v>502.68099999999998</v>
      </c>
    </row>
    <row r="306" spans="1:49" x14ac:dyDescent="0.35">
      <c r="A306" s="3">
        <f t="shared" si="33"/>
        <v>289</v>
      </c>
      <c r="B306" s="17"/>
      <c r="C306" s="17"/>
      <c r="D306" s="17">
        <v>454.26</v>
      </c>
      <c r="E306" s="17">
        <v>453.64299999999997</v>
      </c>
      <c r="F306" s="17">
        <v>438.09</v>
      </c>
      <c r="G306" s="17">
        <v>415.11200000000002</v>
      </c>
      <c r="H306" s="17"/>
      <c r="I306" s="17"/>
      <c r="J306" s="17"/>
      <c r="K306" s="23"/>
      <c r="L306" s="17">
        <v>566.404</v>
      </c>
      <c r="M306" s="17"/>
      <c r="N306" s="17">
        <v>470.149</v>
      </c>
      <c r="O306" s="17">
        <v>441.38499999999999</v>
      </c>
      <c r="P306" s="17">
        <v>418.72899999999998</v>
      </c>
      <c r="Q306" s="17">
        <v>447.31900000000002</v>
      </c>
      <c r="R306" s="17"/>
      <c r="S306" s="17">
        <v>424.28800000000001</v>
      </c>
      <c r="T306" s="17"/>
      <c r="U306" s="17">
        <v>407.43099999999998</v>
      </c>
      <c r="V306" s="17">
        <v>426.32900000000001</v>
      </c>
      <c r="W306" s="17">
        <v>438.49099999999999</v>
      </c>
      <c r="X306" s="17">
        <v>455.40300000000002</v>
      </c>
      <c r="Y306" s="17">
        <v>576.71500000000003</v>
      </c>
      <c r="Z306" s="17">
        <v>476.11599999999999</v>
      </c>
      <c r="AA306" s="17">
        <v>445.32600000000002</v>
      </c>
      <c r="AB306" s="17"/>
      <c r="AC306" s="17"/>
      <c r="AD306" s="26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>
        <v>404.20299999999997</v>
      </c>
      <c r="AO306" s="17">
        <v>418.62200000000001</v>
      </c>
      <c r="AP306" s="17"/>
      <c r="AQ306" s="17"/>
      <c r="AR306" s="17"/>
      <c r="AS306" s="17"/>
      <c r="AT306" s="17"/>
      <c r="AU306" s="17"/>
      <c r="AV306" s="17"/>
      <c r="AW306" s="17">
        <v>502.57799999999997</v>
      </c>
    </row>
    <row r="307" spans="1:49" x14ac:dyDescent="0.35">
      <c r="A307" s="3">
        <f t="shared" ref="A307:A317" si="34">A306+1</f>
        <v>290</v>
      </c>
      <c r="B307" s="17"/>
      <c r="C307" s="17"/>
      <c r="D307" s="17">
        <v>455.59300000000002</v>
      </c>
      <c r="E307" s="17">
        <v>454.666</v>
      </c>
      <c r="F307" s="17">
        <v>438.88400000000001</v>
      </c>
      <c r="G307" s="17">
        <v>415.745</v>
      </c>
      <c r="H307" s="17"/>
      <c r="I307" s="17"/>
      <c r="J307" s="17"/>
      <c r="K307" s="23"/>
      <c r="L307" s="17">
        <v>566.995</v>
      </c>
      <c r="M307" s="17"/>
      <c r="N307" s="17">
        <v>472.53500000000003</v>
      </c>
      <c r="O307" s="17">
        <v>443.072</v>
      </c>
      <c r="P307" s="17">
        <v>418.64499999999998</v>
      </c>
      <c r="Q307" s="17">
        <v>446.755</v>
      </c>
      <c r="R307" s="17"/>
      <c r="S307" s="17">
        <v>424.322</v>
      </c>
      <c r="T307" s="17"/>
      <c r="U307" s="17">
        <v>408.505</v>
      </c>
      <c r="V307" s="17">
        <v>424.875</v>
      </c>
      <c r="W307" s="17">
        <v>437.46</v>
      </c>
      <c r="X307" s="17">
        <v>454.803</v>
      </c>
      <c r="Y307" s="17">
        <v>575.30999999999995</v>
      </c>
      <c r="Z307" s="17">
        <v>478.822</v>
      </c>
      <c r="AA307" s="17">
        <v>444.88299999999998</v>
      </c>
      <c r="AB307" s="17"/>
      <c r="AC307" s="17"/>
      <c r="AD307" s="26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>
        <v>403.98500000000001</v>
      </c>
      <c r="AO307" s="17">
        <v>419.89499999999998</v>
      </c>
      <c r="AP307" s="17"/>
      <c r="AQ307" s="17"/>
      <c r="AR307" s="17"/>
      <c r="AS307" s="17"/>
      <c r="AT307" s="17"/>
      <c r="AU307" s="17"/>
      <c r="AV307" s="17"/>
      <c r="AW307" s="17">
        <v>503.77800000000002</v>
      </c>
    </row>
    <row r="308" spans="1:49" x14ac:dyDescent="0.35">
      <c r="A308" s="3">
        <f t="shared" si="34"/>
        <v>291</v>
      </c>
      <c r="B308" s="17"/>
      <c r="C308" s="17"/>
      <c r="D308" s="17">
        <v>454.41399999999999</v>
      </c>
      <c r="E308" s="17">
        <v>454.97800000000001</v>
      </c>
      <c r="F308" s="17">
        <v>438.49200000000002</v>
      </c>
      <c r="G308" s="17">
        <v>416.654</v>
      </c>
      <c r="H308" s="17"/>
      <c r="I308" s="17"/>
      <c r="J308" s="17"/>
      <c r="K308" s="23"/>
      <c r="L308" s="17">
        <v>568.221</v>
      </c>
      <c r="M308" s="17"/>
      <c r="N308" s="17">
        <v>472.089</v>
      </c>
      <c r="O308" s="17">
        <v>442.88200000000001</v>
      </c>
      <c r="P308" s="17">
        <v>419.63</v>
      </c>
      <c r="Q308" s="17">
        <v>447.55700000000002</v>
      </c>
      <c r="R308" s="17"/>
      <c r="S308" s="17">
        <v>425.71600000000001</v>
      </c>
      <c r="T308" s="17"/>
      <c r="U308" s="17">
        <v>408.87599999999998</v>
      </c>
      <c r="V308" s="17">
        <v>424.37700000000001</v>
      </c>
      <c r="W308" s="17">
        <v>436.04899999999998</v>
      </c>
      <c r="X308" s="17">
        <v>456.01100000000002</v>
      </c>
      <c r="Y308" s="17">
        <v>575.15700000000004</v>
      </c>
      <c r="Z308" s="17">
        <v>477.36700000000002</v>
      </c>
      <c r="AA308" s="17">
        <v>444.54700000000003</v>
      </c>
      <c r="AB308" s="17"/>
      <c r="AC308" s="17"/>
      <c r="AD308" s="26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>
        <v>403.96899999999999</v>
      </c>
      <c r="AO308" s="17">
        <v>419.517</v>
      </c>
      <c r="AP308" s="17"/>
      <c r="AQ308" s="17"/>
      <c r="AR308" s="17"/>
      <c r="AS308" s="17"/>
      <c r="AT308" s="17"/>
      <c r="AU308" s="17"/>
      <c r="AV308" s="17"/>
      <c r="AW308" s="17">
        <v>505.83100000000002</v>
      </c>
    </row>
    <row r="309" spans="1:49" x14ac:dyDescent="0.35">
      <c r="A309" s="3">
        <f t="shared" si="34"/>
        <v>292</v>
      </c>
      <c r="B309" s="17"/>
      <c r="C309" s="17"/>
      <c r="D309" s="17">
        <v>454.89600000000002</v>
      </c>
      <c r="E309" s="17">
        <v>455.05700000000002</v>
      </c>
      <c r="F309" s="17">
        <v>438.51</v>
      </c>
      <c r="G309" s="17">
        <v>417.00200000000001</v>
      </c>
      <c r="H309" s="17"/>
      <c r="I309" s="17"/>
      <c r="J309" s="17"/>
      <c r="K309" s="23"/>
      <c r="L309" s="17">
        <v>566.28399999999999</v>
      </c>
      <c r="M309" s="17"/>
      <c r="N309" s="17">
        <v>474.24799999999999</v>
      </c>
      <c r="O309" s="17">
        <v>442.22800000000001</v>
      </c>
      <c r="P309" s="17">
        <v>416.791</v>
      </c>
      <c r="Q309" s="17">
        <v>446.54899999999998</v>
      </c>
      <c r="R309" s="17"/>
      <c r="S309" s="17">
        <v>425.35399999999998</v>
      </c>
      <c r="T309" s="17"/>
      <c r="U309" s="17">
        <v>408.94299999999998</v>
      </c>
      <c r="V309" s="17">
        <v>424.73</v>
      </c>
      <c r="W309" s="17">
        <v>438.94600000000003</v>
      </c>
      <c r="X309" s="17">
        <v>455.36900000000003</v>
      </c>
      <c r="Y309" s="17">
        <v>575.98400000000004</v>
      </c>
      <c r="Z309" s="17">
        <v>476.32</v>
      </c>
      <c r="AA309" s="17">
        <v>444.82600000000002</v>
      </c>
      <c r="AB309" s="17"/>
      <c r="AC309" s="17"/>
      <c r="AD309" s="26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>
        <v>403.59699999999998</v>
      </c>
      <c r="AO309" s="17">
        <v>419.17</v>
      </c>
      <c r="AP309" s="17"/>
      <c r="AQ309" s="17"/>
      <c r="AR309" s="17"/>
      <c r="AS309" s="17"/>
      <c r="AT309" s="17"/>
      <c r="AU309" s="17"/>
      <c r="AV309" s="17"/>
      <c r="AW309" s="17">
        <v>503.44200000000001</v>
      </c>
    </row>
    <row r="310" spans="1:49" x14ac:dyDescent="0.35">
      <c r="A310" s="3">
        <f t="shared" si="34"/>
        <v>293</v>
      </c>
      <c r="B310" s="17"/>
      <c r="C310" s="17"/>
      <c r="D310" s="17">
        <v>455.66199999999998</v>
      </c>
      <c r="E310" s="17">
        <v>455.70600000000002</v>
      </c>
      <c r="F310" s="17">
        <v>437.59399999999999</v>
      </c>
      <c r="G310" s="17">
        <v>417.45</v>
      </c>
      <c r="H310" s="17"/>
      <c r="I310" s="17"/>
      <c r="J310" s="17"/>
      <c r="K310" s="23"/>
      <c r="L310" s="17">
        <v>567.46799999999996</v>
      </c>
      <c r="M310" s="17"/>
      <c r="N310" s="17">
        <v>473.16500000000002</v>
      </c>
      <c r="O310" s="17">
        <v>441.84899999999999</v>
      </c>
      <c r="P310" s="17">
        <v>418.84100000000001</v>
      </c>
      <c r="Q310" s="17">
        <v>446.97699999999998</v>
      </c>
      <c r="R310" s="17"/>
      <c r="S310" s="17">
        <v>425.56400000000002</v>
      </c>
      <c r="T310" s="17"/>
      <c r="U310" s="17">
        <v>409.29300000000001</v>
      </c>
      <c r="V310" s="17">
        <v>424.62200000000001</v>
      </c>
      <c r="W310" s="17">
        <v>438.8</v>
      </c>
      <c r="X310" s="17">
        <v>456.572</v>
      </c>
      <c r="Y310" s="17">
        <v>576.40700000000004</v>
      </c>
      <c r="Z310" s="17">
        <v>478.161</v>
      </c>
      <c r="AA310" s="17">
        <v>444.37599999999998</v>
      </c>
      <c r="AB310" s="17"/>
      <c r="AC310" s="17"/>
      <c r="AD310" s="26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>
        <v>403.29300000000001</v>
      </c>
      <c r="AO310" s="17">
        <v>419.25299999999999</v>
      </c>
      <c r="AP310" s="17"/>
      <c r="AQ310" s="17"/>
      <c r="AR310" s="17"/>
      <c r="AS310" s="17"/>
      <c r="AT310" s="17"/>
      <c r="AU310" s="17"/>
      <c r="AV310" s="17"/>
      <c r="AW310" s="17">
        <v>502.61500000000001</v>
      </c>
    </row>
    <row r="311" spans="1:49" x14ac:dyDescent="0.35">
      <c r="A311" s="3">
        <f t="shared" si="34"/>
        <v>294</v>
      </c>
      <c r="B311" s="17"/>
      <c r="C311" s="17"/>
      <c r="D311" s="17">
        <v>455.666</v>
      </c>
      <c r="E311" s="17">
        <v>454.53199999999998</v>
      </c>
      <c r="F311" s="17">
        <v>438.05599999999998</v>
      </c>
      <c r="G311" s="17">
        <v>417.31900000000002</v>
      </c>
      <c r="H311" s="17"/>
      <c r="I311" s="17"/>
      <c r="J311" s="17"/>
      <c r="K311" s="23"/>
      <c r="L311" s="17">
        <v>566.85400000000004</v>
      </c>
      <c r="M311" s="17"/>
      <c r="N311" s="17">
        <v>472.82799999999997</v>
      </c>
      <c r="O311" s="17">
        <v>443.24400000000003</v>
      </c>
      <c r="P311" s="17">
        <v>418.303</v>
      </c>
      <c r="Q311" s="17">
        <v>449.01900000000001</v>
      </c>
      <c r="R311" s="17"/>
      <c r="S311" s="17">
        <v>425.02699999999999</v>
      </c>
      <c r="T311" s="17"/>
      <c r="U311" s="17">
        <v>408.57499999999999</v>
      </c>
      <c r="V311" s="17">
        <v>424.37599999999998</v>
      </c>
      <c r="W311" s="17">
        <v>437.05</v>
      </c>
      <c r="X311" s="17">
        <v>455.33699999999999</v>
      </c>
      <c r="Y311" s="17">
        <v>576.79499999999996</v>
      </c>
      <c r="Z311" s="17">
        <v>477.10500000000002</v>
      </c>
      <c r="AA311" s="17">
        <v>444.85</v>
      </c>
      <c r="AB311" s="17"/>
      <c r="AC311" s="17"/>
      <c r="AD311" s="26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>
        <v>404.08499999999998</v>
      </c>
      <c r="AO311" s="17">
        <v>420.73700000000002</v>
      </c>
      <c r="AP311" s="17"/>
      <c r="AQ311" s="17"/>
      <c r="AR311" s="17"/>
      <c r="AS311" s="17"/>
      <c r="AT311" s="17"/>
      <c r="AU311" s="17"/>
      <c r="AV311" s="17"/>
      <c r="AW311" s="17">
        <v>504.91399999999999</v>
      </c>
    </row>
    <row r="312" spans="1:49" x14ac:dyDescent="0.35">
      <c r="A312" s="3">
        <f t="shared" si="34"/>
        <v>295</v>
      </c>
      <c r="B312" s="17"/>
      <c r="C312" s="17"/>
      <c r="D312" s="17">
        <v>456.09399999999999</v>
      </c>
      <c r="E312" s="17">
        <v>454.98399999999998</v>
      </c>
      <c r="F312" s="17">
        <v>438.26299999999998</v>
      </c>
      <c r="G312" s="17">
        <v>417.524</v>
      </c>
      <c r="H312" s="17"/>
      <c r="I312" s="17"/>
      <c r="J312" s="17"/>
      <c r="K312" s="23"/>
      <c r="L312" s="17">
        <v>567.471</v>
      </c>
      <c r="M312" s="17"/>
      <c r="N312" s="17">
        <v>474.46199999999999</v>
      </c>
      <c r="O312" s="17">
        <v>443.149</v>
      </c>
      <c r="P312" s="17">
        <v>420.34500000000003</v>
      </c>
      <c r="Q312" s="17">
        <v>449.51400000000001</v>
      </c>
      <c r="R312" s="17"/>
      <c r="S312" s="17">
        <v>425.50900000000001</v>
      </c>
      <c r="T312" s="17"/>
      <c r="U312" s="17">
        <v>408.80799999999999</v>
      </c>
      <c r="V312" s="17">
        <v>423.24200000000002</v>
      </c>
      <c r="W312" s="17">
        <v>437.09300000000002</v>
      </c>
      <c r="X312" s="17">
        <v>454.69</v>
      </c>
      <c r="Y312" s="17">
        <v>578.07100000000003</v>
      </c>
      <c r="Z312" s="17">
        <v>476.25799999999998</v>
      </c>
      <c r="AA312" s="17">
        <v>442.46800000000002</v>
      </c>
      <c r="AB312" s="17"/>
      <c r="AC312" s="17"/>
      <c r="AD312" s="26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>
        <v>403.56599999999997</v>
      </c>
      <c r="AO312" s="17">
        <v>419.96</v>
      </c>
      <c r="AP312" s="17"/>
      <c r="AQ312" s="17"/>
      <c r="AR312" s="17"/>
      <c r="AS312" s="17"/>
      <c r="AT312" s="17"/>
      <c r="AU312" s="17"/>
      <c r="AV312" s="17"/>
      <c r="AW312" s="17">
        <v>504.31400000000002</v>
      </c>
    </row>
    <row r="313" spans="1:49" x14ac:dyDescent="0.35">
      <c r="A313" s="3">
        <f t="shared" si="34"/>
        <v>296</v>
      </c>
      <c r="B313" s="17"/>
      <c r="C313" s="17"/>
      <c r="D313" s="17">
        <v>455.25799999999998</v>
      </c>
      <c r="E313" s="17">
        <v>455.38299999999998</v>
      </c>
      <c r="F313" s="17">
        <v>438.52800000000002</v>
      </c>
      <c r="G313" s="17">
        <v>417.64400000000001</v>
      </c>
      <c r="H313" s="17"/>
      <c r="I313" s="17"/>
      <c r="J313" s="17"/>
      <c r="K313" s="23"/>
      <c r="L313" s="17">
        <v>569.73800000000006</v>
      </c>
      <c r="M313" s="17"/>
      <c r="N313" s="17">
        <v>475.839</v>
      </c>
      <c r="O313" s="17">
        <v>442.31200000000001</v>
      </c>
      <c r="P313" s="17">
        <v>417.62700000000001</v>
      </c>
      <c r="Q313" s="17">
        <v>447.39499999999998</v>
      </c>
      <c r="R313" s="17"/>
      <c r="S313" s="17">
        <v>424.86</v>
      </c>
      <c r="T313" s="17"/>
      <c r="U313" s="17">
        <v>408.536</v>
      </c>
      <c r="V313" s="17">
        <v>424.32100000000003</v>
      </c>
      <c r="W313" s="17">
        <v>439.95299999999997</v>
      </c>
      <c r="X313" s="17">
        <v>455.31200000000001</v>
      </c>
      <c r="Y313" s="17">
        <v>578.26199999999994</v>
      </c>
      <c r="Z313" s="17">
        <v>476.73599999999999</v>
      </c>
      <c r="AA313" s="17">
        <v>443.68900000000002</v>
      </c>
      <c r="AB313" s="17"/>
      <c r="AC313" s="17"/>
      <c r="AD313" s="26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>
        <v>403.7</v>
      </c>
      <c r="AO313" s="17">
        <v>419.30200000000002</v>
      </c>
      <c r="AP313" s="17"/>
      <c r="AQ313" s="17"/>
      <c r="AR313" s="17"/>
      <c r="AS313" s="17"/>
      <c r="AT313" s="17"/>
      <c r="AU313" s="17"/>
      <c r="AV313" s="17"/>
      <c r="AW313" s="17">
        <v>503.54399999999998</v>
      </c>
    </row>
    <row r="314" spans="1:49" x14ac:dyDescent="0.35">
      <c r="A314" s="3">
        <f t="shared" si="34"/>
        <v>297</v>
      </c>
      <c r="B314" s="17"/>
      <c r="C314" s="17"/>
      <c r="D314" s="17">
        <v>455.68299999999999</v>
      </c>
      <c r="E314" s="17">
        <v>455.73599999999999</v>
      </c>
      <c r="F314" s="17">
        <v>437.536</v>
      </c>
      <c r="G314" s="17">
        <v>416.791</v>
      </c>
      <c r="H314" s="17"/>
      <c r="I314" s="17"/>
      <c r="J314" s="17"/>
      <c r="K314" s="23"/>
      <c r="L314" s="17">
        <v>569.62699999999995</v>
      </c>
      <c r="M314" s="17"/>
      <c r="N314" s="17">
        <v>475.13200000000001</v>
      </c>
      <c r="O314" s="17">
        <v>443.37</v>
      </c>
      <c r="P314" s="17">
        <v>418.65</v>
      </c>
      <c r="Q314" s="17">
        <v>447.16800000000001</v>
      </c>
      <c r="R314" s="17"/>
      <c r="S314" s="17">
        <v>425.24</v>
      </c>
      <c r="T314" s="17"/>
      <c r="U314" s="17">
        <v>407.04700000000003</v>
      </c>
      <c r="V314" s="17">
        <v>424.529</v>
      </c>
      <c r="W314" s="17">
        <v>437.87599999999998</v>
      </c>
      <c r="X314" s="17">
        <v>455.61799999999999</v>
      </c>
      <c r="Y314" s="17">
        <v>578.91099999999994</v>
      </c>
      <c r="Z314" s="17">
        <v>478.25200000000001</v>
      </c>
      <c r="AA314" s="17">
        <v>443.87599999999998</v>
      </c>
      <c r="AB314" s="17"/>
      <c r="AC314" s="17"/>
      <c r="AD314" s="26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>
        <v>403.68799999999999</v>
      </c>
      <c r="AO314" s="17">
        <v>421.13200000000001</v>
      </c>
      <c r="AP314" s="17"/>
      <c r="AQ314" s="17"/>
      <c r="AR314" s="17"/>
      <c r="AS314" s="17"/>
      <c r="AT314" s="17"/>
      <c r="AU314" s="17"/>
      <c r="AV314" s="17"/>
      <c r="AW314" s="17">
        <v>503.55</v>
      </c>
    </row>
    <row r="315" spans="1:49" x14ac:dyDescent="0.35">
      <c r="A315" s="3">
        <f t="shared" si="34"/>
        <v>298</v>
      </c>
      <c r="B315" s="17"/>
      <c r="C315" s="17"/>
      <c r="D315" s="17">
        <v>457.08199999999999</v>
      </c>
      <c r="E315" s="17">
        <v>455.54399999999998</v>
      </c>
      <c r="F315" s="17">
        <v>438.495</v>
      </c>
      <c r="G315" s="17">
        <v>417.12400000000002</v>
      </c>
      <c r="H315" s="17"/>
      <c r="I315" s="17"/>
      <c r="J315" s="17"/>
      <c r="K315" s="23"/>
      <c r="L315" s="17">
        <v>567.98599999999999</v>
      </c>
      <c r="M315" s="17"/>
      <c r="N315" s="17">
        <v>476.42899999999997</v>
      </c>
      <c r="O315" s="17">
        <v>442.79</v>
      </c>
      <c r="P315" s="17">
        <v>419.048</v>
      </c>
      <c r="Q315" s="17">
        <v>450.08800000000002</v>
      </c>
      <c r="R315" s="17"/>
      <c r="S315" s="17">
        <v>426.52300000000002</v>
      </c>
      <c r="T315" s="17"/>
      <c r="U315" s="17">
        <v>407.80900000000003</v>
      </c>
      <c r="V315" s="17">
        <v>423.779</v>
      </c>
      <c r="W315" s="17">
        <v>439.452</v>
      </c>
      <c r="X315" s="17">
        <v>457.04199999999997</v>
      </c>
      <c r="Y315" s="17">
        <v>578.92899999999997</v>
      </c>
      <c r="Z315" s="17">
        <v>476.82499999999999</v>
      </c>
      <c r="AA315" s="17">
        <v>443.94</v>
      </c>
      <c r="AB315" s="17"/>
      <c r="AC315" s="17"/>
      <c r="AD315" s="26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>
        <v>402.95499999999998</v>
      </c>
      <c r="AO315" s="17">
        <v>420.524</v>
      </c>
      <c r="AP315" s="17"/>
      <c r="AQ315" s="17"/>
      <c r="AR315" s="17"/>
      <c r="AS315" s="17"/>
      <c r="AT315" s="17"/>
      <c r="AU315" s="17"/>
      <c r="AV315" s="17"/>
      <c r="AW315" s="17">
        <v>502.71699999999998</v>
      </c>
    </row>
    <row r="316" spans="1:49" x14ac:dyDescent="0.35">
      <c r="A316" s="3">
        <f t="shared" si="34"/>
        <v>299</v>
      </c>
      <c r="B316" s="17"/>
      <c r="C316" s="17"/>
      <c r="D316" s="17">
        <v>456.02600000000001</v>
      </c>
      <c r="E316" s="17">
        <v>456.31099999999998</v>
      </c>
      <c r="F316" s="17">
        <v>438.20299999999997</v>
      </c>
      <c r="G316" s="17">
        <v>417.678</v>
      </c>
      <c r="H316" s="17"/>
      <c r="I316" s="17"/>
      <c r="J316" s="17"/>
      <c r="K316" s="23"/>
      <c r="L316" s="17">
        <v>568.43299999999999</v>
      </c>
      <c r="M316" s="17"/>
      <c r="N316" s="17">
        <v>475.90800000000002</v>
      </c>
      <c r="O316" s="17">
        <v>442.99299999999999</v>
      </c>
      <c r="P316" s="17">
        <v>419.64100000000002</v>
      </c>
      <c r="Q316" s="17">
        <v>448.61700000000002</v>
      </c>
      <c r="R316" s="17"/>
      <c r="S316" s="17">
        <v>426.36599999999999</v>
      </c>
      <c r="T316" s="17"/>
      <c r="U316" s="17">
        <v>407.58600000000001</v>
      </c>
      <c r="V316" s="17">
        <v>422.61700000000002</v>
      </c>
      <c r="W316" s="17">
        <v>439.37200000000001</v>
      </c>
      <c r="X316" s="17">
        <v>456.83300000000003</v>
      </c>
      <c r="Y316" s="17">
        <v>580.41700000000003</v>
      </c>
      <c r="Z316" s="17">
        <v>479.13799999999998</v>
      </c>
      <c r="AA316" s="17">
        <v>443.94099999999997</v>
      </c>
      <c r="AB316" s="17"/>
      <c r="AC316" s="17"/>
      <c r="AD316" s="26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>
        <v>403.12</v>
      </c>
      <c r="AO316" s="17">
        <v>420.44099999999997</v>
      </c>
      <c r="AP316" s="17"/>
      <c r="AQ316" s="17"/>
      <c r="AR316" s="17"/>
      <c r="AS316" s="17"/>
      <c r="AT316" s="17"/>
      <c r="AU316" s="17"/>
      <c r="AV316" s="17"/>
      <c r="AW316" s="17">
        <v>503.31900000000002</v>
      </c>
    </row>
    <row r="317" spans="1:49" x14ac:dyDescent="0.35">
      <c r="A317" s="3">
        <f t="shared" si="34"/>
        <v>300</v>
      </c>
      <c r="B317" s="17"/>
      <c r="C317" s="17"/>
      <c r="D317" s="17">
        <v>456.28199999999998</v>
      </c>
      <c r="E317" s="17">
        <v>456.74599999999998</v>
      </c>
      <c r="F317" s="17">
        <v>438.64600000000002</v>
      </c>
      <c r="G317" s="17">
        <v>418.62799999999999</v>
      </c>
      <c r="H317" s="17"/>
      <c r="I317" s="17"/>
      <c r="J317" s="17"/>
      <c r="K317" s="23"/>
      <c r="L317" s="17">
        <v>568.57899999999995</v>
      </c>
      <c r="M317" s="17"/>
      <c r="N317" s="17">
        <v>476.2</v>
      </c>
      <c r="O317" s="17">
        <v>442.71100000000001</v>
      </c>
      <c r="P317" s="17">
        <v>419.238</v>
      </c>
      <c r="Q317" s="17">
        <v>450.45299999999997</v>
      </c>
      <c r="R317" s="17"/>
      <c r="S317" s="17">
        <v>426.26</v>
      </c>
      <c r="T317" s="17"/>
      <c r="U317" s="17">
        <v>409.04199999999997</v>
      </c>
      <c r="V317" s="17">
        <v>423.69299999999998</v>
      </c>
      <c r="W317" s="17">
        <v>438.952</v>
      </c>
      <c r="X317" s="17">
        <v>456.44299999999998</v>
      </c>
      <c r="Y317" s="17">
        <v>580.04700000000003</v>
      </c>
      <c r="Z317" s="17">
        <v>478.13900000000001</v>
      </c>
      <c r="AA317" s="17">
        <v>443.822</v>
      </c>
      <c r="AB317" s="17"/>
      <c r="AC317" s="17"/>
      <c r="AD317" s="26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>
        <v>403.298</v>
      </c>
      <c r="AO317" s="17">
        <v>419.62299999999999</v>
      </c>
      <c r="AP317" s="17"/>
      <c r="AQ317" s="17"/>
      <c r="AR317" s="17"/>
      <c r="AS317" s="17"/>
      <c r="AT317" s="17"/>
      <c r="AU317" s="17"/>
      <c r="AV317" s="17"/>
      <c r="AW317" s="17">
        <v>503.584</v>
      </c>
    </row>
    <row r="318" spans="1:49" x14ac:dyDescent="0.35">
      <c r="B318" s="15"/>
      <c r="E318" s="17"/>
      <c r="L318" s="17"/>
      <c r="Q318" s="17"/>
      <c r="AV318" s="17"/>
    </row>
    <row r="319" spans="1:49" x14ac:dyDescent="0.35">
      <c r="E319" s="17"/>
      <c r="L319" s="17"/>
      <c r="Q319" s="17"/>
      <c r="AV319" s="17"/>
    </row>
    <row r="320" spans="1:49" x14ac:dyDescent="0.35">
      <c r="L320" s="17"/>
      <c r="Q320" s="17"/>
      <c r="AV320" s="17"/>
    </row>
    <row r="321" spans="12:48" x14ac:dyDescent="0.35">
      <c r="L321" s="17"/>
      <c r="Q321" s="17"/>
      <c r="AV321" s="17"/>
    </row>
    <row r="322" spans="12:48" x14ac:dyDescent="0.35">
      <c r="L322" s="17"/>
      <c r="Q322" s="17"/>
      <c r="AV322" s="17"/>
    </row>
    <row r="323" spans="12:48" x14ac:dyDescent="0.35">
      <c r="L323" s="17"/>
      <c r="Q323" s="17"/>
      <c r="AV323" s="17"/>
    </row>
    <row r="324" spans="12:48" x14ac:dyDescent="0.35">
      <c r="L324" s="17"/>
      <c r="Q324" s="17"/>
      <c r="AV324" s="17"/>
    </row>
    <row r="325" spans="12:48" x14ac:dyDescent="0.35">
      <c r="L325" s="17"/>
      <c r="Q325" s="17"/>
      <c r="AV325" s="17"/>
    </row>
    <row r="326" spans="12:48" x14ac:dyDescent="0.35">
      <c r="L326" s="17"/>
      <c r="Q326" s="17"/>
      <c r="AV326" s="17"/>
    </row>
    <row r="327" spans="12:48" x14ac:dyDescent="0.35">
      <c r="L327" s="17"/>
      <c r="Q327" s="17"/>
      <c r="AV327" s="17"/>
    </row>
    <row r="328" spans="12:48" x14ac:dyDescent="0.35">
      <c r="L328" s="17"/>
      <c r="Q328" s="17"/>
      <c r="AV328" s="17"/>
    </row>
    <row r="329" spans="12:48" x14ac:dyDescent="0.35">
      <c r="L329" s="17"/>
      <c r="Q329" s="17"/>
      <c r="AV329" s="17"/>
    </row>
    <row r="330" spans="12:48" x14ac:dyDescent="0.35">
      <c r="L330" s="17"/>
      <c r="Q330" s="17"/>
      <c r="AV330" s="17"/>
    </row>
    <row r="331" spans="12:48" x14ac:dyDescent="0.35">
      <c r="L331" s="17"/>
      <c r="Q331" s="17"/>
      <c r="AV331" s="17"/>
    </row>
    <row r="332" spans="12:48" x14ac:dyDescent="0.35">
      <c r="L332" s="17"/>
      <c r="Q332" s="17"/>
      <c r="AV332" s="17"/>
    </row>
    <row r="333" spans="12:48" x14ac:dyDescent="0.35">
      <c r="L333" s="17"/>
      <c r="Q333" s="17"/>
      <c r="AV333" s="17"/>
    </row>
    <row r="334" spans="12:48" x14ac:dyDescent="0.35">
      <c r="L334" s="17"/>
      <c r="Q334" s="17"/>
      <c r="AV334" s="17"/>
    </row>
    <row r="335" spans="12:48" x14ac:dyDescent="0.35">
      <c r="L335" s="17"/>
      <c r="Q335" s="17"/>
      <c r="AV335" s="17"/>
    </row>
    <row r="336" spans="12:48" x14ac:dyDescent="0.35">
      <c r="L336" s="17"/>
      <c r="Q336" s="17"/>
      <c r="AV336" s="17"/>
    </row>
    <row r="337" spans="12:48" x14ac:dyDescent="0.35">
      <c r="L337" s="17"/>
      <c r="Q337" s="17"/>
      <c r="AV337" s="17"/>
    </row>
    <row r="338" spans="12:48" x14ac:dyDescent="0.35">
      <c r="L338" s="17"/>
      <c r="Q338" s="17"/>
      <c r="AV338" s="17"/>
    </row>
    <row r="339" spans="12:48" x14ac:dyDescent="0.35">
      <c r="L339" s="17"/>
      <c r="Q339" s="17"/>
      <c r="AV339" s="17"/>
    </row>
    <row r="340" spans="12:48" x14ac:dyDescent="0.35">
      <c r="L340" s="17"/>
      <c r="Q340" s="17"/>
      <c r="AV340" s="17"/>
    </row>
    <row r="341" spans="12:48" x14ac:dyDescent="0.35">
      <c r="L341" s="17"/>
      <c r="Q341" s="17"/>
      <c r="AV341" s="17"/>
    </row>
    <row r="342" spans="12:48" x14ac:dyDescent="0.35">
      <c r="L342" s="17"/>
      <c r="Q342" s="17"/>
      <c r="AV342" s="17"/>
    </row>
    <row r="343" spans="12:48" x14ac:dyDescent="0.35">
      <c r="L343" s="17"/>
      <c r="Q343" s="17"/>
      <c r="AV343" s="17"/>
    </row>
    <row r="344" spans="12:48" x14ac:dyDescent="0.35">
      <c r="L344" s="17"/>
      <c r="Q344" s="17"/>
      <c r="AV344" s="17"/>
    </row>
    <row r="345" spans="12:48" x14ac:dyDescent="0.35">
      <c r="L345" s="17"/>
      <c r="Q345" s="17"/>
      <c r="AV345" s="17"/>
    </row>
    <row r="346" spans="12:48" x14ac:dyDescent="0.35">
      <c r="L346" s="17"/>
      <c r="Q346" s="17"/>
      <c r="AV346" s="17"/>
    </row>
    <row r="347" spans="12:48" x14ac:dyDescent="0.35">
      <c r="L347" s="17"/>
      <c r="Q347" s="17"/>
      <c r="AV347" s="17"/>
    </row>
    <row r="348" spans="12:48" x14ac:dyDescent="0.35">
      <c r="L348" s="17"/>
      <c r="Q348" s="17"/>
      <c r="AV348" s="17"/>
    </row>
    <row r="349" spans="12:48" x14ac:dyDescent="0.35">
      <c r="L349" s="17"/>
      <c r="Q349" s="17"/>
      <c r="AV349" s="17"/>
    </row>
    <row r="350" spans="12:48" x14ac:dyDescent="0.35">
      <c r="L350" s="17"/>
      <c r="Q350" s="17"/>
      <c r="AV350" s="17"/>
    </row>
    <row r="351" spans="12:48" x14ac:dyDescent="0.35">
      <c r="L351" s="17"/>
      <c r="Q351" s="17"/>
      <c r="AV351" s="17"/>
    </row>
    <row r="352" spans="12:48" x14ac:dyDescent="0.35">
      <c r="L352" s="17"/>
      <c r="Q352" s="17"/>
      <c r="AV352" s="17"/>
    </row>
    <row r="353" spans="12:48" x14ac:dyDescent="0.35">
      <c r="L353" s="17"/>
      <c r="Q353" s="17"/>
      <c r="AV353" s="17"/>
    </row>
    <row r="354" spans="12:48" x14ac:dyDescent="0.35">
      <c r="L354" s="17"/>
      <c r="Q354" s="17"/>
      <c r="AV354" s="17"/>
    </row>
    <row r="355" spans="12:48" x14ac:dyDescent="0.35">
      <c r="L355" s="17"/>
      <c r="Q355" s="17"/>
      <c r="AV355" s="17"/>
    </row>
    <row r="356" spans="12:48" x14ac:dyDescent="0.35">
      <c r="L356" s="17"/>
      <c r="Q356" s="17"/>
      <c r="AV356" s="17"/>
    </row>
    <row r="357" spans="12:48" x14ac:dyDescent="0.35">
      <c r="L357" s="17"/>
      <c r="Q357" s="17"/>
      <c r="AV357" s="17"/>
    </row>
    <row r="358" spans="12:48" x14ac:dyDescent="0.35">
      <c r="L358" s="17"/>
      <c r="Q358" s="17"/>
      <c r="AV358" s="17"/>
    </row>
    <row r="359" spans="12:48" x14ac:dyDescent="0.35">
      <c r="L359" s="17"/>
      <c r="Q359" s="17"/>
      <c r="AV359" s="17"/>
    </row>
    <row r="360" spans="12:48" x14ac:dyDescent="0.35">
      <c r="L360" s="17"/>
      <c r="Q360" s="17"/>
      <c r="AV360" s="17"/>
    </row>
    <row r="361" spans="12:48" x14ac:dyDescent="0.35">
      <c r="L361" s="17"/>
      <c r="Q361" s="17"/>
      <c r="AV361" s="17"/>
    </row>
    <row r="362" spans="12:48" x14ac:dyDescent="0.35">
      <c r="L362" s="17"/>
      <c r="Q362" s="17"/>
      <c r="AV362" s="17"/>
    </row>
    <row r="363" spans="12:48" x14ac:dyDescent="0.35">
      <c r="L363" s="17"/>
      <c r="Q363" s="17"/>
      <c r="AV363" s="17"/>
    </row>
    <row r="364" spans="12:48" x14ac:dyDescent="0.35">
      <c r="L364" s="17"/>
      <c r="Q364" s="17"/>
      <c r="AV364" s="17"/>
    </row>
    <row r="365" spans="12:48" x14ac:dyDescent="0.35">
      <c r="L365" s="17"/>
      <c r="Q365" s="17"/>
      <c r="AV365" s="17"/>
    </row>
    <row r="366" spans="12:48" x14ac:dyDescent="0.35">
      <c r="L366" s="17"/>
      <c r="Q366" s="17"/>
      <c r="AV366" s="17"/>
    </row>
    <row r="367" spans="12:48" x14ac:dyDescent="0.35">
      <c r="L367" s="17"/>
      <c r="Q367" s="17"/>
      <c r="AV367" s="17"/>
    </row>
    <row r="368" spans="12:48" x14ac:dyDescent="0.35">
      <c r="Q368" s="17"/>
    </row>
    <row r="369" spans="17:17" x14ac:dyDescent="0.35">
      <c r="Q369" s="17"/>
    </row>
    <row r="370" spans="17:17" x14ac:dyDescent="0.35">
      <c r="Q370" s="17"/>
    </row>
    <row r="371" spans="17:17" x14ac:dyDescent="0.35">
      <c r="Q371" s="17"/>
    </row>
    <row r="372" spans="17:17" x14ac:dyDescent="0.35">
      <c r="Q372" s="17"/>
    </row>
    <row r="373" spans="17:17" x14ac:dyDescent="0.35">
      <c r="Q373" s="17"/>
    </row>
    <row r="374" spans="17:17" x14ac:dyDescent="0.35">
      <c r="Q374" s="17"/>
    </row>
    <row r="375" spans="17:17" x14ac:dyDescent="0.35">
      <c r="Q375" s="17"/>
    </row>
    <row r="376" spans="17:17" x14ac:dyDescent="0.35">
      <c r="Q376" s="17"/>
    </row>
    <row r="377" spans="17:17" x14ac:dyDescent="0.35">
      <c r="Q377" s="17"/>
    </row>
    <row r="378" spans="17:17" x14ac:dyDescent="0.35">
      <c r="Q378" s="17"/>
    </row>
    <row r="379" spans="17:17" x14ac:dyDescent="0.35">
      <c r="Q379" s="17"/>
    </row>
    <row r="380" spans="17:17" x14ac:dyDescent="0.35">
      <c r="Q380" s="17"/>
    </row>
    <row r="381" spans="17:17" x14ac:dyDescent="0.35">
      <c r="Q381" s="17"/>
    </row>
    <row r="382" spans="17:17" x14ac:dyDescent="0.35">
      <c r="Q382" s="17"/>
    </row>
    <row r="383" spans="17:17" x14ac:dyDescent="0.35">
      <c r="Q383" s="17"/>
    </row>
    <row r="384" spans="17:17" x14ac:dyDescent="0.35">
      <c r="Q384" s="17"/>
    </row>
    <row r="385" spans="17:17" x14ac:dyDescent="0.35">
      <c r="Q385" s="17"/>
    </row>
    <row r="386" spans="17:17" x14ac:dyDescent="0.35">
      <c r="Q386" s="17"/>
    </row>
    <row r="387" spans="17:17" x14ac:dyDescent="0.35">
      <c r="Q387" s="17"/>
    </row>
    <row r="388" spans="17:17" x14ac:dyDescent="0.35">
      <c r="Q388" s="17"/>
    </row>
    <row r="389" spans="17:17" x14ac:dyDescent="0.35">
      <c r="Q389" s="17"/>
    </row>
    <row r="390" spans="17:17" x14ac:dyDescent="0.35">
      <c r="Q390" s="17"/>
    </row>
    <row r="391" spans="17:17" x14ac:dyDescent="0.35">
      <c r="Q391" s="17"/>
    </row>
    <row r="392" spans="17:17" x14ac:dyDescent="0.35">
      <c r="Q392" s="17"/>
    </row>
    <row r="393" spans="17:17" x14ac:dyDescent="0.35">
      <c r="Q393" s="17"/>
    </row>
    <row r="394" spans="17:17" x14ac:dyDescent="0.35">
      <c r="Q394" s="17"/>
    </row>
    <row r="395" spans="17:17" x14ac:dyDescent="0.35">
      <c r="Q395" s="17"/>
    </row>
    <row r="396" spans="17:17" x14ac:dyDescent="0.35">
      <c r="Q396" s="17"/>
    </row>
    <row r="397" spans="17:17" x14ac:dyDescent="0.35">
      <c r="Q397" s="17"/>
    </row>
    <row r="398" spans="17:17" x14ac:dyDescent="0.35">
      <c r="Q398" s="17"/>
    </row>
    <row r="399" spans="17:17" x14ac:dyDescent="0.35">
      <c r="Q399" s="17"/>
    </row>
    <row r="400" spans="17:17" x14ac:dyDescent="0.35">
      <c r="Q400" s="17"/>
    </row>
    <row r="401" spans="17:17" x14ac:dyDescent="0.35">
      <c r="Q401" s="17"/>
    </row>
    <row r="402" spans="17:17" x14ac:dyDescent="0.35">
      <c r="Q402" s="17"/>
    </row>
    <row r="403" spans="17:17" x14ac:dyDescent="0.35">
      <c r="Q403" s="17"/>
    </row>
    <row r="404" spans="17:17" x14ac:dyDescent="0.35">
      <c r="Q404" s="17"/>
    </row>
    <row r="405" spans="17:17" x14ac:dyDescent="0.35">
      <c r="Q405" s="17"/>
    </row>
    <row r="406" spans="17:17" x14ac:dyDescent="0.35">
      <c r="Q406" s="17"/>
    </row>
    <row r="407" spans="17:17" x14ac:dyDescent="0.35">
      <c r="Q407" s="17"/>
    </row>
    <row r="408" spans="17:17" x14ac:dyDescent="0.35">
      <c r="Q408" s="17"/>
    </row>
    <row r="409" spans="17:17" x14ac:dyDescent="0.35">
      <c r="Q409" s="17"/>
    </row>
    <row r="410" spans="17:17" x14ac:dyDescent="0.35">
      <c r="Q410" s="17"/>
    </row>
    <row r="411" spans="17:17" x14ac:dyDescent="0.35">
      <c r="Q411" s="17"/>
    </row>
    <row r="412" spans="17:17" x14ac:dyDescent="0.35">
      <c r="Q412" s="17"/>
    </row>
    <row r="413" spans="17:17" x14ac:dyDescent="0.35">
      <c r="Q413" s="17"/>
    </row>
    <row r="414" spans="17:17" x14ac:dyDescent="0.35">
      <c r="Q414" s="17"/>
    </row>
    <row r="415" spans="17:17" x14ac:dyDescent="0.35">
      <c r="Q415" s="17"/>
    </row>
    <row r="416" spans="17:17" x14ac:dyDescent="0.35">
      <c r="Q416" s="17"/>
    </row>
    <row r="417" spans="17:17" x14ac:dyDescent="0.35">
      <c r="Q417" s="17"/>
    </row>
    <row r="418" spans="17:17" x14ac:dyDescent="0.35">
      <c r="Q418" s="17"/>
    </row>
    <row r="419" spans="17:17" x14ac:dyDescent="0.35">
      <c r="Q419" s="17"/>
    </row>
    <row r="420" spans="17:17" x14ac:dyDescent="0.35">
      <c r="Q420" s="17"/>
    </row>
    <row r="421" spans="17:17" x14ac:dyDescent="0.35">
      <c r="Q421" s="17"/>
    </row>
    <row r="422" spans="17:17" x14ac:dyDescent="0.35">
      <c r="Q422" s="17"/>
    </row>
    <row r="423" spans="17:17" x14ac:dyDescent="0.35">
      <c r="Q423" s="17"/>
    </row>
    <row r="424" spans="17:17" x14ac:dyDescent="0.35">
      <c r="Q424" s="17"/>
    </row>
    <row r="425" spans="17:17" x14ac:dyDescent="0.35">
      <c r="Q425" s="17"/>
    </row>
    <row r="426" spans="17:17" x14ac:dyDescent="0.35">
      <c r="Q426" s="17"/>
    </row>
    <row r="427" spans="17:17" x14ac:dyDescent="0.35">
      <c r="Q427" s="17"/>
    </row>
    <row r="428" spans="17:17" x14ac:dyDescent="0.35">
      <c r="Q428" s="17"/>
    </row>
    <row r="429" spans="17:17" x14ac:dyDescent="0.35">
      <c r="Q429" s="17"/>
    </row>
    <row r="430" spans="17:17" x14ac:dyDescent="0.35">
      <c r="Q430" s="17"/>
    </row>
    <row r="431" spans="17:17" x14ac:dyDescent="0.35">
      <c r="Q431" s="17"/>
    </row>
    <row r="432" spans="17:17" x14ac:dyDescent="0.35">
      <c r="Q432" s="17"/>
    </row>
    <row r="433" spans="17:17" x14ac:dyDescent="0.35">
      <c r="Q433" s="17"/>
    </row>
    <row r="434" spans="17:17" x14ac:dyDescent="0.35">
      <c r="Q434" s="17"/>
    </row>
    <row r="435" spans="17:17" x14ac:dyDescent="0.35">
      <c r="Q435" s="17"/>
    </row>
    <row r="436" spans="17:17" x14ac:dyDescent="0.35">
      <c r="Q436" s="17"/>
    </row>
    <row r="437" spans="17:17" x14ac:dyDescent="0.35">
      <c r="Q437" s="17"/>
    </row>
    <row r="438" spans="17:17" x14ac:dyDescent="0.35">
      <c r="Q438" s="17"/>
    </row>
    <row r="439" spans="17:17" x14ac:dyDescent="0.35">
      <c r="Q439" s="17"/>
    </row>
    <row r="440" spans="17:17" x14ac:dyDescent="0.35">
      <c r="Q440" s="17"/>
    </row>
    <row r="441" spans="17:17" x14ac:dyDescent="0.35">
      <c r="Q441" s="17"/>
    </row>
    <row r="442" spans="17:17" x14ac:dyDescent="0.35">
      <c r="Q442" s="17"/>
    </row>
    <row r="443" spans="17:17" x14ac:dyDescent="0.35">
      <c r="Q443" s="17"/>
    </row>
    <row r="444" spans="17:17" x14ac:dyDescent="0.35">
      <c r="Q444" s="17"/>
    </row>
    <row r="445" spans="17:17" x14ac:dyDescent="0.35">
      <c r="Q445" s="17"/>
    </row>
    <row r="446" spans="17:17" x14ac:dyDescent="0.35">
      <c r="Q446" s="17"/>
    </row>
    <row r="447" spans="17:17" x14ac:dyDescent="0.35">
      <c r="Q447" s="17"/>
    </row>
    <row r="448" spans="17:17" x14ac:dyDescent="0.35">
      <c r="Q448" s="17"/>
    </row>
    <row r="449" spans="17:17" x14ac:dyDescent="0.35">
      <c r="Q449" s="17"/>
    </row>
    <row r="450" spans="17:17" x14ac:dyDescent="0.35">
      <c r="Q450" s="17"/>
    </row>
    <row r="451" spans="17:17" x14ac:dyDescent="0.35">
      <c r="Q451" s="17"/>
    </row>
    <row r="452" spans="17:17" x14ac:dyDescent="0.35">
      <c r="Q452" s="17"/>
    </row>
    <row r="453" spans="17:17" x14ac:dyDescent="0.35">
      <c r="Q453" s="17"/>
    </row>
    <row r="454" spans="17:17" x14ac:dyDescent="0.35">
      <c r="Q454" s="17"/>
    </row>
    <row r="455" spans="17:17" x14ac:dyDescent="0.35">
      <c r="Q455" s="17"/>
    </row>
    <row r="456" spans="17:17" x14ac:dyDescent="0.35">
      <c r="Q456" s="17"/>
    </row>
    <row r="457" spans="17:17" x14ac:dyDescent="0.35">
      <c r="Q457" s="17"/>
    </row>
    <row r="458" spans="17:17" x14ac:dyDescent="0.35">
      <c r="Q458" s="17"/>
    </row>
    <row r="459" spans="17:17" x14ac:dyDescent="0.35">
      <c r="Q459" s="17"/>
    </row>
    <row r="460" spans="17:17" x14ac:dyDescent="0.35">
      <c r="Q460" s="17"/>
    </row>
    <row r="461" spans="17:17" x14ac:dyDescent="0.35">
      <c r="Q461" s="17"/>
    </row>
    <row r="462" spans="17:17" x14ac:dyDescent="0.35">
      <c r="Q462" s="17"/>
    </row>
    <row r="463" spans="17:17" x14ac:dyDescent="0.35">
      <c r="Q463" s="17"/>
    </row>
    <row r="464" spans="17:17" x14ac:dyDescent="0.35">
      <c r="Q464" s="17"/>
    </row>
    <row r="465" spans="17:17" x14ac:dyDescent="0.35">
      <c r="Q465" s="17"/>
    </row>
    <row r="466" spans="17:17" x14ac:dyDescent="0.35">
      <c r="Q466" s="17"/>
    </row>
    <row r="467" spans="17:17" x14ac:dyDescent="0.35">
      <c r="Q467" s="17"/>
    </row>
    <row r="468" spans="17:17" x14ac:dyDescent="0.35">
      <c r="Q468" s="17"/>
    </row>
    <row r="469" spans="17:17" x14ac:dyDescent="0.35">
      <c r="Q469" s="17"/>
    </row>
    <row r="470" spans="17:17" x14ac:dyDescent="0.35">
      <c r="Q470" s="17"/>
    </row>
    <row r="471" spans="17:17" x14ac:dyDescent="0.35">
      <c r="Q471" s="17"/>
    </row>
    <row r="472" spans="17:17" x14ac:dyDescent="0.35">
      <c r="Q472" s="17"/>
    </row>
    <row r="473" spans="17:17" x14ac:dyDescent="0.35">
      <c r="Q473" s="17"/>
    </row>
    <row r="474" spans="17:17" x14ac:dyDescent="0.35">
      <c r="Q474" s="17"/>
    </row>
    <row r="475" spans="17:17" x14ac:dyDescent="0.35">
      <c r="Q475" s="17"/>
    </row>
    <row r="476" spans="17:17" x14ac:dyDescent="0.35">
      <c r="Q476" s="17"/>
    </row>
    <row r="477" spans="17:17" x14ac:dyDescent="0.35">
      <c r="Q477" s="17"/>
    </row>
    <row r="478" spans="17:17" x14ac:dyDescent="0.35">
      <c r="Q478" s="17"/>
    </row>
    <row r="479" spans="17:17" x14ac:dyDescent="0.35">
      <c r="Q479" s="17"/>
    </row>
    <row r="480" spans="17:17" x14ac:dyDescent="0.35">
      <c r="Q480" s="17"/>
    </row>
    <row r="481" spans="17:17" x14ac:dyDescent="0.35">
      <c r="Q481" s="17"/>
    </row>
    <row r="482" spans="17:17" x14ac:dyDescent="0.35">
      <c r="Q482" s="17"/>
    </row>
    <row r="483" spans="17:17" x14ac:dyDescent="0.35">
      <c r="Q483" s="17"/>
    </row>
    <row r="484" spans="17:17" x14ac:dyDescent="0.35">
      <c r="Q484" s="17"/>
    </row>
    <row r="485" spans="17:17" x14ac:dyDescent="0.35">
      <c r="Q485" s="17"/>
    </row>
    <row r="486" spans="17:17" x14ac:dyDescent="0.35">
      <c r="Q486" s="17"/>
    </row>
    <row r="487" spans="17:17" x14ac:dyDescent="0.35">
      <c r="Q487" s="17"/>
    </row>
    <row r="488" spans="17:17" x14ac:dyDescent="0.35">
      <c r="Q488" s="17"/>
    </row>
    <row r="489" spans="17:17" x14ac:dyDescent="0.35">
      <c r="Q489" s="17"/>
    </row>
    <row r="490" spans="17:17" x14ac:dyDescent="0.35">
      <c r="Q490" s="17"/>
    </row>
    <row r="491" spans="17:17" x14ac:dyDescent="0.35">
      <c r="Q491" s="17"/>
    </row>
  </sheetData>
  <conditionalFormatting sqref="A5:AW5">
    <cfRule type="cellIs" dxfId="88" priority="135" operator="lessThan">
      <formula>0.9</formula>
    </cfRule>
  </conditionalFormatting>
  <conditionalFormatting sqref="A10:Q10 S10:AW10">
    <cfRule type="cellIs" dxfId="87" priority="134" operator="lessThan">
      <formula>300</formula>
    </cfRule>
  </conditionalFormatting>
  <conditionalFormatting sqref="C10">
    <cfRule type="cellIs" dxfId="86" priority="133" operator="lessThan">
      <formula>300</formula>
    </cfRule>
  </conditionalFormatting>
  <conditionalFormatting sqref="C5">
    <cfRule type="cellIs" dxfId="85" priority="132" operator="lessThan">
      <formula>0.9</formula>
    </cfRule>
  </conditionalFormatting>
  <conditionalFormatting sqref="B10">
    <cfRule type="cellIs" dxfId="84" priority="131" operator="lessThan">
      <formula>300</formula>
    </cfRule>
  </conditionalFormatting>
  <conditionalFormatting sqref="B5">
    <cfRule type="cellIs" dxfId="83" priority="130" operator="lessThan">
      <formula>0.9</formula>
    </cfRule>
  </conditionalFormatting>
  <conditionalFormatting sqref="D10">
    <cfRule type="cellIs" dxfId="82" priority="129" operator="lessThan">
      <formula>300</formula>
    </cfRule>
  </conditionalFormatting>
  <conditionalFormatting sqref="D5">
    <cfRule type="cellIs" dxfId="81" priority="128" operator="lessThan">
      <formula>0.9</formula>
    </cfRule>
  </conditionalFormatting>
  <conditionalFormatting sqref="E10">
    <cfRule type="cellIs" dxfId="80" priority="127" operator="lessThan">
      <formula>300</formula>
    </cfRule>
  </conditionalFormatting>
  <conditionalFormatting sqref="E5">
    <cfRule type="cellIs" dxfId="79" priority="126" operator="lessThan">
      <formula>0.9</formula>
    </cfRule>
  </conditionalFormatting>
  <conditionalFormatting sqref="F10">
    <cfRule type="cellIs" dxfId="78" priority="125" operator="lessThan">
      <formula>300</formula>
    </cfRule>
  </conditionalFormatting>
  <conditionalFormatting sqref="F5">
    <cfRule type="cellIs" dxfId="77" priority="124" operator="lessThan">
      <formula>0.9</formula>
    </cfRule>
  </conditionalFormatting>
  <conditionalFormatting sqref="G10">
    <cfRule type="cellIs" dxfId="76" priority="123" operator="lessThan">
      <formula>300</formula>
    </cfRule>
  </conditionalFormatting>
  <conditionalFormatting sqref="G5">
    <cfRule type="cellIs" dxfId="75" priority="122" operator="lessThan">
      <formula>0.9</formula>
    </cfRule>
  </conditionalFormatting>
  <conditionalFormatting sqref="H10">
    <cfRule type="cellIs" dxfId="74" priority="121" operator="lessThan">
      <formula>300</formula>
    </cfRule>
  </conditionalFormatting>
  <conditionalFormatting sqref="H5">
    <cfRule type="cellIs" dxfId="73" priority="120" operator="lessThan">
      <formula>0.9</formula>
    </cfRule>
  </conditionalFormatting>
  <conditionalFormatting sqref="I10">
    <cfRule type="cellIs" dxfId="72" priority="117" operator="lessThan">
      <formula>300</formula>
    </cfRule>
  </conditionalFormatting>
  <conditionalFormatting sqref="I5">
    <cfRule type="cellIs" dxfId="71" priority="116" operator="lessThan">
      <formula>0.9</formula>
    </cfRule>
  </conditionalFormatting>
  <conditionalFormatting sqref="J10">
    <cfRule type="cellIs" dxfId="70" priority="15" operator="lessThan">
      <formula>300</formula>
    </cfRule>
  </conditionalFormatting>
  <conditionalFormatting sqref="J5">
    <cfRule type="cellIs" dxfId="69" priority="14" operator="lessThan">
      <formula>0.9</formula>
    </cfRule>
  </conditionalFormatting>
  <conditionalFormatting sqref="AE5:AW5">
    <cfRule type="cellIs" dxfId="68" priority="7" operator="lessThan">
      <formula>0.9</formula>
    </cfRule>
  </conditionalFormatting>
  <conditionalFormatting sqref="AE10:AW10">
    <cfRule type="cellIs" dxfId="67" priority="6" operator="lessThan">
      <formula>300</formula>
    </cfRule>
  </conditionalFormatting>
  <conditionalFormatting sqref="Z5:AD5">
    <cfRule type="cellIs" dxfId="66" priority="5" operator="lessThan">
      <formula>0.9</formula>
    </cfRule>
  </conditionalFormatting>
  <conditionalFormatting sqref="Z10:AD10">
    <cfRule type="cellIs" dxfId="65" priority="4" operator="lessThan">
      <formula>300</formula>
    </cfRule>
  </conditionalFormatting>
  <conditionalFormatting sqref="R10">
    <cfRule type="cellIs" dxfId="2" priority="3" operator="lessThan">
      <formula>300</formula>
    </cfRule>
  </conditionalFormatting>
  <conditionalFormatting sqref="R10">
    <cfRule type="cellIs" dxfId="1" priority="2" operator="lessThan">
      <formula>300</formula>
    </cfRule>
  </conditionalFormatting>
  <conditionalFormatting sqref="R10">
    <cfRule type="cellIs" dxfId="0" priority="1" operator="lessThan">
      <formula>300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17"/>
  <sheetViews>
    <sheetView topLeftCell="P1" workbookViewId="0">
      <selection activeCell="B13" sqref="B13:AE13"/>
    </sheetView>
  </sheetViews>
  <sheetFormatPr defaultColWidth="10.58203125" defaultRowHeight="15.5" x14ac:dyDescent="0.35"/>
  <cols>
    <col min="5" max="5" width="10.58203125" style="13"/>
  </cols>
  <sheetData>
    <row r="1" spans="1:31" x14ac:dyDescent="0.35">
      <c r="A1" s="1" t="s">
        <v>0</v>
      </c>
      <c r="B1" s="2" t="s">
        <v>1</v>
      </c>
      <c r="C1" s="2" t="s">
        <v>2</v>
      </c>
      <c r="D1" s="3" t="s">
        <v>3</v>
      </c>
      <c r="E1" s="3"/>
    </row>
    <row r="2" spans="1:31" x14ac:dyDescent="0.35">
      <c r="A2" s="1"/>
      <c r="B2" s="3">
        <v>0.16214600000000001</v>
      </c>
      <c r="C2" s="16">
        <v>0.18360000000000001</v>
      </c>
      <c r="D2" s="3"/>
      <c r="E2" s="3"/>
    </row>
    <row r="3" spans="1:31" x14ac:dyDescent="0.35">
      <c r="A3" s="4"/>
      <c r="B3" s="5" t="s">
        <v>18</v>
      </c>
      <c r="C3" s="5" t="s">
        <v>19</v>
      </c>
      <c r="D3" s="5" t="s">
        <v>20</v>
      </c>
      <c r="E3" s="5" t="s">
        <v>21</v>
      </c>
      <c r="F3" s="20" t="s">
        <v>22</v>
      </c>
      <c r="G3" s="20" t="s">
        <v>23</v>
      </c>
      <c r="H3" s="20" t="s">
        <v>25</v>
      </c>
      <c r="I3" s="20" t="s">
        <v>26</v>
      </c>
      <c r="J3" s="20" t="s">
        <v>27</v>
      </c>
      <c r="K3" s="20" t="s">
        <v>28</v>
      </c>
      <c r="L3" s="20" t="s">
        <v>29</v>
      </c>
      <c r="M3" s="20" t="s">
        <v>30</v>
      </c>
      <c r="N3" s="20" t="s">
        <v>31</v>
      </c>
      <c r="O3" s="20" t="s">
        <v>32</v>
      </c>
      <c r="P3" s="20" t="s">
        <v>33</v>
      </c>
      <c r="Q3" s="20" t="s">
        <v>36</v>
      </c>
      <c r="R3" s="20" t="s">
        <v>34</v>
      </c>
      <c r="S3" s="20" t="s">
        <v>35</v>
      </c>
      <c r="T3" s="20" t="s">
        <v>40</v>
      </c>
      <c r="U3" s="20" t="s">
        <v>41</v>
      </c>
      <c r="V3" s="20" t="s">
        <v>42</v>
      </c>
      <c r="W3" s="20" t="s">
        <v>43</v>
      </c>
      <c r="X3" s="20" t="s">
        <v>44</v>
      </c>
      <c r="Y3" s="20" t="s">
        <v>45</v>
      </c>
      <c r="Z3" s="20" t="s">
        <v>46</v>
      </c>
      <c r="AA3" s="20" t="s">
        <v>47</v>
      </c>
      <c r="AB3" s="20" t="s">
        <v>48</v>
      </c>
      <c r="AC3" s="20" t="s">
        <v>49</v>
      </c>
      <c r="AD3" s="20" t="s">
        <v>50</v>
      </c>
      <c r="AE3" s="20" t="s">
        <v>51</v>
      </c>
    </row>
    <row r="4" spans="1:31" x14ac:dyDescent="0.35">
      <c r="A4" s="6" t="s">
        <v>4</v>
      </c>
      <c r="B4" s="2">
        <f t="shared" ref="B4" si="0">SLOPE(B17:B316,$A$17:$A$316)</f>
        <v>2.9414375270836342E-2</v>
      </c>
      <c r="C4" s="2">
        <f t="shared" ref="C4:Y4" si="1">SLOPE(C17:C316,$A$17:$A$316)</f>
        <v>6.5667377637529292E-2</v>
      </c>
      <c r="D4" s="2">
        <f t="shared" si="1"/>
        <v>4.0655229946999397E-2</v>
      </c>
      <c r="E4" s="2">
        <f t="shared" ref="E4" si="2">SLOPE(E17:E316,$A$17:$A$316)</f>
        <v>4.0607435638173768E-2</v>
      </c>
      <c r="F4" s="2">
        <f t="shared" si="1"/>
        <v>4.1834875054167296E-2</v>
      </c>
      <c r="G4" s="2">
        <f t="shared" ref="G4" si="3">SLOPE(G17:G316,$A$17:$A$316)</f>
        <v>2.4215606617851323E-2</v>
      </c>
      <c r="H4" s="2">
        <f t="shared" si="1"/>
        <v>1.5193657262858474E-2</v>
      </c>
      <c r="I4" s="2">
        <f t="shared" si="1"/>
        <v>5.5677318636873823E-3</v>
      </c>
      <c r="J4" s="2">
        <f t="shared" si="1"/>
        <v>3.3288949877220836E-2</v>
      </c>
      <c r="K4" s="2">
        <f t="shared" ref="K4" si="4">SLOPE(K17:K316,$A$17:$A$316)</f>
        <v>-7.6275600840009228E-3</v>
      </c>
      <c r="L4" s="2">
        <f t="shared" si="1"/>
        <v>6.930294781053014E-4</v>
      </c>
      <c r="M4" s="2">
        <f>SLOPE(S17:S316,$A$17:$A$316)</f>
        <v>-4.6621604684496505E-2</v>
      </c>
      <c r="N4" s="2">
        <f t="shared" ref="N4" si="5">SLOPE(N17:N316,$A$17:$A$316)</f>
        <v>3.941684574273048E-2</v>
      </c>
      <c r="O4" s="2">
        <f t="shared" si="1"/>
        <v>4.0957588639873796E-2</v>
      </c>
      <c r="P4" s="2">
        <f t="shared" si="1"/>
        <v>4.4135428171423984E-3</v>
      </c>
      <c r="Q4" s="2">
        <f t="shared" si="1"/>
        <v>0.10577315436838196</v>
      </c>
      <c r="R4" s="2" t="e">
        <f t="shared" si="1"/>
        <v>#DIV/0!</v>
      </c>
      <c r="S4" s="2">
        <f t="shared" ref="S4" si="6">SLOPE(S17:S316,$A$17:$A$316)</f>
        <v>-4.6621604684496505E-2</v>
      </c>
      <c r="T4" s="2" t="e">
        <f t="shared" si="1"/>
        <v>#DIV/0!</v>
      </c>
      <c r="U4" s="2">
        <f t="shared" si="1"/>
        <v>2.78037918199091E-2</v>
      </c>
      <c r="V4" s="2">
        <f t="shared" si="1"/>
        <v>6.5098774653051722E-2</v>
      </c>
      <c r="W4" s="2" t="e">
        <f t="shared" si="1"/>
        <v>#DIV/0!</v>
      </c>
      <c r="X4" s="2">
        <f t="shared" si="1"/>
        <v>6.4779130212557906E-2</v>
      </c>
      <c r="Y4" s="2">
        <f t="shared" si="1"/>
        <v>-9.9818952877254133E-2</v>
      </c>
      <c r="Z4" s="2">
        <f t="shared" ref="Z4:AB4" si="7">SLOPE(Z17:Z316,$A$17:$A$316)</f>
        <v>5.8440184002044468E-2</v>
      </c>
      <c r="AA4" s="2">
        <f t="shared" si="7"/>
        <v>1.45315110167891E-2</v>
      </c>
      <c r="AB4" s="2">
        <f t="shared" si="7"/>
        <v>4.7755423282480933E-2</v>
      </c>
      <c r="AC4" s="2">
        <f t="shared" ref="AC4:AE4" si="8">SLOPE(AC17:AC316,$A$17:$A$316)</f>
        <v>3.2437153746152754E-2</v>
      </c>
      <c r="AD4" s="2">
        <f t="shared" si="8"/>
        <v>1.9449372993033211E-2</v>
      </c>
      <c r="AE4" s="2">
        <f t="shared" si="8"/>
        <v>4.5947669418549088E-2</v>
      </c>
    </row>
    <row r="5" spans="1:31" x14ac:dyDescent="0.35">
      <c r="A5" s="6" t="s">
        <v>5</v>
      </c>
      <c r="B5" s="7">
        <f t="shared" ref="B5" si="9">RSQ(B17:B316,$A$17:$A$316)</f>
        <v>0.88469832304795026</v>
      </c>
      <c r="C5" s="7">
        <f t="shared" ref="C5:Y5" si="10">RSQ(C17:C316,$A$17:$A$316)</f>
        <v>0.9894263212330594</v>
      </c>
      <c r="D5" s="7">
        <f t="shared" si="10"/>
        <v>0.96404269345504034</v>
      </c>
      <c r="E5" s="7">
        <f t="shared" ref="E5" si="11">RSQ(E17:E316,$A$17:$A$316)</f>
        <v>0.95962068182714411</v>
      </c>
      <c r="F5" s="7">
        <f t="shared" si="10"/>
        <v>0.93486075035914695</v>
      </c>
      <c r="G5" s="7">
        <f t="shared" ref="G5" si="12">RSQ(G17:G316,$A$17:$A$316)</f>
        <v>0.84258717781075532</v>
      </c>
      <c r="H5" s="7">
        <f t="shared" si="10"/>
        <v>0.852531471309115</v>
      </c>
      <c r="I5" s="7">
        <f t="shared" si="10"/>
        <v>0.38869594181543843</v>
      </c>
      <c r="J5" s="7">
        <f t="shared" si="10"/>
        <v>0.94915999590742994</v>
      </c>
      <c r="K5" s="7">
        <f t="shared" ref="K5" si="13">RSQ(K17:K316,$A$17:$A$316)</f>
        <v>0.41748843354797199</v>
      </c>
      <c r="L5" s="7">
        <f t="shared" si="10"/>
        <v>4.372272656034893E-3</v>
      </c>
      <c r="M5" s="7">
        <f>RSQ(S17:S316,$A$17:$A$316)</f>
        <v>0.83143355178468636</v>
      </c>
      <c r="N5" s="7">
        <f t="shared" ref="N5" si="14">RSQ(N17:N316,$A$17:$A$316)</f>
        <v>0.93609243424813171</v>
      </c>
      <c r="O5" s="7">
        <f t="shared" si="10"/>
        <v>0.89317602062020485</v>
      </c>
      <c r="P5" s="7">
        <f t="shared" si="10"/>
        <v>7.8419857717606234E-2</v>
      </c>
      <c r="Q5" s="7">
        <f t="shared" si="10"/>
        <v>0.98518707393754501</v>
      </c>
      <c r="R5" s="7" t="e">
        <f t="shared" si="10"/>
        <v>#DIV/0!</v>
      </c>
      <c r="S5" s="7">
        <f t="shared" ref="S5" si="15">RSQ(S17:S316,$A$17:$A$316)</f>
        <v>0.83143355178468636</v>
      </c>
      <c r="T5" s="7" t="e">
        <f t="shared" si="10"/>
        <v>#DIV/0!</v>
      </c>
      <c r="U5" s="7">
        <f t="shared" si="10"/>
        <v>0.90399875775880878</v>
      </c>
      <c r="V5" s="7">
        <f t="shared" si="10"/>
        <v>0.96757051113830184</v>
      </c>
      <c r="W5" s="7" t="e">
        <f t="shared" si="10"/>
        <v>#DIV/0!</v>
      </c>
      <c r="X5" s="7">
        <f t="shared" si="10"/>
        <v>0.9813073851054307</v>
      </c>
      <c r="Y5" s="7">
        <f t="shared" si="10"/>
        <v>0.93914483550759276</v>
      </c>
      <c r="Z5" s="7">
        <f t="shared" ref="Z5:AB5" si="16">RSQ(Z17:Z316,$A$17:$A$316)</f>
        <v>0.94552584318181265</v>
      </c>
      <c r="AA5" s="7">
        <f t="shared" si="16"/>
        <v>0.32053768796334253</v>
      </c>
      <c r="AB5" s="7">
        <f t="shared" si="16"/>
        <v>0.89973687529413671</v>
      </c>
      <c r="AC5" s="7">
        <f t="shared" ref="AC5:AE5" si="17">RSQ(AC17:AC316,$A$17:$A$316)</f>
        <v>0.85955290714091304</v>
      </c>
      <c r="AD5" s="7">
        <f t="shared" si="17"/>
        <v>0.70651770635021649</v>
      </c>
      <c r="AE5" s="7">
        <f t="shared" si="17"/>
        <v>0.79731646338361994</v>
      </c>
    </row>
    <row r="6" spans="1:31" x14ac:dyDescent="0.35">
      <c r="A6" s="6" t="s">
        <v>6</v>
      </c>
      <c r="B6" s="2">
        <f t="shared" ref="B6" si="18">B17</f>
        <v>411.93099999999998</v>
      </c>
      <c r="C6" s="2">
        <f t="shared" ref="C6:Y6" si="19">C17</f>
        <v>406.18099999999998</v>
      </c>
      <c r="D6" s="2">
        <f t="shared" si="19"/>
        <v>400.74099999999999</v>
      </c>
      <c r="E6" s="2">
        <f t="shared" ref="E6" si="20">E17</f>
        <v>423.38</v>
      </c>
      <c r="F6" s="2">
        <f t="shared" si="19"/>
        <v>397.29399999999998</v>
      </c>
      <c r="G6" s="2">
        <f t="shared" ref="G6" si="21">G17</f>
        <v>410.77499999999998</v>
      </c>
      <c r="H6" s="2">
        <f t="shared" si="19"/>
        <v>398.411</v>
      </c>
      <c r="I6" s="2">
        <f t="shared" si="19"/>
        <v>481.81599999999997</v>
      </c>
      <c r="J6" s="2">
        <f t="shared" si="19"/>
        <v>406.33699999999999</v>
      </c>
      <c r="K6" s="2">
        <f t="shared" ref="K6" si="22">K17</f>
        <v>456.49200000000002</v>
      </c>
      <c r="L6" s="2">
        <f t="shared" si="19"/>
        <v>417.02600000000001</v>
      </c>
      <c r="M6" s="2">
        <f>S17</f>
        <v>477.46899999999999</v>
      </c>
      <c r="N6" s="2">
        <f t="shared" ref="N6" si="23">N17</f>
        <v>405.65800000000002</v>
      </c>
      <c r="O6" s="2">
        <f t="shared" si="19"/>
        <v>405.88499999999999</v>
      </c>
      <c r="P6" s="2">
        <f t="shared" si="19"/>
        <v>549.87400000000002</v>
      </c>
      <c r="Q6" s="2">
        <f t="shared" si="19"/>
        <v>409.44200000000001</v>
      </c>
      <c r="R6" s="2">
        <f t="shared" si="19"/>
        <v>0</v>
      </c>
      <c r="S6" s="2">
        <f t="shared" ref="S6" si="24">S17</f>
        <v>477.46899999999999</v>
      </c>
      <c r="T6" s="2">
        <f t="shared" si="19"/>
        <v>0</v>
      </c>
      <c r="U6" s="2">
        <f t="shared" si="19"/>
        <v>400.46499999999997</v>
      </c>
      <c r="V6" s="2">
        <f t="shared" si="19"/>
        <v>397.92099999999999</v>
      </c>
      <c r="W6" s="2">
        <f t="shared" si="19"/>
        <v>0</v>
      </c>
      <c r="X6" s="2">
        <f t="shared" si="19"/>
        <v>420.57100000000003</v>
      </c>
      <c r="Y6" s="2">
        <f t="shared" si="19"/>
        <v>697.54499999999996</v>
      </c>
      <c r="Z6" s="2">
        <f t="shared" ref="Z6:AB6" si="25">Z17</f>
        <v>396.09399999999999</v>
      </c>
      <c r="AA6" s="2">
        <f t="shared" si="25"/>
        <v>433.577</v>
      </c>
      <c r="AB6" s="2">
        <f t="shared" si="25"/>
        <v>408.44</v>
      </c>
      <c r="AC6" s="2">
        <f t="shared" ref="AC6:AE6" si="26">AC17</f>
        <v>395.95299999999997</v>
      </c>
      <c r="AD6" s="2">
        <f t="shared" si="26"/>
        <v>411.10899999999998</v>
      </c>
      <c r="AE6" s="2">
        <f t="shared" si="26"/>
        <v>394.27800000000002</v>
      </c>
    </row>
    <row r="7" spans="1:31" x14ac:dyDescent="0.35">
      <c r="A7" s="6" t="s">
        <v>7</v>
      </c>
      <c r="B7" s="8">
        <f t="shared" ref="B7" si="27">B316</f>
        <v>420.66399999999999</v>
      </c>
      <c r="C7" s="8">
        <f t="shared" ref="C7:Y7" si="28">C316</f>
        <v>424.767</v>
      </c>
      <c r="D7" s="8">
        <f t="shared" si="28"/>
        <v>412.19499999999999</v>
      </c>
      <c r="E7" s="8">
        <f t="shared" ref="E7" si="29">E316</f>
        <v>428.63499999999999</v>
      </c>
      <c r="F7" s="8">
        <f t="shared" si="28"/>
        <v>409.21</v>
      </c>
      <c r="G7" s="8">
        <f t="shared" ref="G7" si="30">G316</f>
        <v>418.00200000000001</v>
      </c>
      <c r="H7" s="8">
        <f t="shared" si="28"/>
        <v>403.64299999999997</v>
      </c>
      <c r="I7" s="8">
        <f t="shared" si="28"/>
        <v>482.58699999999999</v>
      </c>
      <c r="J7" s="8">
        <f t="shared" si="28"/>
        <v>415.39600000000002</v>
      </c>
      <c r="K7" s="8">
        <f t="shared" ref="K7" si="31">K316</f>
        <v>453.017</v>
      </c>
      <c r="L7" s="8">
        <f t="shared" si="28"/>
        <v>415.46</v>
      </c>
      <c r="M7" s="8">
        <f>S316</f>
        <v>458.77499999999998</v>
      </c>
      <c r="N7" s="8">
        <f t="shared" ref="N7" si="32">N316</f>
        <v>418.33699999999999</v>
      </c>
      <c r="O7" s="8">
        <f t="shared" si="28"/>
        <v>418.40600000000001</v>
      </c>
      <c r="P7" s="8">
        <f t="shared" si="28"/>
        <v>552.83100000000002</v>
      </c>
      <c r="Q7" s="8">
        <f t="shared" si="28"/>
        <v>437.041</v>
      </c>
      <c r="R7" s="8">
        <f t="shared" si="28"/>
        <v>0</v>
      </c>
      <c r="S7" s="8">
        <f t="shared" ref="S7" si="33">S316</f>
        <v>458.77499999999998</v>
      </c>
      <c r="T7" s="8">
        <f t="shared" si="28"/>
        <v>0</v>
      </c>
      <c r="U7" s="8">
        <f t="shared" si="28"/>
        <v>407.80200000000002</v>
      </c>
      <c r="V7" s="8">
        <f t="shared" si="28"/>
        <v>420.68700000000001</v>
      </c>
      <c r="W7" s="8">
        <f t="shared" si="28"/>
        <v>0</v>
      </c>
      <c r="X7" s="8">
        <f t="shared" si="28"/>
        <v>440.51400000000001</v>
      </c>
      <c r="Y7" s="8">
        <f t="shared" si="28"/>
        <v>661.97400000000005</v>
      </c>
      <c r="Z7" s="8">
        <f t="shared" ref="Z7:AB7" si="34">Z316</f>
        <v>415.12400000000002</v>
      </c>
      <c r="AA7" s="8">
        <f t="shared" si="34"/>
        <v>437.73700000000002</v>
      </c>
      <c r="AB7" s="8">
        <f t="shared" si="34"/>
        <v>420.00799999999998</v>
      </c>
      <c r="AC7" s="8">
        <f t="shared" ref="AC7:AE7" si="35">AC316</f>
        <v>406.685</v>
      </c>
      <c r="AD7" s="8">
        <f t="shared" si="35"/>
        <v>416.154</v>
      </c>
      <c r="AE7" s="8">
        <f t="shared" si="35"/>
        <v>404.20699999999999</v>
      </c>
    </row>
    <row r="8" spans="1:31" x14ac:dyDescent="0.35">
      <c r="A8" s="6" t="s">
        <v>8</v>
      </c>
      <c r="B8" s="2">
        <f t="shared" ref="B8" si="36">B7-B6</f>
        <v>8.7330000000000041</v>
      </c>
      <c r="C8" s="2">
        <f t="shared" ref="C8:AB8" si="37">C7-C6</f>
        <v>18.586000000000013</v>
      </c>
      <c r="D8" s="2">
        <f t="shared" si="37"/>
        <v>11.454000000000008</v>
      </c>
      <c r="E8" s="2">
        <f t="shared" ref="E8" si="38">E7-E6</f>
        <v>5.2549999999999955</v>
      </c>
      <c r="F8" s="2">
        <f t="shared" si="37"/>
        <v>11.915999999999997</v>
      </c>
      <c r="G8" s="2">
        <f t="shared" ref="G8" si="39">G7-G6</f>
        <v>7.2270000000000323</v>
      </c>
      <c r="H8" s="2">
        <f t="shared" si="37"/>
        <v>5.2319999999999709</v>
      </c>
      <c r="I8" s="2">
        <f t="shared" si="37"/>
        <v>0.77100000000001501</v>
      </c>
      <c r="J8" s="2">
        <f t="shared" si="37"/>
        <v>9.0590000000000259</v>
      </c>
      <c r="K8" s="2">
        <f t="shared" ref="K8" si="40">K7-K6</f>
        <v>-3.4750000000000227</v>
      </c>
      <c r="L8" s="2">
        <f t="shared" si="37"/>
        <v>-1.5660000000000309</v>
      </c>
      <c r="M8" s="2">
        <f t="shared" si="37"/>
        <v>-18.694000000000017</v>
      </c>
      <c r="N8" s="2">
        <f t="shared" ref="N8" si="41">N7-N6</f>
        <v>12.678999999999974</v>
      </c>
      <c r="O8" s="2">
        <f t="shared" ref="O8:P8" si="42">O7-O6</f>
        <v>12.521000000000015</v>
      </c>
      <c r="P8" s="2">
        <f t="shared" si="42"/>
        <v>2.9569999999999936</v>
      </c>
      <c r="Q8" s="2">
        <f t="shared" si="37"/>
        <v>27.59899999999999</v>
      </c>
      <c r="R8" s="2">
        <f t="shared" si="37"/>
        <v>0</v>
      </c>
      <c r="S8" s="2">
        <f t="shared" ref="S8" si="43">S7-S6</f>
        <v>-18.694000000000017</v>
      </c>
      <c r="T8" s="2">
        <f t="shared" si="37"/>
        <v>0</v>
      </c>
      <c r="U8" s="2">
        <f t="shared" si="37"/>
        <v>7.3370000000000459</v>
      </c>
      <c r="V8" s="2">
        <f t="shared" si="37"/>
        <v>22.76600000000002</v>
      </c>
      <c r="W8" s="2">
        <f t="shared" si="37"/>
        <v>0</v>
      </c>
      <c r="X8" s="2">
        <f t="shared" si="37"/>
        <v>19.942999999999984</v>
      </c>
      <c r="Y8" s="2">
        <f t="shared" si="37"/>
        <v>-35.570999999999913</v>
      </c>
      <c r="Z8" s="2">
        <f t="shared" si="37"/>
        <v>19.03000000000003</v>
      </c>
      <c r="AA8" s="2">
        <f t="shared" si="37"/>
        <v>4.160000000000025</v>
      </c>
      <c r="AB8" s="2">
        <f t="shared" si="37"/>
        <v>11.567999999999984</v>
      </c>
      <c r="AC8" s="2">
        <f t="shared" ref="AC8:AE8" si="44">AC7-AC6</f>
        <v>10.732000000000028</v>
      </c>
      <c r="AD8" s="2">
        <f t="shared" si="44"/>
        <v>5.0450000000000159</v>
      </c>
      <c r="AE8" s="2">
        <f t="shared" si="44"/>
        <v>9.9289999999999736</v>
      </c>
    </row>
    <row r="9" spans="1:31" x14ac:dyDescent="0.35">
      <c r="A9" s="6" t="s">
        <v>9</v>
      </c>
      <c r="B9" s="2">
        <f t="shared" ref="B9" si="45">B8/5</f>
        <v>1.7466000000000008</v>
      </c>
      <c r="C9" s="2">
        <f t="shared" ref="C9:AB9" si="46">C8/5</f>
        <v>3.7172000000000027</v>
      </c>
      <c r="D9" s="2">
        <f t="shared" si="46"/>
        <v>2.2908000000000017</v>
      </c>
      <c r="E9" s="2">
        <f t="shared" ref="E9" si="47">E8/5</f>
        <v>1.050999999999999</v>
      </c>
      <c r="F9" s="2">
        <f t="shared" si="46"/>
        <v>2.3831999999999995</v>
      </c>
      <c r="G9" s="2">
        <f t="shared" ref="G9" si="48">G8/5</f>
        <v>1.4454000000000065</v>
      </c>
      <c r="H9" s="2">
        <f t="shared" si="46"/>
        <v>1.0463999999999942</v>
      </c>
      <c r="I9" s="2">
        <f t="shared" si="46"/>
        <v>0.154200000000003</v>
      </c>
      <c r="J9" s="2">
        <f t="shared" si="46"/>
        <v>1.8118000000000052</v>
      </c>
      <c r="K9" s="2">
        <f t="shared" ref="K9" si="49">K8/5</f>
        <v>-0.6950000000000045</v>
      </c>
      <c r="L9" s="2">
        <f t="shared" si="46"/>
        <v>-0.3132000000000062</v>
      </c>
      <c r="M9" s="2">
        <f t="shared" si="46"/>
        <v>-3.7388000000000035</v>
      </c>
      <c r="N9" s="2">
        <f t="shared" ref="N9" si="50">N8/5</f>
        <v>2.5357999999999947</v>
      </c>
      <c r="O9" s="2">
        <f t="shared" ref="O9:P9" si="51">O8/5</f>
        <v>2.5042000000000031</v>
      </c>
      <c r="P9" s="2">
        <f t="shared" si="51"/>
        <v>0.5913999999999987</v>
      </c>
      <c r="Q9" s="2">
        <f t="shared" si="46"/>
        <v>5.5197999999999983</v>
      </c>
      <c r="R9" s="2">
        <f t="shared" si="46"/>
        <v>0</v>
      </c>
      <c r="S9" s="2">
        <f t="shared" ref="S9" si="52">S8/5</f>
        <v>-3.7388000000000035</v>
      </c>
      <c r="T9" s="2">
        <f t="shared" si="46"/>
        <v>0</v>
      </c>
      <c r="U9" s="2">
        <f t="shared" si="46"/>
        <v>1.4674000000000091</v>
      </c>
      <c r="V9" s="2">
        <f t="shared" si="46"/>
        <v>4.5532000000000039</v>
      </c>
      <c r="W9" s="2">
        <f t="shared" si="46"/>
        <v>0</v>
      </c>
      <c r="X9" s="2">
        <f t="shared" si="46"/>
        <v>3.9885999999999968</v>
      </c>
      <c r="Y9" s="2">
        <f t="shared" si="46"/>
        <v>-7.1141999999999825</v>
      </c>
      <c r="Z9" s="2">
        <f t="shared" si="46"/>
        <v>3.8060000000000058</v>
      </c>
      <c r="AA9" s="2">
        <f t="shared" si="46"/>
        <v>0.83200000000000496</v>
      </c>
      <c r="AB9" s="2">
        <f t="shared" si="46"/>
        <v>2.3135999999999965</v>
      </c>
      <c r="AC9" s="2">
        <f t="shared" ref="AC9:AE9" si="53">AC8/5</f>
        <v>2.1464000000000056</v>
      </c>
      <c r="AD9" s="2">
        <f t="shared" si="53"/>
        <v>1.0090000000000032</v>
      </c>
      <c r="AE9" s="2">
        <f t="shared" si="53"/>
        <v>1.9857999999999947</v>
      </c>
    </row>
    <row r="10" spans="1:31" x14ac:dyDescent="0.35">
      <c r="A10" s="9" t="s">
        <v>10</v>
      </c>
      <c r="B10" s="2">
        <v>300</v>
      </c>
      <c r="C10" s="2">
        <v>300</v>
      </c>
      <c r="D10" s="2">
        <v>300</v>
      </c>
      <c r="E10" s="2">
        <v>300</v>
      </c>
      <c r="F10" s="2">
        <v>300</v>
      </c>
      <c r="G10" s="2">
        <v>300</v>
      </c>
      <c r="H10" s="2">
        <v>300</v>
      </c>
      <c r="I10" s="2">
        <v>300</v>
      </c>
      <c r="J10" s="2">
        <v>300</v>
      </c>
      <c r="K10" s="2">
        <v>300</v>
      </c>
      <c r="L10" s="2">
        <v>300</v>
      </c>
      <c r="M10" s="2">
        <v>300</v>
      </c>
      <c r="N10" s="2">
        <v>300</v>
      </c>
      <c r="O10" s="2">
        <v>300</v>
      </c>
      <c r="P10" s="2">
        <v>300</v>
      </c>
      <c r="Q10" s="2">
        <v>300</v>
      </c>
      <c r="R10" s="2">
        <v>300</v>
      </c>
      <c r="S10" s="2">
        <v>300</v>
      </c>
      <c r="T10" s="2">
        <v>300</v>
      </c>
      <c r="U10" s="2">
        <v>300</v>
      </c>
      <c r="V10" s="2">
        <v>300</v>
      </c>
      <c r="W10" s="2">
        <v>300</v>
      </c>
      <c r="X10" s="2">
        <v>300</v>
      </c>
      <c r="Y10" s="2">
        <v>300</v>
      </c>
      <c r="Z10" s="2">
        <v>300</v>
      </c>
      <c r="AA10" s="2">
        <v>300</v>
      </c>
      <c r="AB10" s="2">
        <v>300</v>
      </c>
      <c r="AC10" s="2">
        <v>300</v>
      </c>
      <c r="AD10" s="2">
        <v>300</v>
      </c>
      <c r="AE10" s="2">
        <v>300</v>
      </c>
    </row>
    <row r="11" spans="1:31" x14ac:dyDescent="0.35">
      <c r="A11" s="6" t="s">
        <v>11</v>
      </c>
      <c r="B11" s="2">
        <f t="shared" ref="B11" si="54">B6*$C$2</f>
        <v>75.630531599999998</v>
      </c>
      <c r="C11" s="2">
        <f t="shared" ref="C11:Y11" si="55">C6*$C$2</f>
        <v>74.574831599999996</v>
      </c>
      <c r="D11" s="2">
        <f t="shared" si="55"/>
        <v>73.57604760000001</v>
      </c>
      <c r="E11" s="2">
        <f t="shared" ref="E11" si="56">E6*$C$2</f>
        <v>77.732568000000001</v>
      </c>
      <c r="F11" s="2">
        <f t="shared" si="55"/>
        <v>72.943178400000008</v>
      </c>
      <c r="G11" s="2">
        <f t="shared" ref="G11" si="57">G6*$C$2</f>
        <v>75.418289999999999</v>
      </c>
      <c r="H11" s="2">
        <f t="shared" si="55"/>
        <v>73.148259600000003</v>
      </c>
      <c r="I11" s="2">
        <f t="shared" si="55"/>
        <v>88.461417600000004</v>
      </c>
      <c r="J11" s="2">
        <f t="shared" si="55"/>
        <v>74.603473199999996</v>
      </c>
      <c r="K11" s="2">
        <f t="shared" ref="K11" si="58">K6*$C$2</f>
        <v>83.811931200000004</v>
      </c>
      <c r="L11" s="2">
        <f t="shared" si="55"/>
        <v>76.565973600000007</v>
      </c>
      <c r="M11" s="2">
        <f t="shared" si="55"/>
        <v>87.663308400000005</v>
      </c>
      <c r="N11" s="2">
        <f t="shared" ref="N11" si="59">N6*$C$2</f>
        <v>74.47880880000001</v>
      </c>
      <c r="O11" s="2">
        <f t="shared" ref="O11:P11" si="60">O6*$C$2</f>
        <v>74.520486000000005</v>
      </c>
      <c r="P11" s="2">
        <f t="shared" si="60"/>
        <v>100.95686640000001</v>
      </c>
      <c r="Q11" s="2">
        <f t="shared" si="55"/>
        <v>75.173551200000006</v>
      </c>
      <c r="R11" s="2">
        <f t="shared" si="55"/>
        <v>0</v>
      </c>
      <c r="S11" s="2">
        <f t="shared" ref="S11" si="61">S6*$C$2</f>
        <v>87.663308400000005</v>
      </c>
      <c r="T11" s="2">
        <f t="shared" si="55"/>
        <v>0</v>
      </c>
      <c r="U11" s="2">
        <f t="shared" si="55"/>
        <v>73.525373999999999</v>
      </c>
      <c r="V11" s="2">
        <f t="shared" si="55"/>
        <v>73.058295600000008</v>
      </c>
      <c r="W11" s="2">
        <f t="shared" si="55"/>
        <v>0</v>
      </c>
      <c r="X11" s="2">
        <f t="shared" si="55"/>
        <v>77.21683560000001</v>
      </c>
      <c r="Y11" s="2">
        <f t="shared" si="55"/>
        <v>128.06926200000001</v>
      </c>
      <c r="Z11" s="2">
        <f t="shared" ref="Z11:AB11" si="62">Z6*$C$2</f>
        <v>72.722858400000007</v>
      </c>
      <c r="AA11" s="2">
        <f t="shared" si="62"/>
        <v>79.604737200000002</v>
      </c>
      <c r="AB11" s="2">
        <f t="shared" si="62"/>
        <v>74.989584000000008</v>
      </c>
      <c r="AC11" s="2">
        <f t="shared" ref="AC11:AE11" si="63">AC6*$C$2</f>
        <v>72.696970800000003</v>
      </c>
      <c r="AD11" s="2">
        <f t="shared" si="63"/>
        <v>75.479612400000008</v>
      </c>
      <c r="AE11" s="2">
        <f t="shared" si="63"/>
        <v>72.389440800000003</v>
      </c>
    </row>
    <row r="12" spans="1:31" x14ac:dyDescent="0.35">
      <c r="A12" s="6" t="s">
        <v>12</v>
      </c>
      <c r="B12" s="2">
        <f t="shared" ref="B12" si="64">$C$2*B7</f>
        <v>77.233910399999999</v>
      </c>
      <c r="C12" s="2">
        <f t="shared" ref="C12:Y12" si="65">$C$2*C7</f>
        <v>77.987221200000008</v>
      </c>
      <c r="D12" s="2">
        <f t="shared" si="65"/>
        <v>75.679002000000011</v>
      </c>
      <c r="E12" s="2">
        <f t="shared" ref="E12" si="66">$C$2*E7</f>
        <v>78.697386000000009</v>
      </c>
      <c r="F12" s="2">
        <f t="shared" si="65"/>
        <v>75.130955999999998</v>
      </c>
      <c r="G12" s="2">
        <f t="shared" ref="G12" si="67">$C$2*G7</f>
        <v>76.745167200000012</v>
      </c>
      <c r="H12" s="2">
        <f t="shared" si="65"/>
        <v>74.108854800000003</v>
      </c>
      <c r="I12" s="2">
        <f t="shared" si="65"/>
        <v>88.602973200000008</v>
      </c>
      <c r="J12" s="2">
        <f t="shared" si="65"/>
        <v>76.266705600000009</v>
      </c>
      <c r="K12" s="2">
        <f t="shared" ref="K12" si="68">$C$2*K7</f>
        <v>83.173921200000009</v>
      </c>
      <c r="L12" s="2">
        <f t="shared" si="65"/>
        <v>76.278456000000006</v>
      </c>
      <c r="M12" s="2">
        <f t="shared" si="65"/>
        <v>84.231090000000009</v>
      </c>
      <c r="N12" s="2">
        <f t="shared" ref="N12" si="69">$C$2*N7</f>
        <v>76.806673200000006</v>
      </c>
      <c r="O12" s="2">
        <f t="shared" ref="O12:P12" si="70">$C$2*O7</f>
        <v>76.819341600000001</v>
      </c>
      <c r="P12" s="2">
        <f t="shared" si="70"/>
        <v>101.49977160000002</v>
      </c>
      <c r="Q12" s="2">
        <f t="shared" si="65"/>
        <v>80.2407276</v>
      </c>
      <c r="R12" s="2">
        <f t="shared" si="65"/>
        <v>0</v>
      </c>
      <c r="S12" s="2">
        <f t="shared" ref="S12" si="71">$C$2*S7</f>
        <v>84.231090000000009</v>
      </c>
      <c r="T12" s="2">
        <f t="shared" si="65"/>
        <v>0</v>
      </c>
      <c r="U12" s="2">
        <f t="shared" si="65"/>
        <v>74.872447200000011</v>
      </c>
      <c r="V12" s="2">
        <f t="shared" si="65"/>
        <v>77.238133200000007</v>
      </c>
      <c r="W12" s="2">
        <f t="shared" si="65"/>
        <v>0</v>
      </c>
      <c r="X12" s="2">
        <f t="shared" si="65"/>
        <v>80.878370400000009</v>
      </c>
      <c r="Y12" s="2">
        <f t="shared" si="65"/>
        <v>121.53842640000002</v>
      </c>
      <c r="Z12" s="2">
        <f t="shared" ref="Z12:AB12" si="72">$C$2*Z7</f>
        <v>76.216766400000012</v>
      </c>
      <c r="AA12" s="2">
        <f t="shared" si="72"/>
        <v>80.36851320000001</v>
      </c>
      <c r="AB12" s="2">
        <f t="shared" si="72"/>
        <v>77.113468800000007</v>
      </c>
      <c r="AC12" s="2">
        <f t="shared" ref="AC12:AE12" si="73">$C$2*AC7</f>
        <v>74.667366000000001</v>
      </c>
      <c r="AD12" s="2">
        <f t="shared" si="73"/>
        <v>76.405874400000002</v>
      </c>
      <c r="AE12" s="2">
        <f t="shared" si="73"/>
        <v>74.212405200000006</v>
      </c>
    </row>
    <row r="13" spans="1:31" x14ac:dyDescent="0.35">
      <c r="A13" s="10" t="s">
        <v>13</v>
      </c>
      <c r="B13" s="11">
        <f t="shared" ref="B13" si="74">(B12-B11)/$B$2/(B10/60/60)</f>
        <v>118.66185783183067</v>
      </c>
      <c r="C13" s="11">
        <f t="shared" ref="C13:AB13" si="75">(C12-C11)/$B$2/(C10/60/60)</f>
        <v>252.542000419376</v>
      </c>
      <c r="D13" s="11">
        <f t="shared" si="75"/>
        <v>155.63413713566797</v>
      </c>
      <c r="E13" s="11">
        <f t="shared" ref="E13" si="76">(E12-E11)/$B$2/(E10/60/60)</f>
        <v>71.403648563640772</v>
      </c>
      <c r="F13" s="11">
        <f t="shared" si="75"/>
        <v>161.91167959739911</v>
      </c>
      <c r="G13" s="11">
        <f t="shared" ref="G13" si="77">(G12-G11)/$B$2/(G10/60/60)</f>
        <v>98.198699937094659</v>
      </c>
      <c r="H13" s="11">
        <f t="shared" si="75"/>
        <v>71.091130215978211</v>
      </c>
      <c r="I13" s="11">
        <f t="shared" si="75"/>
        <v>10.476158523799818</v>
      </c>
      <c r="J13" s="11">
        <f t="shared" si="75"/>
        <v>123.09146571608396</v>
      </c>
      <c r="K13" s="11">
        <f t="shared" ref="K13" si="78">(K12-K11)/$B$2/(K10/60/60)</f>
        <v>-47.217446005451443</v>
      </c>
      <c r="L13" s="11">
        <f t="shared" si="75"/>
        <v>-21.278423149507312</v>
      </c>
      <c r="M13" s="11">
        <f t="shared" si="75"/>
        <v>-254.00947787796156</v>
      </c>
      <c r="N13" s="11">
        <f t="shared" ref="N13" si="79">(N12-N11)/$B$2/(N10/60/60)</f>
        <v>172.27913608722972</v>
      </c>
      <c r="O13" s="11">
        <f t="shared" ref="O13:P13" si="80">(O12-O11)/$B$2/(O10/60/60)</f>
        <v>170.13227091633436</v>
      </c>
      <c r="P13" s="11">
        <f t="shared" si="80"/>
        <v>40.178989305934678</v>
      </c>
      <c r="Q13" s="11">
        <f t="shared" si="75"/>
        <v>375.00842944013374</v>
      </c>
      <c r="R13" s="11">
        <f t="shared" si="75"/>
        <v>0</v>
      </c>
      <c r="S13" s="11">
        <f t="shared" ref="S13" si="81">(S12-S11)/$B$2/(S10/60/60)</f>
        <v>-254.00947787796156</v>
      </c>
      <c r="T13" s="11">
        <f t="shared" si="75"/>
        <v>0</v>
      </c>
      <c r="U13" s="11">
        <f t="shared" si="75"/>
        <v>99.693352904173608</v>
      </c>
      <c r="V13" s="11">
        <f t="shared" si="75"/>
        <v>309.33881316837903</v>
      </c>
      <c r="W13" s="11">
        <f t="shared" si="75"/>
        <v>0</v>
      </c>
      <c r="X13" s="11">
        <f t="shared" si="75"/>
        <v>270.98058293143202</v>
      </c>
      <c r="Y13" s="11">
        <f t="shared" si="75"/>
        <v>-483.33000629062616</v>
      </c>
      <c r="Z13" s="11">
        <f t="shared" si="75"/>
        <v>258.57496330467637</v>
      </c>
      <c r="AA13" s="11">
        <f t="shared" si="75"/>
        <v>56.525057664081046</v>
      </c>
      <c r="AB13" s="11">
        <f t="shared" si="75"/>
        <v>157.18314111973154</v>
      </c>
      <c r="AC13" s="11">
        <f t="shared" ref="AC13:AE13" si="82">(AC12-AC11)/$B$2/(AC10/60/60)</f>
        <v>145.82377856993071</v>
      </c>
      <c r="AD13" s="11">
        <f t="shared" si="82"/>
        <v>68.55022017194338</v>
      </c>
      <c r="AE13" s="11">
        <f t="shared" si="82"/>
        <v>134.91281191025399</v>
      </c>
    </row>
    <row r="14" spans="1:31" x14ac:dyDescent="0.35">
      <c r="A14" s="6" t="s">
        <v>14</v>
      </c>
      <c r="B14" s="12">
        <f t="shared" ref="B14" si="83">B13/1000</f>
        <v>0.11866185783183067</v>
      </c>
      <c r="C14" s="12">
        <f t="shared" ref="C14:D14" si="84">C13/1000</f>
        <v>0.25254200041937602</v>
      </c>
      <c r="D14" s="12">
        <f t="shared" si="84"/>
        <v>0.15563413713566798</v>
      </c>
      <c r="E14" s="12">
        <f t="shared" ref="E14" si="85">E13/1000</f>
        <v>7.1403648563640773E-2</v>
      </c>
      <c r="F14" s="12">
        <f t="shared" ref="F14" si="86">F13/1000</f>
        <v>0.16191167959739911</v>
      </c>
      <c r="G14" s="12">
        <f t="shared" ref="G14" si="87">G13/1000</f>
        <v>9.8198699937094652E-2</v>
      </c>
      <c r="H14" s="12">
        <f t="shared" ref="H14:I14" si="88">H13/1000</f>
        <v>7.109113021597821E-2</v>
      </c>
      <c r="I14" s="12">
        <f t="shared" si="88"/>
        <v>1.0476158523799817E-2</v>
      </c>
      <c r="J14" s="12">
        <f t="shared" ref="J14:R14" si="89">J13/1000</f>
        <v>0.12309146571608395</v>
      </c>
      <c r="K14" s="12">
        <f t="shared" ref="K14" si="90">K13/1000</f>
        <v>-4.7217446005451441E-2</v>
      </c>
      <c r="L14" s="12">
        <f t="shared" si="89"/>
        <v>-2.127842314950731E-2</v>
      </c>
      <c r="M14" s="12">
        <f t="shared" si="89"/>
        <v>-0.25400947787796158</v>
      </c>
      <c r="N14" s="12">
        <f t="shared" ref="N14" si="91">N13/1000</f>
        <v>0.17227913608722972</v>
      </c>
      <c r="O14" s="12">
        <f t="shared" ref="O14:P14" si="92">O13/1000</f>
        <v>0.17013227091633437</v>
      </c>
      <c r="P14" s="12">
        <f t="shared" si="92"/>
        <v>4.0178989305934679E-2</v>
      </c>
      <c r="Q14" s="12">
        <f t="shared" si="89"/>
        <v>0.37500842944013374</v>
      </c>
      <c r="R14" s="12">
        <f t="shared" si="89"/>
        <v>0</v>
      </c>
      <c r="S14" s="12">
        <f t="shared" ref="S14" si="93">S13/1000</f>
        <v>-0.25400947787796158</v>
      </c>
      <c r="T14" s="12">
        <f t="shared" ref="T14:Y14" si="94">T13/1000</f>
        <v>0</v>
      </c>
      <c r="U14" s="12">
        <f t="shared" si="94"/>
        <v>9.969335290417361E-2</v>
      </c>
      <c r="V14" s="12">
        <f t="shared" si="94"/>
        <v>0.30933881316837902</v>
      </c>
      <c r="W14" s="12">
        <f t="shared" si="94"/>
        <v>0</v>
      </c>
      <c r="X14" s="12">
        <f t="shared" si="94"/>
        <v>0.27098058293143201</v>
      </c>
      <c r="Y14" s="12">
        <f t="shared" si="94"/>
        <v>-0.48333000629062617</v>
      </c>
      <c r="Z14" s="12">
        <f t="shared" ref="Z14:AB14" si="95">Z13/1000</f>
        <v>0.25857496330467639</v>
      </c>
      <c r="AA14" s="12">
        <f t="shared" si="95"/>
        <v>5.6525057664081044E-2</v>
      </c>
      <c r="AB14" s="12">
        <f t="shared" si="95"/>
        <v>0.15718314111973156</v>
      </c>
      <c r="AC14" s="12">
        <f t="shared" ref="AC14:AE14" si="96">AC13/1000</f>
        <v>0.1458237785699307</v>
      </c>
      <c r="AD14" s="12">
        <f t="shared" si="96"/>
        <v>6.8550220171943385E-2</v>
      </c>
      <c r="AE14" s="12">
        <f t="shared" si="96"/>
        <v>0.134912811910254</v>
      </c>
    </row>
    <row r="15" spans="1:31" x14ac:dyDescent="0.35">
      <c r="A15" s="1"/>
      <c r="B15" s="3"/>
      <c r="C15" s="13"/>
      <c r="D15" s="3"/>
      <c r="E15" s="3"/>
    </row>
    <row r="16" spans="1:31" x14ac:dyDescent="0.35">
      <c r="A16" s="14"/>
      <c r="B16" s="5">
        <v>44255</v>
      </c>
      <c r="C16" s="5">
        <v>44255</v>
      </c>
      <c r="D16" s="5">
        <v>44255</v>
      </c>
      <c r="E16" s="5">
        <v>44255</v>
      </c>
      <c r="F16" s="5">
        <v>44255</v>
      </c>
      <c r="G16" s="5">
        <v>44255</v>
      </c>
      <c r="H16" s="5">
        <v>44255</v>
      </c>
      <c r="I16" s="5">
        <v>44255</v>
      </c>
      <c r="J16" s="5">
        <v>44255</v>
      </c>
      <c r="K16" s="5">
        <v>44255</v>
      </c>
      <c r="L16" s="5">
        <v>44255</v>
      </c>
      <c r="M16" s="5">
        <v>44255</v>
      </c>
      <c r="N16" s="5">
        <v>44255</v>
      </c>
      <c r="O16" s="5">
        <v>44255</v>
      </c>
      <c r="P16" s="5">
        <v>44255</v>
      </c>
      <c r="Q16" s="5">
        <v>44255</v>
      </c>
      <c r="R16" s="31" t="s">
        <v>58</v>
      </c>
      <c r="S16" s="31">
        <v>44255</v>
      </c>
      <c r="T16" s="31" t="s">
        <v>58</v>
      </c>
      <c r="U16" s="31">
        <v>44255</v>
      </c>
      <c r="V16" s="31">
        <v>44255</v>
      </c>
      <c r="W16" s="31" t="s">
        <v>58</v>
      </c>
      <c r="X16" s="31">
        <v>44255</v>
      </c>
      <c r="Y16" s="31">
        <v>44255</v>
      </c>
      <c r="Z16" s="31">
        <v>44255</v>
      </c>
      <c r="AA16" s="31">
        <v>44255</v>
      </c>
      <c r="AB16" s="31">
        <v>44255</v>
      </c>
      <c r="AC16" s="31">
        <v>44255</v>
      </c>
      <c r="AD16" s="31">
        <v>44255</v>
      </c>
      <c r="AE16" s="31">
        <v>44255</v>
      </c>
    </row>
    <row r="17" spans="1:31" x14ac:dyDescent="0.35">
      <c r="A17" s="3">
        <v>1</v>
      </c>
      <c r="B17" s="17">
        <v>411.93099999999998</v>
      </c>
      <c r="C17" s="17">
        <v>406.18099999999998</v>
      </c>
      <c r="D17" s="17">
        <v>400.74099999999999</v>
      </c>
      <c r="E17" s="17">
        <v>423.38</v>
      </c>
      <c r="F17" s="17">
        <v>397.29399999999998</v>
      </c>
      <c r="G17" s="17">
        <v>410.77499999999998</v>
      </c>
      <c r="H17" s="17">
        <v>398.411</v>
      </c>
      <c r="I17" s="17">
        <v>481.81599999999997</v>
      </c>
      <c r="J17" s="17">
        <v>406.33699999999999</v>
      </c>
      <c r="K17" s="17">
        <v>456.49200000000002</v>
      </c>
      <c r="L17" s="17">
        <v>417.02600000000001</v>
      </c>
      <c r="M17" s="17">
        <v>438.327</v>
      </c>
      <c r="N17" s="17">
        <v>405.65800000000002</v>
      </c>
      <c r="O17" s="17">
        <v>405.88499999999999</v>
      </c>
      <c r="P17" s="17">
        <v>549.87400000000002</v>
      </c>
      <c r="Q17" s="17">
        <v>409.44200000000001</v>
      </c>
      <c r="R17" s="17"/>
      <c r="S17" s="17">
        <v>477.46899999999999</v>
      </c>
      <c r="T17" s="17"/>
      <c r="U17" s="17">
        <v>400.46499999999997</v>
      </c>
      <c r="V17" s="17">
        <v>397.92099999999999</v>
      </c>
      <c r="W17" s="17"/>
      <c r="X17" s="17">
        <v>420.57100000000003</v>
      </c>
      <c r="Y17" s="17">
        <v>697.54499999999996</v>
      </c>
      <c r="Z17" s="17">
        <v>396.09399999999999</v>
      </c>
      <c r="AA17" s="17">
        <v>433.577</v>
      </c>
      <c r="AB17" s="17">
        <v>408.44</v>
      </c>
      <c r="AC17" s="17">
        <v>395.95299999999997</v>
      </c>
      <c r="AD17" s="17">
        <v>411.10899999999998</v>
      </c>
      <c r="AE17" s="17">
        <v>394.27800000000002</v>
      </c>
    </row>
    <row r="18" spans="1:31" x14ac:dyDescent="0.35">
      <c r="A18" s="3">
        <v>2</v>
      </c>
      <c r="B18" s="17">
        <v>411.47899999999998</v>
      </c>
      <c r="C18" s="17">
        <v>405.19499999999999</v>
      </c>
      <c r="D18" s="17">
        <v>401.32600000000002</v>
      </c>
      <c r="E18" s="17">
        <v>422.96899999999999</v>
      </c>
      <c r="F18" s="17">
        <v>397.75599999999997</v>
      </c>
      <c r="G18" s="17">
        <v>410.03699999999998</v>
      </c>
      <c r="H18" s="17">
        <v>399.41500000000002</v>
      </c>
      <c r="I18" s="17">
        <v>480.02</v>
      </c>
      <c r="J18" s="17">
        <v>405.64</v>
      </c>
      <c r="K18" s="17">
        <v>457.29199999999997</v>
      </c>
      <c r="L18" s="17">
        <v>416.99200000000002</v>
      </c>
      <c r="M18" s="17">
        <v>439.04899999999998</v>
      </c>
      <c r="N18" s="17">
        <v>405.71899999999999</v>
      </c>
      <c r="O18" s="17">
        <v>406.976</v>
      </c>
      <c r="P18" s="17">
        <v>549.43299999999999</v>
      </c>
      <c r="Q18" s="17">
        <v>408.63400000000001</v>
      </c>
      <c r="R18" s="17"/>
      <c r="S18" s="17">
        <v>475.88499999999999</v>
      </c>
      <c r="T18" s="17"/>
      <c r="U18" s="17">
        <v>400.01900000000001</v>
      </c>
      <c r="V18" s="17">
        <v>397.13200000000001</v>
      </c>
      <c r="W18" s="17"/>
      <c r="X18" s="17">
        <v>420.21499999999997</v>
      </c>
      <c r="Y18" s="17">
        <v>696.31200000000001</v>
      </c>
      <c r="Z18" s="17">
        <v>396.83100000000002</v>
      </c>
      <c r="AA18" s="17">
        <v>435.67599999999999</v>
      </c>
      <c r="AB18" s="17">
        <v>408.55200000000002</v>
      </c>
      <c r="AC18" s="17">
        <v>399.18099999999998</v>
      </c>
      <c r="AD18" s="17">
        <v>412.07400000000001</v>
      </c>
      <c r="AE18" s="17">
        <v>394.37799999999999</v>
      </c>
    </row>
    <row r="19" spans="1:31" x14ac:dyDescent="0.35">
      <c r="A19" s="3">
        <v>3</v>
      </c>
      <c r="B19" s="17">
        <v>411.60700000000003</v>
      </c>
      <c r="C19" s="17">
        <v>406.255</v>
      </c>
      <c r="D19" s="17">
        <v>401.69200000000001</v>
      </c>
      <c r="E19" s="17">
        <v>422.98200000000003</v>
      </c>
      <c r="F19" s="17">
        <v>398.452</v>
      </c>
      <c r="G19" s="17">
        <v>409.678</v>
      </c>
      <c r="H19" s="17">
        <v>398.45600000000002</v>
      </c>
      <c r="I19" s="17">
        <v>481.38299999999998</v>
      </c>
      <c r="J19" s="17">
        <v>406.512</v>
      </c>
      <c r="K19" s="17">
        <v>456.86900000000003</v>
      </c>
      <c r="L19" s="17">
        <v>416.43400000000003</v>
      </c>
      <c r="M19" s="17">
        <v>437.12299999999999</v>
      </c>
      <c r="N19" s="17">
        <v>405.726</v>
      </c>
      <c r="O19" s="17">
        <v>406.601</v>
      </c>
      <c r="P19" s="17">
        <v>549.98599999999999</v>
      </c>
      <c r="Q19" s="17">
        <v>409.90600000000001</v>
      </c>
      <c r="R19" s="17"/>
      <c r="S19" s="17">
        <v>477.24099999999999</v>
      </c>
      <c r="T19" s="17"/>
      <c r="U19" s="17">
        <v>399.10899999999998</v>
      </c>
      <c r="V19" s="17">
        <v>397.04599999999999</v>
      </c>
      <c r="W19" s="17"/>
      <c r="X19" s="17">
        <v>420.25900000000001</v>
      </c>
      <c r="Y19" s="17">
        <v>694.92</v>
      </c>
      <c r="Z19" s="17">
        <v>397.14699999999999</v>
      </c>
      <c r="AA19" s="17">
        <v>434.96100000000001</v>
      </c>
      <c r="AB19" s="17">
        <v>408.67500000000001</v>
      </c>
      <c r="AC19" s="17">
        <v>396.21300000000002</v>
      </c>
      <c r="AD19" s="17">
        <v>412.43</v>
      </c>
      <c r="AE19" s="17">
        <v>394.78300000000002</v>
      </c>
    </row>
    <row r="20" spans="1:31" x14ac:dyDescent="0.35">
      <c r="A20" s="3">
        <v>4</v>
      </c>
      <c r="B20" s="17">
        <v>411.12599999999998</v>
      </c>
      <c r="C20" s="17">
        <v>405.74599999999998</v>
      </c>
      <c r="D20" s="17">
        <v>401.52600000000001</v>
      </c>
      <c r="E20" s="17">
        <v>423.738</v>
      </c>
      <c r="F20" s="17">
        <v>397.435</v>
      </c>
      <c r="G20" s="17">
        <v>409.77800000000002</v>
      </c>
      <c r="H20" s="17">
        <v>397.45800000000003</v>
      </c>
      <c r="I20" s="17">
        <v>481.63</v>
      </c>
      <c r="J20" s="17">
        <v>405.15100000000001</v>
      </c>
      <c r="K20" s="17">
        <v>457.26400000000001</v>
      </c>
      <c r="L20" s="17">
        <v>417.5</v>
      </c>
      <c r="M20" s="17">
        <v>438.89600000000002</v>
      </c>
      <c r="N20" s="17">
        <v>405.27300000000002</v>
      </c>
      <c r="O20" s="17">
        <v>408.47899999999998</v>
      </c>
      <c r="P20" s="17">
        <v>550.74</v>
      </c>
      <c r="Q20" s="17">
        <v>409.2</v>
      </c>
      <c r="R20" s="17"/>
      <c r="S20" s="17">
        <v>476.33800000000002</v>
      </c>
      <c r="T20" s="17"/>
      <c r="U20" s="17">
        <v>399.14299999999997</v>
      </c>
      <c r="V20" s="17">
        <v>397.58600000000001</v>
      </c>
      <c r="W20" s="17"/>
      <c r="X20" s="17">
        <v>419.95800000000003</v>
      </c>
      <c r="Y20" s="17">
        <v>693.83299999999997</v>
      </c>
      <c r="Z20" s="17">
        <v>396.86399999999998</v>
      </c>
      <c r="AA20" s="17">
        <v>434.358</v>
      </c>
      <c r="AB20" s="17">
        <v>408.05700000000002</v>
      </c>
      <c r="AC20" s="17">
        <v>397.28500000000003</v>
      </c>
      <c r="AD20" s="17">
        <v>413.11200000000002</v>
      </c>
      <c r="AE20" s="17">
        <v>393.02300000000002</v>
      </c>
    </row>
    <row r="21" spans="1:31" x14ac:dyDescent="0.35">
      <c r="A21" s="3">
        <v>5</v>
      </c>
      <c r="B21" s="17">
        <v>411.495</v>
      </c>
      <c r="C21" s="17">
        <v>405.79399999999998</v>
      </c>
      <c r="D21" s="17">
        <v>401</v>
      </c>
      <c r="E21" s="17">
        <v>423.702</v>
      </c>
      <c r="F21" s="17">
        <v>398.26799999999997</v>
      </c>
      <c r="G21" s="17">
        <v>409.49799999999999</v>
      </c>
      <c r="H21" s="17">
        <v>398.65600000000001</v>
      </c>
      <c r="I21" s="17">
        <v>481.10300000000001</v>
      </c>
      <c r="J21" s="17">
        <v>406.28500000000003</v>
      </c>
      <c r="K21" s="17">
        <v>456.54599999999999</v>
      </c>
      <c r="L21" s="17">
        <v>416.87700000000001</v>
      </c>
      <c r="M21" s="17">
        <v>438.69499999999999</v>
      </c>
      <c r="N21" s="17">
        <v>406.17200000000003</v>
      </c>
      <c r="O21" s="17">
        <v>406.99700000000001</v>
      </c>
      <c r="P21" s="17">
        <v>550.08600000000001</v>
      </c>
      <c r="Q21" s="17">
        <v>408.84500000000003</v>
      </c>
      <c r="R21" s="17"/>
      <c r="S21" s="17">
        <v>476.01</v>
      </c>
      <c r="T21" s="17"/>
      <c r="U21" s="17">
        <v>399.71300000000002</v>
      </c>
      <c r="V21" s="17">
        <v>397.06099999999998</v>
      </c>
      <c r="W21" s="17"/>
      <c r="X21" s="17">
        <v>420.13400000000001</v>
      </c>
      <c r="Y21" s="17">
        <v>694.93899999999996</v>
      </c>
      <c r="Z21" s="17">
        <v>398.05</v>
      </c>
      <c r="AA21" s="17">
        <v>434.18200000000002</v>
      </c>
      <c r="AB21" s="17">
        <v>409.42099999999999</v>
      </c>
      <c r="AC21" s="17">
        <v>397.05099999999999</v>
      </c>
      <c r="AD21" s="17">
        <v>412.774</v>
      </c>
      <c r="AE21" s="17">
        <v>393.43700000000001</v>
      </c>
    </row>
    <row r="22" spans="1:31" x14ac:dyDescent="0.35">
      <c r="A22" s="3">
        <v>6</v>
      </c>
      <c r="B22" s="17">
        <v>411.92500000000001</v>
      </c>
      <c r="C22" s="17">
        <v>406.21699999999998</v>
      </c>
      <c r="D22" s="17">
        <v>401.44900000000001</v>
      </c>
      <c r="E22" s="17">
        <v>422.786</v>
      </c>
      <c r="F22" s="17">
        <v>398.41</v>
      </c>
      <c r="G22" s="17">
        <v>409.81099999999998</v>
      </c>
      <c r="H22" s="17">
        <v>399.08699999999999</v>
      </c>
      <c r="I22" s="17">
        <v>480.54399999999998</v>
      </c>
      <c r="J22" s="17">
        <v>406.39699999999999</v>
      </c>
      <c r="K22" s="17">
        <v>456.07499999999999</v>
      </c>
      <c r="L22" s="17">
        <v>417.31799999999998</v>
      </c>
      <c r="M22" s="17">
        <v>438.35399999999998</v>
      </c>
      <c r="N22" s="17">
        <v>405.74200000000002</v>
      </c>
      <c r="O22" s="17">
        <v>406.59</v>
      </c>
      <c r="P22" s="17">
        <v>550.50400000000002</v>
      </c>
      <c r="Q22" s="17">
        <v>408.96</v>
      </c>
      <c r="R22" s="17"/>
      <c r="S22" s="17">
        <v>474.96699999999998</v>
      </c>
      <c r="T22" s="17"/>
      <c r="U22" s="17">
        <v>398.91399999999999</v>
      </c>
      <c r="V22" s="17">
        <v>398.11500000000001</v>
      </c>
      <c r="W22" s="17"/>
      <c r="X22" s="17">
        <v>421.61</v>
      </c>
      <c r="Y22" s="17">
        <v>693.06399999999996</v>
      </c>
      <c r="Z22" s="17">
        <v>397.67599999999999</v>
      </c>
      <c r="AA22" s="17">
        <v>435.00799999999998</v>
      </c>
      <c r="AB22" s="17">
        <v>409.18900000000002</v>
      </c>
      <c r="AC22" s="17">
        <v>396.08100000000002</v>
      </c>
      <c r="AD22" s="17">
        <v>412.01900000000001</v>
      </c>
      <c r="AE22" s="17">
        <v>394.61799999999999</v>
      </c>
    </row>
    <row r="23" spans="1:31" x14ac:dyDescent="0.35">
      <c r="A23" s="3">
        <v>7</v>
      </c>
      <c r="B23" s="17">
        <v>411.166</v>
      </c>
      <c r="C23" s="17">
        <v>405.30500000000001</v>
      </c>
      <c r="D23" s="17">
        <v>401.53399999999999</v>
      </c>
      <c r="E23" s="17">
        <v>423.53800000000001</v>
      </c>
      <c r="F23" s="17">
        <v>396.99799999999999</v>
      </c>
      <c r="G23" s="17">
        <v>409.81400000000002</v>
      </c>
      <c r="H23" s="17">
        <v>398.66500000000002</v>
      </c>
      <c r="I23" s="17">
        <v>480.82299999999998</v>
      </c>
      <c r="J23" s="17">
        <v>406.46</v>
      </c>
      <c r="K23" s="17">
        <v>455.76600000000002</v>
      </c>
      <c r="L23" s="17">
        <v>417.16699999999997</v>
      </c>
      <c r="M23" s="17">
        <v>438.18200000000002</v>
      </c>
      <c r="N23" s="17">
        <v>405.673</v>
      </c>
      <c r="O23" s="17">
        <v>408.17500000000001</v>
      </c>
      <c r="P23" s="17">
        <v>549.49900000000002</v>
      </c>
      <c r="Q23" s="17">
        <v>409.29300000000001</v>
      </c>
      <c r="R23" s="17"/>
      <c r="S23" s="17">
        <v>475.82499999999999</v>
      </c>
      <c r="T23" s="17"/>
      <c r="U23" s="17">
        <v>398.72300000000001</v>
      </c>
      <c r="V23" s="17">
        <v>398.57499999999999</v>
      </c>
      <c r="W23" s="17"/>
      <c r="X23" s="17">
        <v>421.55200000000002</v>
      </c>
      <c r="Y23" s="17">
        <v>692.14099999999996</v>
      </c>
      <c r="Z23" s="17">
        <v>398.04300000000001</v>
      </c>
      <c r="AA23" s="17">
        <v>433.178</v>
      </c>
      <c r="AB23" s="17">
        <v>409.197</v>
      </c>
      <c r="AC23" s="17">
        <v>396.76299999999998</v>
      </c>
      <c r="AD23" s="17">
        <v>412.43400000000003</v>
      </c>
      <c r="AE23" s="17">
        <v>393.35</v>
      </c>
    </row>
    <row r="24" spans="1:31" x14ac:dyDescent="0.35">
      <c r="A24" s="3">
        <v>8</v>
      </c>
      <c r="B24" s="17">
        <v>411.20600000000002</v>
      </c>
      <c r="C24" s="17">
        <v>406.238</v>
      </c>
      <c r="D24" s="17">
        <v>401.55700000000002</v>
      </c>
      <c r="E24" s="17">
        <v>423.85</v>
      </c>
      <c r="F24" s="17">
        <v>397.52699999999999</v>
      </c>
      <c r="G24" s="17">
        <v>408.95299999999997</v>
      </c>
      <c r="H24" s="17">
        <v>398.36700000000002</v>
      </c>
      <c r="I24" s="17">
        <v>481.30900000000003</v>
      </c>
      <c r="J24" s="17">
        <v>406.10899999999998</v>
      </c>
      <c r="K24" s="17">
        <v>455.47899999999998</v>
      </c>
      <c r="L24" s="17">
        <v>417.42599999999999</v>
      </c>
      <c r="M24" s="17">
        <v>439.03</v>
      </c>
      <c r="N24" s="17">
        <v>406.14699999999999</v>
      </c>
      <c r="O24" s="17">
        <v>407.58199999999999</v>
      </c>
      <c r="P24" s="17">
        <v>550.28399999999999</v>
      </c>
      <c r="Q24" s="17">
        <v>408.971</v>
      </c>
      <c r="R24" s="17"/>
      <c r="S24" s="17">
        <v>476.661</v>
      </c>
      <c r="T24" s="17"/>
      <c r="U24" s="17">
        <v>399.65300000000002</v>
      </c>
      <c r="V24" s="17">
        <v>397.72199999999998</v>
      </c>
      <c r="W24" s="17"/>
      <c r="X24" s="17">
        <v>420.447</v>
      </c>
      <c r="Y24" s="17">
        <v>691.40499999999997</v>
      </c>
      <c r="Z24" s="17">
        <v>398.39600000000002</v>
      </c>
      <c r="AA24" s="17">
        <v>434.04899999999998</v>
      </c>
      <c r="AB24" s="17">
        <v>409.786</v>
      </c>
      <c r="AC24" s="17">
        <v>395.23700000000002</v>
      </c>
      <c r="AD24" s="17">
        <v>412.10399999999998</v>
      </c>
      <c r="AE24" s="17">
        <v>392.41699999999997</v>
      </c>
    </row>
    <row r="25" spans="1:31" x14ac:dyDescent="0.35">
      <c r="A25" s="3">
        <v>9</v>
      </c>
      <c r="B25" s="17">
        <v>411.404</v>
      </c>
      <c r="C25" s="17">
        <v>406.02</v>
      </c>
      <c r="D25" s="17">
        <v>401.72199999999998</v>
      </c>
      <c r="E25" s="17">
        <v>423.52</v>
      </c>
      <c r="F25" s="17">
        <v>396.48</v>
      </c>
      <c r="G25" s="17">
        <v>409.82100000000003</v>
      </c>
      <c r="H25" s="17">
        <v>400.053</v>
      </c>
      <c r="I25" s="17">
        <v>482.22399999999999</v>
      </c>
      <c r="J25" s="17">
        <v>406.81200000000001</v>
      </c>
      <c r="K25" s="17">
        <v>456.54899999999998</v>
      </c>
      <c r="L25" s="17">
        <v>417.41500000000002</v>
      </c>
      <c r="M25" s="17">
        <v>438.57100000000003</v>
      </c>
      <c r="N25" s="17">
        <v>404.45100000000002</v>
      </c>
      <c r="O25" s="17">
        <v>407.89499999999998</v>
      </c>
      <c r="P25" s="17">
        <v>550.57600000000002</v>
      </c>
      <c r="Q25" s="17">
        <v>408.38400000000001</v>
      </c>
      <c r="R25" s="17"/>
      <c r="S25" s="17">
        <v>475.60300000000001</v>
      </c>
      <c r="T25" s="17"/>
      <c r="U25" s="17">
        <v>399.73899999999998</v>
      </c>
      <c r="V25" s="17">
        <v>398.53300000000002</v>
      </c>
      <c r="W25" s="17"/>
      <c r="X25" s="17">
        <v>421.81400000000002</v>
      </c>
      <c r="Y25" s="17">
        <v>691.01700000000005</v>
      </c>
      <c r="Z25" s="17">
        <v>396.9</v>
      </c>
      <c r="AA25" s="17">
        <v>434.27499999999998</v>
      </c>
      <c r="AB25" s="17">
        <v>408.48200000000003</v>
      </c>
      <c r="AC25" s="17">
        <v>398.07</v>
      </c>
      <c r="AD25" s="17">
        <v>411.714</v>
      </c>
      <c r="AE25" s="17">
        <v>395.78800000000001</v>
      </c>
    </row>
    <row r="26" spans="1:31" x14ac:dyDescent="0.35">
      <c r="A26" s="3">
        <v>10</v>
      </c>
      <c r="B26" s="17">
        <v>411.35399999999998</v>
      </c>
      <c r="C26" s="17">
        <v>405.23899999999998</v>
      </c>
      <c r="D26" s="17">
        <v>402.87200000000001</v>
      </c>
      <c r="E26" s="17">
        <v>424.68900000000002</v>
      </c>
      <c r="F26" s="17">
        <v>397.73899999999998</v>
      </c>
      <c r="G26" s="17">
        <v>409.79</v>
      </c>
      <c r="H26" s="17">
        <v>398.32600000000002</v>
      </c>
      <c r="I26" s="17">
        <v>481.68</v>
      </c>
      <c r="J26" s="17">
        <v>405.63099999999997</v>
      </c>
      <c r="K26" s="17">
        <v>455.53100000000001</v>
      </c>
      <c r="L26" s="17">
        <v>416.92599999999999</v>
      </c>
      <c r="M26" s="17">
        <v>438.52199999999999</v>
      </c>
      <c r="N26" s="17">
        <v>406.548</v>
      </c>
      <c r="O26" s="17">
        <v>407.63299999999998</v>
      </c>
      <c r="P26" s="17">
        <v>549.48900000000003</v>
      </c>
      <c r="Q26" s="17">
        <v>408.988</v>
      </c>
      <c r="R26" s="17"/>
      <c r="S26" s="17">
        <v>474.33800000000002</v>
      </c>
      <c r="T26" s="17"/>
      <c r="U26" s="17">
        <v>399.27100000000002</v>
      </c>
      <c r="V26" s="17">
        <v>399.459</v>
      </c>
      <c r="W26" s="17"/>
      <c r="X26" s="17">
        <v>420.78</v>
      </c>
      <c r="Y26" s="17">
        <v>691.72400000000005</v>
      </c>
      <c r="Z26" s="17">
        <v>398.15899999999999</v>
      </c>
      <c r="AA26" s="17">
        <v>433.72399999999999</v>
      </c>
      <c r="AB26" s="17">
        <v>408.69400000000002</v>
      </c>
      <c r="AC26" s="17">
        <v>398.03100000000001</v>
      </c>
      <c r="AD26" s="17">
        <v>412.46800000000002</v>
      </c>
      <c r="AE26" s="17">
        <v>393.11399999999998</v>
      </c>
    </row>
    <row r="27" spans="1:31" x14ac:dyDescent="0.35">
      <c r="A27" s="3">
        <v>11</v>
      </c>
      <c r="B27" s="17">
        <v>411.291</v>
      </c>
      <c r="C27" s="17">
        <v>405.88900000000001</v>
      </c>
      <c r="D27" s="17">
        <v>400.94299999999998</v>
      </c>
      <c r="E27" s="17">
        <v>423.13499999999999</v>
      </c>
      <c r="F27" s="17">
        <v>398.88900000000001</v>
      </c>
      <c r="G27" s="17">
        <v>410.52499999999998</v>
      </c>
      <c r="H27" s="17">
        <v>398.26900000000001</v>
      </c>
      <c r="I27" s="17">
        <v>480.15100000000001</v>
      </c>
      <c r="J27" s="17">
        <v>405.97800000000001</v>
      </c>
      <c r="K27" s="17">
        <v>455.50700000000001</v>
      </c>
      <c r="L27" s="17">
        <v>417.49200000000002</v>
      </c>
      <c r="M27" s="17">
        <v>437.411</v>
      </c>
      <c r="N27" s="17">
        <v>405.84199999999998</v>
      </c>
      <c r="O27" s="17">
        <v>406.04700000000003</v>
      </c>
      <c r="P27" s="17">
        <v>550.18700000000001</v>
      </c>
      <c r="Q27" s="17">
        <v>409.31</v>
      </c>
      <c r="R27" s="17"/>
      <c r="S27" s="17">
        <v>475.21300000000002</v>
      </c>
      <c r="T27" s="17"/>
      <c r="U27" s="17">
        <v>401.55599999999998</v>
      </c>
      <c r="V27" s="17">
        <v>399.86599999999999</v>
      </c>
      <c r="W27" s="17"/>
      <c r="X27" s="17">
        <v>419.58300000000003</v>
      </c>
      <c r="Y27" s="17">
        <v>690.32299999999998</v>
      </c>
      <c r="Z27" s="17">
        <v>398.399</v>
      </c>
      <c r="AA27" s="17">
        <v>434.76299999999998</v>
      </c>
      <c r="AB27" s="17">
        <v>408.572</v>
      </c>
      <c r="AC27" s="17">
        <v>397.55500000000001</v>
      </c>
      <c r="AD27" s="17">
        <v>411.79</v>
      </c>
      <c r="AE27" s="17">
        <v>394.75700000000001</v>
      </c>
    </row>
    <row r="28" spans="1:31" x14ac:dyDescent="0.35">
      <c r="A28" s="3">
        <v>12</v>
      </c>
      <c r="B28" s="17">
        <v>410.45</v>
      </c>
      <c r="C28" s="17">
        <v>406.87700000000001</v>
      </c>
      <c r="D28" s="17">
        <v>401.40899999999999</v>
      </c>
      <c r="E28" s="17">
        <v>424.08499999999998</v>
      </c>
      <c r="F28" s="17">
        <v>398.07299999999998</v>
      </c>
      <c r="G28" s="17">
        <v>410.15300000000002</v>
      </c>
      <c r="H28" s="17">
        <v>398.50400000000002</v>
      </c>
      <c r="I28" s="17">
        <v>480.334</v>
      </c>
      <c r="J28" s="17">
        <v>407.20800000000003</v>
      </c>
      <c r="K28" s="17">
        <v>457.036</v>
      </c>
      <c r="L28" s="17">
        <v>416.34500000000003</v>
      </c>
      <c r="M28" s="17">
        <v>438.81799999999998</v>
      </c>
      <c r="N28" s="17">
        <v>405.73700000000002</v>
      </c>
      <c r="O28" s="17">
        <v>407.48</v>
      </c>
      <c r="P28" s="17">
        <v>550.60299999999995</v>
      </c>
      <c r="Q28" s="17">
        <v>408.76</v>
      </c>
      <c r="R28" s="17"/>
      <c r="S28" s="17">
        <v>475.74099999999999</v>
      </c>
      <c r="T28" s="17"/>
      <c r="U28" s="17">
        <v>401.44900000000001</v>
      </c>
      <c r="V28" s="17">
        <v>398.858</v>
      </c>
      <c r="W28" s="17"/>
      <c r="X28" s="17">
        <v>420.85199999999998</v>
      </c>
      <c r="Y28" s="17">
        <v>689.39</v>
      </c>
      <c r="Z28" s="17">
        <v>397.065</v>
      </c>
      <c r="AA28" s="17">
        <v>432.97399999999999</v>
      </c>
      <c r="AB28" s="17">
        <v>408.14299999999997</v>
      </c>
      <c r="AC28" s="17">
        <v>398.09300000000002</v>
      </c>
      <c r="AD28" s="17">
        <v>413.577</v>
      </c>
      <c r="AE28" s="17">
        <v>395.69600000000003</v>
      </c>
    </row>
    <row r="29" spans="1:31" x14ac:dyDescent="0.35">
      <c r="A29" s="3">
        <v>13</v>
      </c>
      <c r="B29" s="17">
        <v>411.94900000000001</v>
      </c>
      <c r="C29" s="17">
        <v>406.55500000000001</v>
      </c>
      <c r="D29" s="17">
        <v>402.31599999999997</v>
      </c>
      <c r="E29" s="17">
        <v>423.53500000000003</v>
      </c>
      <c r="F29" s="17">
        <v>398.17899999999997</v>
      </c>
      <c r="G29" s="17">
        <v>410.13900000000001</v>
      </c>
      <c r="H29" s="17">
        <v>399.81599999999997</v>
      </c>
      <c r="I29" s="17">
        <v>481.07299999999998</v>
      </c>
      <c r="J29" s="17">
        <v>406.83100000000002</v>
      </c>
      <c r="K29" s="17">
        <v>455.59199999999998</v>
      </c>
      <c r="L29" s="17">
        <v>416.19900000000001</v>
      </c>
      <c r="M29" s="17">
        <v>439.38200000000001</v>
      </c>
      <c r="N29" s="17">
        <v>405.46100000000001</v>
      </c>
      <c r="O29" s="17">
        <v>406.95299999999997</v>
      </c>
      <c r="P29" s="17">
        <v>550.49699999999996</v>
      </c>
      <c r="Q29" s="17">
        <v>408.94600000000003</v>
      </c>
      <c r="R29" s="17"/>
      <c r="S29" s="17">
        <v>475.08</v>
      </c>
      <c r="T29" s="17"/>
      <c r="U29" s="17">
        <v>399.53399999999999</v>
      </c>
      <c r="V29" s="17">
        <v>400.178</v>
      </c>
      <c r="W29" s="17"/>
      <c r="X29" s="17">
        <v>419.15699999999998</v>
      </c>
      <c r="Y29" s="17">
        <v>689.697</v>
      </c>
      <c r="Z29" s="17">
        <v>397.04300000000001</v>
      </c>
      <c r="AA29" s="17">
        <v>433.45100000000002</v>
      </c>
      <c r="AB29" s="17">
        <v>407.721</v>
      </c>
      <c r="AC29" s="17">
        <v>396.66300000000001</v>
      </c>
      <c r="AD29" s="17">
        <v>409.62900000000002</v>
      </c>
      <c r="AE29" s="17">
        <v>396.52199999999999</v>
      </c>
    </row>
    <row r="30" spans="1:31" x14ac:dyDescent="0.35">
      <c r="A30" s="3">
        <v>14</v>
      </c>
      <c r="B30" s="17">
        <v>411.56299999999999</v>
      </c>
      <c r="C30" s="17">
        <v>406.21699999999998</v>
      </c>
      <c r="D30" s="17">
        <v>402.447</v>
      </c>
      <c r="E30" s="17">
        <v>424.649</v>
      </c>
      <c r="F30" s="17">
        <v>397.90300000000002</v>
      </c>
      <c r="G30" s="17">
        <v>409.52499999999998</v>
      </c>
      <c r="H30" s="17">
        <v>399.154</v>
      </c>
      <c r="I30" s="17">
        <v>480.97899999999998</v>
      </c>
      <c r="J30" s="17">
        <v>406.73200000000003</v>
      </c>
      <c r="K30" s="17">
        <v>455.37200000000001</v>
      </c>
      <c r="L30" s="17">
        <v>416.23899999999998</v>
      </c>
      <c r="M30" s="17">
        <v>438.68799999999999</v>
      </c>
      <c r="N30" s="17">
        <v>405.56599999999997</v>
      </c>
      <c r="O30" s="17">
        <v>408.05</v>
      </c>
      <c r="P30" s="17">
        <v>550.48900000000003</v>
      </c>
      <c r="Q30" s="17">
        <v>408.87299999999999</v>
      </c>
      <c r="R30" s="17"/>
      <c r="S30" s="17">
        <v>475.108</v>
      </c>
      <c r="T30" s="17"/>
      <c r="U30" s="17">
        <v>398.738</v>
      </c>
      <c r="V30" s="17">
        <v>399.73899999999998</v>
      </c>
      <c r="W30" s="17"/>
      <c r="X30" s="17">
        <v>419.55399999999997</v>
      </c>
      <c r="Y30" s="17">
        <v>688.67399999999998</v>
      </c>
      <c r="Z30" s="17">
        <v>397.53100000000001</v>
      </c>
      <c r="AA30" s="17">
        <v>432.74599999999998</v>
      </c>
      <c r="AB30" s="17">
        <v>408.74700000000001</v>
      </c>
      <c r="AC30" s="17">
        <v>399.15699999999998</v>
      </c>
      <c r="AD30" s="17">
        <v>411.73399999999998</v>
      </c>
      <c r="AE30" s="17">
        <v>393.79300000000001</v>
      </c>
    </row>
    <row r="31" spans="1:31" x14ac:dyDescent="0.35">
      <c r="A31" s="3">
        <v>15</v>
      </c>
      <c r="B31" s="17">
        <v>411.23200000000003</v>
      </c>
      <c r="C31" s="17">
        <v>406.86399999999998</v>
      </c>
      <c r="D31" s="17">
        <v>401.50200000000001</v>
      </c>
      <c r="E31" s="17">
        <v>423.601</v>
      </c>
      <c r="F31" s="17">
        <v>398.06599999999997</v>
      </c>
      <c r="G31" s="17">
        <v>410.71199999999999</v>
      </c>
      <c r="H31" s="17">
        <v>398.80599999999998</v>
      </c>
      <c r="I31" s="17">
        <v>480.86900000000003</v>
      </c>
      <c r="J31" s="17">
        <v>406.01499999999999</v>
      </c>
      <c r="K31" s="17">
        <v>456.03100000000001</v>
      </c>
      <c r="L31" s="17">
        <v>417.31200000000001</v>
      </c>
      <c r="M31" s="17">
        <v>438.13600000000002</v>
      </c>
      <c r="N31" s="17">
        <v>406.43200000000002</v>
      </c>
      <c r="O31" s="17">
        <v>407.36200000000002</v>
      </c>
      <c r="P31" s="17">
        <v>550.78</v>
      </c>
      <c r="Q31" s="17">
        <v>409.09699999999998</v>
      </c>
      <c r="R31" s="17"/>
      <c r="S31" s="17">
        <v>475.05799999999999</v>
      </c>
      <c r="T31" s="17"/>
      <c r="U31" s="17">
        <v>400.07499999999999</v>
      </c>
      <c r="V31" s="17">
        <v>400.22</v>
      </c>
      <c r="W31" s="17"/>
      <c r="X31" s="17">
        <v>419.98899999999998</v>
      </c>
      <c r="Y31" s="17">
        <v>688.88800000000003</v>
      </c>
      <c r="Z31" s="17">
        <v>397.36900000000003</v>
      </c>
      <c r="AA31" s="17">
        <v>431.399</v>
      </c>
      <c r="AB31" s="17">
        <v>408.14800000000002</v>
      </c>
      <c r="AC31" s="17">
        <v>396.31900000000002</v>
      </c>
      <c r="AD31" s="17">
        <v>413.654</v>
      </c>
      <c r="AE31" s="17">
        <v>394.77499999999998</v>
      </c>
    </row>
    <row r="32" spans="1:31" x14ac:dyDescent="0.35">
      <c r="A32" s="3">
        <v>16</v>
      </c>
      <c r="B32" s="17">
        <v>411.46100000000001</v>
      </c>
      <c r="C32" s="17">
        <v>405.34800000000001</v>
      </c>
      <c r="D32" s="17">
        <v>401.59</v>
      </c>
      <c r="E32" s="17">
        <v>423.80099999999999</v>
      </c>
      <c r="F32" s="17">
        <v>398.36799999999999</v>
      </c>
      <c r="G32" s="17">
        <v>409.44299999999998</v>
      </c>
      <c r="H32" s="17">
        <v>399.20499999999998</v>
      </c>
      <c r="I32" s="17">
        <v>480.517</v>
      </c>
      <c r="J32" s="17">
        <v>406.298</v>
      </c>
      <c r="K32" s="17">
        <v>456.137</v>
      </c>
      <c r="L32" s="17">
        <v>416.05200000000002</v>
      </c>
      <c r="M32" s="17">
        <v>438.464</v>
      </c>
      <c r="N32" s="17">
        <v>405.43599999999998</v>
      </c>
      <c r="O32" s="17">
        <v>407.505</v>
      </c>
      <c r="P32" s="17">
        <v>550.19600000000003</v>
      </c>
      <c r="Q32" s="17">
        <v>409.45800000000003</v>
      </c>
      <c r="R32" s="17"/>
      <c r="S32" s="17">
        <v>475.51400000000001</v>
      </c>
      <c r="T32" s="17"/>
      <c r="U32" s="17">
        <v>400.62599999999998</v>
      </c>
      <c r="V32" s="17">
        <v>399.66500000000002</v>
      </c>
      <c r="W32" s="17"/>
      <c r="X32" s="17">
        <v>421.25900000000001</v>
      </c>
      <c r="Y32" s="17">
        <v>689.04200000000003</v>
      </c>
      <c r="Z32" s="17">
        <v>398.03300000000002</v>
      </c>
      <c r="AA32" s="17">
        <v>431.81</v>
      </c>
      <c r="AB32" s="17">
        <v>408.80599999999998</v>
      </c>
      <c r="AC32" s="17">
        <v>397.60500000000002</v>
      </c>
      <c r="AD32" s="17">
        <v>412.113</v>
      </c>
      <c r="AE32" s="17">
        <v>396.28500000000003</v>
      </c>
    </row>
    <row r="33" spans="1:31" x14ac:dyDescent="0.35">
      <c r="A33" s="3">
        <v>17</v>
      </c>
      <c r="B33" s="17">
        <v>411.202</v>
      </c>
      <c r="C33" s="17">
        <v>406.76100000000002</v>
      </c>
      <c r="D33" s="17">
        <v>402.03500000000003</v>
      </c>
      <c r="E33" s="17">
        <v>423.53</v>
      </c>
      <c r="F33" s="17">
        <v>398.48500000000001</v>
      </c>
      <c r="G33" s="17">
        <v>410.73200000000003</v>
      </c>
      <c r="H33" s="17">
        <v>399.04199999999997</v>
      </c>
      <c r="I33" s="17">
        <v>480.512</v>
      </c>
      <c r="J33" s="17">
        <v>405.96300000000002</v>
      </c>
      <c r="K33" s="17">
        <v>456.52499999999998</v>
      </c>
      <c r="L33" s="17">
        <v>416.51499999999999</v>
      </c>
      <c r="M33" s="17">
        <v>439.00700000000001</v>
      </c>
      <c r="N33" s="17">
        <v>405.97199999999998</v>
      </c>
      <c r="O33" s="17">
        <v>407.471</v>
      </c>
      <c r="P33" s="17">
        <v>549.90200000000004</v>
      </c>
      <c r="Q33" s="17">
        <v>409.95400000000001</v>
      </c>
      <c r="R33" s="17"/>
      <c r="S33" s="17">
        <v>474.32299999999998</v>
      </c>
      <c r="T33" s="17"/>
      <c r="U33" s="17">
        <v>400.15</v>
      </c>
      <c r="V33" s="17">
        <v>397.74099999999999</v>
      </c>
      <c r="W33" s="17"/>
      <c r="X33" s="17">
        <v>420.26799999999997</v>
      </c>
      <c r="Y33" s="17">
        <v>687.24300000000005</v>
      </c>
      <c r="Z33" s="17">
        <v>398.94900000000001</v>
      </c>
      <c r="AA33" s="17">
        <v>432.971</v>
      </c>
      <c r="AB33" s="17">
        <v>407.32499999999999</v>
      </c>
      <c r="AC33" s="17">
        <v>396.55500000000001</v>
      </c>
      <c r="AD33" s="17">
        <v>412.24</v>
      </c>
      <c r="AE33" s="17">
        <v>395.762</v>
      </c>
    </row>
    <row r="34" spans="1:31" x14ac:dyDescent="0.35">
      <c r="A34" s="3">
        <v>18</v>
      </c>
      <c r="B34" s="17">
        <v>411.30399999999997</v>
      </c>
      <c r="C34" s="17">
        <v>405.94200000000001</v>
      </c>
      <c r="D34" s="17">
        <v>401.92899999999997</v>
      </c>
      <c r="E34" s="17">
        <v>424.548</v>
      </c>
      <c r="F34" s="17">
        <v>399.43900000000002</v>
      </c>
      <c r="G34" s="17">
        <v>410.33</v>
      </c>
      <c r="H34" s="17">
        <v>397.86500000000001</v>
      </c>
      <c r="I34" s="17">
        <v>480.81700000000001</v>
      </c>
      <c r="J34" s="17">
        <v>406.92200000000003</v>
      </c>
      <c r="K34" s="17">
        <v>453.91699999999997</v>
      </c>
      <c r="L34" s="17">
        <v>415.524</v>
      </c>
      <c r="M34" s="17">
        <v>438.42500000000001</v>
      </c>
      <c r="N34" s="17">
        <v>405.74599999999998</v>
      </c>
      <c r="O34" s="17">
        <v>407.4</v>
      </c>
      <c r="P34" s="17">
        <v>549.53200000000004</v>
      </c>
      <c r="Q34" s="17">
        <v>408.73899999999998</v>
      </c>
      <c r="R34" s="17"/>
      <c r="S34" s="17">
        <v>474.53199999999998</v>
      </c>
      <c r="T34" s="17"/>
      <c r="U34" s="17">
        <v>400.42700000000002</v>
      </c>
      <c r="V34" s="17">
        <v>399.608</v>
      </c>
      <c r="W34" s="17"/>
      <c r="X34" s="17">
        <v>421.43</v>
      </c>
      <c r="Y34" s="17">
        <v>686.80899999999997</v>
      </c>
      <c r="Z34" s="17">
        <v>398.11599999999999</v>
      </c>
      <c r="AA34" s="17">
        <v>433.947</v>
      </c>
      <c r="AB34" s="17">
        <v>407.82600000000002</v>
      </c>
      <c r="AC34" s="17">
        <v>397.233</v>
      </c>
      <c r="AD34" s="17">
        <v>413.03800000000001</v>
      </c>
      <c r="AE34" s="17">
        <v>393.61099999999999</v>
      </c>
    </row>
    <row r="35" spans="1:31" x14ac:dyDescent="0.35">
      <c r="A35" s="3">
        <v>19</v>
      </c>
      <c r="B35" s="17">
        <v>410.267</v>
      </c>
      <c r="C35" s="17">
        <v>406.95699999999999</v>
      </c>
      <c r="D35" s="17">
        <v>401.49799999999999</v>
      </c>
      <c r="E35" s="17">
        <v>423.27300000000002</v>
      </c>
      <c r="F35" s="17">
        <v>398.86099999999999</v>
      </c>
      <c r="G35" s="17">
        <v>410.51799999999997</v>
      </c>
      <c r="H35" s="17">
        <v>398.95600000000002</v>
      </c>
      <c r="I35" s="17">
        <v>480.32900000000001</v>
      </c>
      <c r="J35" s="17">
        <v>405.90800000000002</v>
      </c>
      <c r="K35" s="17">
        <v>455.72300000000001</v>
      </c>
      <c r="L35" s="17">
        <v>416.536</v>
      </c>
      <c r="M35" s="17">
        <v>438.58</v>
      </c>
      <c r="N35" s="17">
        <v>405.613</v>
      </c>
      <c r="O35" s="17">
        <v>408.06900000000002</v>
      </c>
      <c r="P35" s="17">
        <v>550.56399999999996</v>
      </c>
      <c r="Q35" s="17">
        <v>409.036</v>
      </c>
      <c r="R35" s="17"/>
      <c r="S35" s="17">
        <v>474.75200000000001</v>
      </c>
      <c r="T35" s="17"/>
      <c r="U35" s="17">
        <v>399.50099999999998</v>
      </c>
      <c r="V35" s="17">
        <v>399.73099999999999</v>
      </c>
      <c r="W35" s="17"/>
      <c r="X35" s="17">
        <v>421.29899999999998</v>
      </c>
      <c r="Y35" s="17">
        <v>688.38400000000001</v>
      </c>
      <c r="Z35" s="17">
        <v>397.24900000000002</v>
      </c>
      <c r="AA35" s="17">
        <v>433.637</v>
      </c>
      <c r="AB35" s="17">
        <v>408.15899999999999</v>
      </c>
      <c r="AC35" s="17">
        <v>395.75900000000001</v>
      </c>
      <c r="AD35" s="17">
        <v>410.40300000000002</v>
      </c>
      <c r="AE35" s="17">
        <v>393.495</v>
      </c>
    </row>
    <row r="36" spans="1:31" x14ac:dyDescent="0.35">
      <c r="A36" s="3">
        <v>20</v>
      </c>
      <c r="B36" s="17">
        <v>411.06</v>
      </c>
      <c r="C36" s="17">
        <v>406.00700000000001</v>
      </c>
      <c r="D36" s="17">
        <v>401.85399999999998</v>
      </c>
      <c r="E36" s="17">
        <v>423.983</v>
      </c>
      <c r="F36" s="17">
        <v>398.005</v>
      </c>
      <c r="G36" s="17">
        <v>409.94299999999998</v>
      </c>
      <c r="H36" s="17">
        <v>398.96699999999998</v>
      </c>
      <c r="I36" s="17">
        <v>480.60300000000001</v>
      </c>
      <c r="J36" s="17">
        <v>406.43799999999999</v>
      </c>
      <c r="K36" s="17">
        <v>455.35399999999998</v>
      </c>
      <c r="L36" s="17">
        <v>415.69400000000002</v>
      </c>
      <c r="M36" s="17">
        <v>438.71300000000002</v>
      </c>
      <c r="N36" s="17">
        <v>405.25900000000001</v>
      </c>
      <c r="O36" s="17">
        <v>408.76499999999999</v>
      </c>
      <c r="P36" s="17">
        <v>550.11800000000005</v>
      </c>
      <c r="Q36" s="17">
        <v>409.23899999999998</v>
      </c>
      <c r="R36" s="17"/>
      <c r="S36" s="17">
        <v>474.21100000000001</v>
      </c>
      <c r="T36" s="17"/>
      <c r="U36" s="17">
        <v>398.46199999999999</v>
      </c>
      <c r="V36" s="17">
        <v>399.005</v>
      </c>
      <c r="W36" s="17"/>
      <c r="X36" s="17">
        <v>421.34800000000001</v>
      </c>
      <c r="Y36" s="17">
        <v>687.73199999999997</v>
      </c>
      <c r="Z36" s="17">
        <v>398.29399999999998</v>
      </c>
      <c r="AA36" s="17">
        <v>433.79399999999998</v>
      </c>
      <c r="AB36" s="17">
        <v>408.26299999999998</v>
      </c>
      <c r="AC36" s="17">
        <v>396.92500000000001</v>
      </c>
      <c r="AD36" s="17">
        <v>412.18400000000003</v>
      </c>
      <c r="AE36" s="17">
        <v>396.41899999999998</v>
      </c>
    </row>
    <row r="37" spans="1:31" x14ac:dyDescent="0.35">
      <c r="A37" s="3">
        <v>21</v>
      </c>
      <c r="B37" s="17">
        <v>411.06099999999998</v>
      </c>
      <c r="C37" s="17">
        <v>406.61599999999999</v>
      </c>
      <c r="D37" s="17">
        <v>402.24900000000002</v>
      </c>
      <c r="E37" s="17">
        <v>424.06099999999998</v>
      </c>
      <c r="F37" s="17">
        <v>398.07100000000003</v>
      </c>
      <c r="G37" s="17">
        <v>410.15600000000001</v>
      </c>
      <c r="H37" s="17">
        <v>398.84699999999998</v>
      </c>
      <c r="I37" s="17">
        <v>482.005</v>
      </c>
      <c r="J37" s="17">
        <v>406.65300000000002</v>
      </c>
      <c r="K37" s="17">
        <v>456.55700000000002</v>
      </c>
      <c r="L37" s="17">
        <v>416.767</v>
      </c>
      <c r="M37" s="17">
        <v>438.08800000000002</v>
      </c>
      <c r="N37" s="17">
        <v>406.245</v>
      </c>
      <c r="O37" s="17">
        <v>408.60599999999999</v>
      </c>
      <c r="P37" s="17">
        <v>549.87599999999998</v>
      </c>
      <c r="Q37" s="17">
        <v>408.89699999999999</v>
      </c>
      <c r="R37" s="17"/>
      <c r="S37" s="17">
        <v>474.89600000000002</v>
      </c>
      <c r="T37" s="17"/>
      <c r="U37" s="17">
        <v>399.27600000000001</v>
      </c>
      <c r="V37" s="17">
        <v>399.08699999999999</v>
      </c>
      <c r="W37" s="17"/>
      <c r="X37" s="17">
        <v>421.51499999999999</v>
      </c>
      <c r="Y37" s="17">
        <v>687.78099999999995</v>
      </c>
      <c r="Z37" s="17">
        <v>399.3</v>
      </c>
      <c r="AA37" s="17">
        <v>432.339</v>
      </c>
      <c r="AB37" s="17">
        <v>407.61399999999998</v>
      </c>
      <c r="AC37" s="17">
        <v>396.08100000000002</v>
      </c>
      <c r="AD37" s="17">
        <v>412.97</v>
      </c>
      <c r="AE37" s="17">
        <v>393.95600000000002</v>
      </c>
    </row>
    <row r="38" spans="1:31" x14ac:dyDescent="0.35">
      <c r="A38" s="3">
        <v>22</v>
      </c>
      <c r="B38" s="17">
        <v>410.08800000000002</v>
      </c>
      <c r="C38" s="17">
        <v>405.71699999999998</v>
      </c>
      <c r="D38" s="17">
        <v>402.46800000000002</v>
      </c>
      <c r="E38" s="17">
        <v>423.43400000000003</v>
      </c>
      <c r="F38" s="17">
        <v>398.31700000000001</v>
      </c>
      <c r="G38" s="17">
        <v>409.94400000000002</v>
      </c>
      <c r="H38" s="17">
        <v>399.93700000000001</v>
      </c>
      <c r="I38" s="17">
        <v>481.07499999999999</v>
      </c>
      <c r="J38" s="17">
        <v>406.87099999999998</v>
      </c>
      <c r="K38" s="17">
        <v>454.93799999999999</v>
      </c>
      <c r="L38" s="17">
        <v>414.51</v>
      </c>
      <c r="M38" s="17">
        <v>439.04599999999999</v>
      </c>
      <c r="N38" s="17">
        <v>406.52199999999999</v>
      </c>
      <c r="O38" s="17">
        <v>408.15100000000001</v>
      </c>
      <c r="P38" s="17">
        <v>550.62400000000002</v>
      </c>
      <c r="Q38" s="17">
        <v>409.05200000000002</v>
      </c>
      <c r="R38" s="17"/>
      <c r="S38" s="17">
        <v>472.76100000000002</v>
      </c>
      <c r="T38" s="17"/>
      <c r="U38" s="17">
        <v>400.36799999999999</v>
      </c>
      <c r="V38" s="17">
        <v>399.21300000000002</v>
      </c>
      <c r="W38" s="17"/>
      <c r="X38" s="17">
        <v>421.76499999999999</v>
      </c>
      <c r="Y38" s="17">
        <v>687.23900000000003</v>
      </c>
      <c r="Z38" s="17">
        <v>399.065</v>
      </c>
      <c r="AA38" s="17">
        <v>433.42899999999997</v>
      </c>
      <c r="AB38" s="17">
        <v>407.435</v>
      </c>
      <c r="AC38" s="17">
        <v>396.59</v>
      </c>
      <c r="AD38" s="17">
        <v>412.33600000000001</v>
      </c>
      <c r="AE38" s="17">
        <v>392.55399999999997</v>
      </c>
    </row>
    <row r="39" spans="1:31" x14ac:dyDescent="0.35">
      <c r="A39" s="3">
        <v>23</v>
      </c>
      <c r="B39" s="17">
        <v>411.745</v>
      </c>
      <c r="C39" s="17">
        <v>407.928</v>
      </c>
      <c r="D39" s="17">
        <v>402.38799999999998</v>
      </c>
      <c r="E39" s="17">
        <v>424.04199999999997</v>
      </c>
      <c r="F39" s="17">
        <v>399.76499999999999</v>
      </c>
      <c r="G39" s="17">
        <v>409.952</v>
      </c>
      <c r="H39" s="17">
        <v>398.74400000000003</v>
      </c>
      <c r="I39" s="17">
        <v>480.87900000000002</v>
      </c>
      <c r="J39" s="17">
        <v>406.04399999999998</v>
      </c>
      <c r="K39" s="17">
        <v>454.404</v>
      </c>
      <c r="L39" s="17">
        <v>415.22899999999998</v>
      </c>
      <c r="M39" s="17">
        <v>438.96300000000002</v>
      </c>
      <c r="N39" s="17">
        <v>406.03500000000003</v>
      </c>
      <c r="O39" s="17">
        <v>407.56799999999998</v>
      </c>
      <c r="P39" s="17">
        <v>551.173</v>
      </c>
      <c r="Q39" s="17">
        <v>408.91399999999999</v>
      </c>
      <c r="R39" s="17"/>
      <c r="S39" s="17">
        <v>474.07600000000002</v>
      </c>
      <c r="T39" s="17"/>
      <c r="U39" s="17">
        <v>399.22300000000001</v>
      </c>
      <c r="V39" s="17">
        <v>399.51499999999999</v>
      </c>
      <c r="W39" s="17"/>
      <c r="X39" s="17">
        <v>421.28</v>
      </c>
      <c r="Y39" s="17">
        <v>688.88400000000001</v>
      </c>
      <c r="Z39" s="17">
        <v>397.1</v>
      </c>
      <c r="AA39" s="17">
        <v>433.88400000000001</v>
      </c>
      <c r="AB39" s="17">
        <v>407.69299999999998</v>
      </c>
      <c r="AC39" s="17">
        <v>396.13200000000001</v>
      </c>
      <c r="AD39" s="17">
        <v>414.03800000000001</v>
      </c>
      <c r="AE39" s="17">
        <v>394.447</v>
      </c>
    </row>
    <row r="40" spans="1:31" x14ac:dyDescent="0.35">
      <c r="A40" s="3">
        <v>24</v>
      </c>
      <c r="B40" s="17">
        <v>410.82499999999999</v>
      </c>
      <c r="C40" s="17">
        <v>406.80399999999997</v>
      </c>
      <c r="D40" s="17">
        <v>401.94600000000003</v>
      </c>
      <c r="E40" s="17">
        <v>423.947</v>
      </c>
      <c r="F40" s="17">
        <v>398.70699999999999</v>
      </c>
      <c r="G40" s="17">
        <v>409.76299999999998</v>
      </c>
      <c r="H40" s="17">
        <v>398.81</v>
      </c>
      <c r="I40" s="17">
        <v>480.86500000000001</v>
      </c>
      <c r="J40" s="17">
        <v>407.21699999999998</v>
      </c>
      <c r="K40" s="17">
        <v>455.14100000000002</v>
      </c>
      <c r="L40" s="17">
        <v>415.42700000000002</v>
      </c>
      <c r="M40" s="17">
        <v>439.988</v>
      </c>
      <c r="N40" s="17">
        <v>405.19200000000001</v>
      </c>
      <c r="O40" s="17">
        <v>407.61599999999999</v>
      </c>
      <c r="P40" s="17">
        <v>549.404</v>
      </c>
      <c r="Q40" s="17">
        <v>408.75700000000001</v>
      </c>
      <c r="R40" s="17"/>
      <c r="S40" s="17">
        <v>474.59100000000001</v>
      </c>
      <c r="T40" s="17"/>
      <c r="U40" s="17">
        <v>399.74599999999998</v>
      </c>
      <c r="V40" s="17">
        <v>400.17500000000001</v>
      </c>
      <c r="W40" s="17"/>
      <c r="X40" s="17">
        <v>421.16</v>
      </c>
      <c r="Y40" s="17">
        <v>688.298</v>
      </c>
      <c r="Z40" s="17">
        <v>398.27499999999998</v>
      </c>
      <c r="AA40" s="17">
        <v>433.08199999999999</v>
      </c>
      <c r="AB40" s="17">
        <v>408.673</v>
      </c>
      <c r="AC40" s="17">
        <v>397.15300000000002</v>
      </c>
      <c r="AD40" s="17">
        <v>412.22199999999998</v>
      </c>
      <c r="AE40" s="17">
        <v>394.452</v>
      </c>
    </row>
    <row r="41" spans="1:31" x14ac:dyDescent="0.35">
      <c r="A41" s="3">
        <v>25</v>
      </c>
      <c r="B41" s="17">
        <v>411.44400000000002</v>
      </c>
      <c r="C41" s="17">
        <v>407.58800000000002</v>
      </c>
      <c r="D41" s="17">
        <v>401.99599999999998</v>
      </c>
      <c r="E41" s="17">
        <v>423.18</v>
      </c>
      <c r="F41" s="17">
        <v>398.05799999999999</v>
      </c>
      <c r="G41" s="17">
        <v>410.40600000000001</v>
      </c>
      <c r="H41" s="17">
        <v>399.01600000000002</v>
      </c>
      <c r="I41" s="17">
        <v>480.971</v>
      </c>
      <c r="J41" s="17">
        <v>407.19099999999997</v>
      </c>
      <c r="K41" s="17">
        <v>455.428</v>
      </c>
      <c r="L41" s="17">
        <v>415.71</v>
      </c>
      <c r="M41" s="17">
        <v>438.49599999999998</v>
      </c>
      <c r="N41" s="17">
        <v>405.495</v>
      </c>
      <c r="O41" s="17">
        <v>407.63</v>
      </c>
      <c r="P41" s="17">
        <v>550.65499999999997</v>
      </c>
      <c r="Q41" s="17">
        <v>407.73899999999998</v>
      </c>
      <c r="R41" s="17"/>
      <c r="S41" s="17">
        <v>473.59699999999998</v>
      </c>
      <c r="T41" s="17"/>
      <c r="U41" s="17">
        <v>399.80700000000002</v>
      </c>
      <c r="V41" s="17">
        <v>400.78300000000002</v>
      </c>
      <c r="W41" s="17"/>
      <c r="X41" s="17">
        <v>422.69900000000001</v>
      </c>
      <c r="Y41" s="17">
        <v>686.596</v>
      </c>
      <c r="Z41" s="17">
        <v>398.04700000000003</v>
      </c>
      <c r="AA41" s="17">
        <v>433.863</v>
      </c>
      <c r="AB41" s="17">
        <v>409.029</v>
      </c>
      <c r="AC41" s="17">
        <v>397.38299999999998</v>
      </c>
      <c r="AD41" s="17">
        <v>414.23</v>
      </c>
      <c r="AE41" s="17">
        <v>395.01600000000002</v>
      </c>
    </row>
    <row r="42" spans="1:31" x14ac:dyDescent="0.35">
      <c r="A42" s="3">
        <v>26</v>
      </c>
      <c r="B42" s="17">
        <v>411.28899999999999</v>
      </c>
      <c r="C42" s="17">
        <v>407.16</v>
      </c>
      <c r="D42" s="17">
        <v>401.209</v>
      </c>
      <c r="E42" s="17">
        <v>423.64600000000002</v>
      </c>
      <c r="F42" s="17">
        <v>399.58199999999999</v>
      </c>
      <c r="G42" s="17">
        <v>410.399</v>
      </c>
      <c r="H42" s="17">
        <v>398.49</v>
      </c>
      <c r="I42" s="17">
        <v>480.774</v>
      </c>
      <c r="J42" s="17">
        <v>406.74599999999998</v>
      </c>
      <c r="K42" s="17">
        <v>455.084</v>
      </c>
      <c r="L42" s="17">
        <v>414.97500000000002</v>
      </c>
      <c r="M42" s="17">
        <v>438.96499999999997</v>
      </c>
      <c r="N42" s="17">
        <v>406.18900000000002</v>
      </c>
      <c r="O42" s="17">
        <v>407.29599999999999</v>
      </c>
      <c r="P42" s="17">
        <v>549.87199999999996</v>
      </c>
      <c r="Q42" s="17">
        <v>408.12</v>
      </c>
      <c r="R42" s="17"/>
      <c r="S42" s="17">
        <v>474.00299999999999</v>
      </c>
      <c r="T42" s="17"/>
      <c r="U42" s="17">
        <v>400.005</v>
      </c>
      <c r="V42" s="17">
        <v>400.26499999999999</v>
      </c>
      <c r="W42" s="17"/>
      <c r="X42" s="17">
        <v>421.827</v>
      </c>
      <c r="Y42" s="17">
        <v>687.96299999999997</v>
      </c>
      <c r="Z42" s="17">
        <v>397.29199999999997</v>
      </c>
      <c r="AA42" s="17">
        <v>433.16899999999998</v>
      </c>
      <c r="AB42" s="17">
        <v>407.34399999999999</v>
      </c>
      <c r="AC42" s="17">
        <v>396.92899999999997</v>
      </c>
      <c r="AD42" s="17">
        <v>412.76</v>
      </c>
      <c r="AE42" s="17">
        <v>391.54</v>
      </c>
    </row>
    <row r="43" spans="1:31" x14ac:dyDescent="0.35">
      <c r="A43" s="3">
        <v>27</v>
      </c>
      <c r="B43" s="17">
        <v>411.07600000000002</v>
      </c>
      <c r="C43" s="17">
        <v>405.82100000000003</v>
      </c>
      <c r="D43" s="17">
        <v>403.14400000000001</v>
      </c>
      <c r="E43" s="17">
        <v>424.23399999999998</v>
      </c>
      <c r="F43" s="17">
        <v>399.46800000000002</v>
      </c>
      <c r="G43" s="17">
        <v>411.26600000000002</v>
      </c>
      <c r="H43" s="17">
        <v>399.548</v>
      </c>
      <c r="I43" s="17">
        <v>481.43299999999999</v>
      </c>
      <c r="J43" s="17">
        <v>407.642</v>
      </c>
      <c r="K43" s="17">
        <v>455.69799999999998</v>
      </c>
      <c r="L43" s="17">
        <v>415.91399999999999</v>
      </c>
      <c r="M43" s="17">
        <v>439.49900000000002</v>
      </c>
      <c r="N43" s="17">
        <v>406.73899999999998</v>
      </c>
      <c r="O43" s="17">
        <v>407.25099999999998</v>
      </c>
      <c r="P43" s="17">
        <v>550.31299999999999</v>
      </c>
      <c r="Q43" s="17">
        <v>408.5</v>
      </c>
      <c r="R43" s="17"/>
      <c r="S43" s="17">
        <v>473.80500000000001</v>
      </c>
      <c r="T43" s="17"/>
      <c r="U43" s="17">
        <v>399.03</v>
      </c>
      <c r="V43" s="17">
        <v>401.12200000000001</v>
      </c>
      <c r="W43" s="17"/>
      <c r="X43" s="17">
        <v>423.04399999999998</v>
      </c>
      <c r="Y43" s="17">
        <v>687.92499999999995</v>
      </c>
      <c r="Z43" s="17">
        <v>397.88900000000001</v>
      </c>
      <c r="AA43" s="17">
        <v>433.66800000000001</v>
      </c>
      <c r="AB43" s="17">
        <v>407.67599999999999</v>
      </c>
      <c r="AC43" s="17">
        <v>397.73200000000003</v>
      </c>
      <c r="AD43" s="17">
        <v>415.029</v>
      </c>
      <c r="AE43" s="17">
        <v>394.59199999999998</v>
      </c>
    </row>
    <row r="44" spans="1:31" x14ac:dyDescent="0.35">
      <c r="A44" s="3">
        <v>28</v>
      </c>
      <c r="B44" s="17">
        <v>410.76600000000002</v>
      </c>
      <c r="C44" s="17">
        <v>406.57</v>
      </c>
      <c r="D44" s="17">
        <v>401.70400000000001</v>
      </c>
      <c r="E44" s="17">
        <v>423.71199999999999</v>
      </c>
      <c r="F44" s="17">
        <v>398.81200000000001</v>
      </c>
      <c r="G44" s="17">
        <v>410.375</v>
      </c>
      <c r="H44" s="17">
        <v>399.47699999999998</v>
      </c>
      <c r="I44" s="17">
        <v>480.55500000000001</v>
      </c>
      <c r="J44" s="17">
        <v>407.12700000000001</v>
      </c>
      <c r="K44" s="17">
        <v>455.17700000000002</v>
      </c>
      <c r="L44" s="17">
        <v>413.05399999999997</v>
      </c>
      <c r="M44" s="17">
        <v>439.517</v>
      </c>
      <c r="N44" s="17">
        <v>406.28699999999998</v>
      </c>
      <c r="O44" s="17">
        <v>408.43599999999998</v>
      </c>
      <c r="P44" s="17">
        <v>550.18899999999996</v>
      </c>
      <c r="Q44" s="17">
        <v>407.96</v>
      </c>
      <c r="R44" s="17"/>
      <c r="S44" s="17">
        <v>473.517</v>
      </c>
      <c r="T44" s="17"/>
      <c r="U44" s="17">
        <v>400.21800000000002</v>
      </c>
      <c r="V44" s="17">
        <v>400.30099999999999</v>
      </c>
      <c r="W44" s="17"/>
      <c r="X44" s="17">
        <v>421.81599999999997</v>
      </c>
      <c r="Y44" s="17">
        <v>688.13199999999995</v>
      </c>
      <c r="Z44" s="17">
        <v>398.12799999999999</v>
      </c>
      <c r="AA44" s="17">
        <v>433.029</v>
      </c>
      <c r="AB44" s="17">
        <v>408.47500000000002</v>
      </c>
      <c r="AC44" s="17">
        <v>397.22500000000002</v>
      </c>
      <c r="AD44" s="17">
        <v>412.67700000000002</v>
      </c>
      <c r="AE44" s="17">
        <v>395.49299999999999</v>
      </c>
    </row>
    <row r="45" spans="1:31" x14ac:dyDescent="0.35">
      <c r="A45" s="3">
        <v>29</v>
      </c>
      <c r="B45" s="17">
        <v>410.94099999999997</v>
      </c>
      <c r="C45" s="17">
        <v>407.58</v>
      </c>
      <c r="D45" s="17">
        <v>402.767</v>
      </c>
      <c r="E45" s="17">
        <v>423.62599999999998</v>
      </c>
      <c r="F45" s="17">
        <v>398.61099999999999</v>
      </c>
      <c r="G45" s="17">
        <v>410.85399999999998</v>
      </c>
      <c r="H45" s="17">
        <v>399.17</v>
      </c>
      <c r="I45" s="17">
        <v>480.928</v>
      </c>
      <c r="J45" s="17">
        <v>405.952</v>
      </c>
      <c r="K45" s="17">
        <v>454.92899999999997</v>
      </c>
      <c r="L45" s="17">
        <v>415.512</v>
      </c>
      <c r="M45" s="17">
        <v>438.69900000000001</v>
      </c>
      <c r="N45" s="17">
        <v>406.21699999999998</v>
      </c>
      <c r="O45" s="17">
        <v>408.12900000000002</v>
      </c>
      <c r="P45" s="17">
        <v>550.18399999999997</v>
      </c>
      <c r="Q45" s="17">
        <v>409.45299999999997</v>
      </c>
      <c r="R45" s="17"/>
      <c r="S45" s="17">
        <v>473.738</v>
      </c>
      <c r="T45" s="17"/>
      <c r="U45" s="17">
        <v>399.791</v>
      </c>
      <c r="V45" s="17">
        <v>400.29700000000003</v>
      </c>
      <c r="W45" s="17"/>
      <c r="X45" s="17">
        <v>421.673</v>
      </c>
      <c r="Y45" s="17">
        <v>687.98800000000006</v>
      </c>
      <c r="Z45" s="17">
        <v>398.54599999999999</v>
      </c>
      <c r="AA45" s="17">
        <v>432.93599999999998</v>
      </c>
      <c r="AB45" s="17">
        <v>407.27300000000002</v>
      </c>
      <c r="AC45" s="17">
        <v>398.61799999999999</v>
      </c>
      <c r="AD45" s="17">
        <v>413.46300000000002</v>
      </c>
      <c r="AE45" s="17">
        <v>391.29500000000002</v>
      </c>
    </row>
    <row r="46" spans="1:31" x14ac:dyDescent="0.35">
      <c r="A46" s="3">
        <v>30</v>
      </c>
      <c r="B46" s="17">
        <v>411.928</v>
      </c>
      <c r="C46" s="17">
        <v>407.42500000000001</v>
      </c>
      <c r="D46" s="17">
        <v>402.43799999999999</v>
      </c>
      <c r="E46" s="17">
        <v>423.745</v>
      </c>
      <c r="F46" s="17">
        <v>399.23200000000003</v>
      </c>
      <c r="G46" s="17">
        <v>409.80700000000002</v>
      </c>
      <c r="H46" s="17">
        <v>399.87099999999998</v>
      </c>
      <c r="I46" s="17">
        <v>480.26799999999997</v>
      </c>
      <c r="J46" s="17">
        <v>407.16</v>
      </c>
      <c r="K46" s="17">
        <v>455.25599999999997</v>
      </c>
      <c r="L46" s="17">
        <v>413.95299999999997</v>
      </c>
      <c r="M46" s="17">
        <v>440.23200000000003</v>
      </c>
      <c r="N46" s="17">
        <v>405.78300000000002</v>
      </c>
      <c r="O46" s="17">
        <v>407.673</v>
      </c>
      <c r="P46" s="17">
        <v>550.678</v>
      </c>
      <c r="Q46" s="17">
        <v>409.25299999999999</v>
      </c>
      <c r="R46" s="17"/>
      <c r="S46" s="17">
        <v>473.22399999999999</v>
      </c>
      <c r="T46" s="17"/>
      <c r="U46" s="17">
        <v>400.50099999999998</v>
      </c>
      <c r="V46" s="17">
        <v>401.20800000000003</v>
      </c>
      <c r="W46" s="17"/>
      <c r="X46" s="17">
        <v>421.15899999999999</v>
      </c>
      <c r="Y46" s="17">
        <v>688.27300000000002</v>
      </c>
      <c r="Z46" s="17">
        <v>398.99700000000001</v>
      </c>
      <c r="AA46" s="17">
        <v>433.12700000000001</v>
      </c>
      <c r="AB46" s="17">
        <v>408.26600000000002</v>
      </c>
      <c r="AC46" s="17">
        <v>395.59899999999999</v>
      </c>
      <c r="AD46" s="17">
        <v>411.28699999999998</v>
      </c>
      <c r="AE46" s="17">
        <v>394.34199999999998</v>
      </c>
    </row>
    <row r="47" spans="1:31" x14ac:dyDescent="0.35">
      <c r="A47" s="3">
        <v>31</v>
      </c>
      <c r="B47" s="17">
        <v>411.017</v>
      </c>
      <c r="C47" s="17">
        <v>407.06400000000002</v>
      </c>
      <c r="D47" s="17">
        <v>403.16399999999999</v>
      </c>
      <c r="E47" s="17">
        <v>423.67200000000003</v>
      </c>
      <c r="F47" s="17">
        <v>399.83300000000003</v>
      </c>
      <c r="G47" s="17">
        <v>410.91399999999999</v>
      </c>
      <c r="H47" s="17">
        <v>399.79500000000002</v>
      </c>
      <c r="I47" s="17">
        <v>481.11599999999999</v>
      </c>
      <c r="J47" s="17">
        <v>406.43099999999998</v>
      </c>
      <c r="K47" s="17">
        <v>454.55200000000002</v>
      </c>
      <c r="L47" s="17">
        <v>414.71899999999999</v>
      </c>
      <c r="M47" s="17">
        <v>438.31900000000002</v>
      </c>
      <c r="N47" s="17">
        <v>406.10700000000003</v>
      </c>
      <c r="O47" s="17">
        <v>407.93799999999999</v>
      </c>
      <c r="P47" s="17">
        <v>549.73299999999995</v>
      </c>
      <c r="Q47" s="17">
        <v>409.637</v>
      </c>
      <c r="R47" s="17"/>
      <c r="S47" s="17">
        <v>472.26499999999999</v>
      </c>
      <c r="T47" s="17"/>
      <c r="U47" s="17">
        <v>399.65899999999999</v>
      </c>
      <c r="V47" s="17">
        <v>401.45600000000002</v>
      </c>
      <c r="W47" s="17"/>
      <c r="X47" s="17">
        <v>422.64800000000002</v>
      </c>
      <c r="Y47" s="17">
        <v>688.79399999999998</v>
      </c>
      <c r="Z47" s="17">
        <v>399.07499999999999</v>
      </c>
      <c r="AA47" s="17">
        <v>432.928</v>
      </c>
      <c r="AB47" s="17">
        <v>407.79399999999998</v>
      </c>
      <c r="AC47" s="17">
        <v>399.10300000000001</v>
      </c>
      <c r="AD47" s="17">
        <v>413.38799999999998</v>
      </c>
      <c r="AE47" s="17">
        <v>394.18</v>
      </c>
    </row>
    <row r="48" spans="1:31" x14ac:dyDescent="0.35">
      <c r="A48" s="3">
        <v>32</v>
      </c>
      <c r="B48" s="17">
        <v>411.25099999999998</v>
      </c>
      <c r="C48" s="17">
        <v>407.30399999999997</v>
      </c>
      <c r="D48" s="17">
        <v>402.65800000000002</v>
      </c>
      <c r="E48" s="17">
        <v>424.47300000000001</v>
      </c>
      <c r="F48" s="17">
        <v>399.63</v>
      </c>
      <c r="G48" s="17">
        <v>410.77699999999999</v>
      </c>
      <c r="H48" s="17">
        <v>398.77800000000002</v>
      </c>
      <c r="I48" s="17">
        <v>480.62200000000001</v>
      </c>
      <c r="J48" s="17">
        <v>406.91399999999999</v>
      </c>
      <c r="K48" s="17">
        <v>455.38900000000001</v>
      </c>
      <c r="L48" s="17">
        <v>415.30399999999997</v>
      </c>
      <c r="M48" s="17">
        <v>439.46800000000002</v>
      </c>
      <c r="N48" s="17">
        <v>406.19600000000003</v>
      </c>
      <c r="O48" s="17">
        <v>409.01</v>
      </c>
      <c r="P48" s="17">
        <v>550.47199999999998</v>
      </c>
      <c r="Q48" s="17">
        <v>409.74</v>
      </c>
      <c r="R48" s="17"/>
      <c r="S48" s="17">
        <v>472.3</v>
      </c>
      <c r="T48" s="17"/>
      <c r="U48" s="17">
        <v>399.18799999999999</v>
      </c>
      <c r="V48" s="17">
        <v>400.30599999999998</v>
      </c>
      <c r="W48" s="17"/>
      <c r="X48" s="17">
        <v>423.01799999999997</v>
      </c>
      <c r="Y48" s="17">
        <v>687.75900000000001</v>
      </c>
      <c r="Z48" s="17">
        <v>399.108</v>
      </c>
      <c r="AA48" s="17">
        <v>433.98599999999999</v>
      </c>
      <c r="AB48" s="17">
        <v>407.71</v>
      </c>
      <c r="AC48" s="17">
        <v>397.02</v>
      </c>
      <c r="AD48" s="17">
        <v>411.10599999999999</v>
      </c>
      <c r="AE48" s="17">
        <v>392.863</v>
      </c>
    </row>
    <row r="49" spans="1:31" x14ac:dyDescent="0.35">
      <c r="A49" s="3">
        <f>A48+1</f>
        <v>33</v>
      </c>
      <c r="B49" s="17">
        <v>410.58300000000003</v>
      </c>
      <c r="C49" s="17">
        <v>406.81599999999997</v>
      </c>
      <c r="D49" s="17">
        <v>402.85500000000002</v>
      </c>
      <c r="E49" s="17">
        <v>423.93400000000003</v>
      </c>
      <c r="F49" s="17">
        <v>398.98</v>
      </c>
      <c r="G49" s="17">
        <v>411.13900000000001</v>
      </c>
      <c r="H49" s="17">
        <v>398.69200000000001</v>
      </c>
      <c r="I49" s="17">
        <v>481.524</v>
      </c>
      <c r="J49" s="17">
        <v>407.01100000000002</v>
      </c>
      <c r="K49" s="17">
        <v>454.94299999999998</v>
      </c>
      <c r="L49" s="17">
        <v>415.33699999999999</v>
      </c>
      <c r="M49" s="17">
        <v>439.642</v>
      </c>
      <c r="N49" s="17">
        <v>406.416</v>
      </c>
      <c r="O49" s="17">
        <v>408.23700000000002</v>
      </c>
      <c r="P49" s="17">
        <v>550.029</v>
      </c>
      <c r="Q49" s="17">
        <v>409.55500000000001</v>
      </c>
      <c r="R49" s="17"/>
      <c r="S49" s="17">
        <v>471.31900000000002</v>
      </c>
      <c r="T49" s="17"/>
      <c r="U49" s="17">
        <v>400.86200000000002</v>
      </c>
      <c r="V49" s="17">
        <v>401.01600000000002</v>
      </c>
      <c r="W49" s="17"/>
      <c r="X49" s="17">
        <v>422.69900000000001</v>
      </c>
      <c r="Y49" s="17">
        <v>687.46</v>
      </c>
      <c r="Z49" s="17">
        <v>399.255</v>
      </c>
      <c r="AA49" s="17">
        <v>432.887</v>
      </c>
      <c r="AB49" s="17">
        <v>407.892</v>
      </c>
      <c r="AC49" s="17">
        <v>398.92399999999998</v>
      </c>
      <c r="AD49" s="17">
        <v>413.21600000000001</v>
      </c>
      <c r="AE49" s="17">
        <v>396.041</v>
      </c>
    </row>
    <row r="50" spans="1:31" x14ac:dyDescent="0.35">
      <c r="A50" s="3">
        <f t="shared" ref="A50:A113" si="97">A49+1</f>
        <v>34</v>
      </c>
      <c r="B50" s="17">
        <v>411.00299999999999</v>
      </c>
      <c r="C50" s="17">
        <v>407.30200000000002</v>
      </c>
      <c r="D50" s="17">
        <v>402.66899999999998</v>
      </c>
      <c r="E50" s="17">
        <v>423.41300000000001</v>
      </c>
      <c r="F50" s="17">
        <v>398.60199999999998</v>
      </c>
      <c r="G50" s="17">
        <v>409.476</v>
      </c>
      <c r="H50" s="17">
        <v>398.7</v>
      </c>
      <c r="I50" s="17">
        <v>480.73</v>
      </c>
      <c r="J50" s="17">
        <v>406.63499999999999</v>
      </c>
      <c r="K50" s="17">
        <v>454.49099999999999</v>
      </c>
      <c r="L50" s="17">
        <v>414.89800000000002</v>
      </c>
      <c r="M50" s="17">
        <v>439.01100000000002</v>
      </c>
      <c r="N50" s="17">
        <v>405.97800000000001</v>
      </c>
      <c r="O50" s="17">
        <v>408.33300000000003</v>
      </c>
      <c r="P50" s="17">
        <v>549.57899999999995</v>
      </c>
      <c r="Q50" s="17">
        <v>408.57100000000003</v>
      </c>
      <c r="R50" s="17"/>
      <c r="S50" s="17">
        <v>471.35199999999998</v>
      </c>
      <c r="T50" s="17"/>
      <c r="U50" s="17">
        <v>400.39400000000001</v>
      </c>
      <c r="V50" s="17">
        <v>401.49700000000001</v>
      </c>
      <c r="W50" s="17"/>
      <c r="X50" s="17">
        <v>423.13</v>
      </c>
      <c r="Y50" s="17">
        <v>687.58699999999999</v>
      </c>
      <c r="Z50" s="17">
        <v>398.39499999999998</v>
      </c>
      <c r="AA50" s="17">
        <v>433.42099999999999</v>
      </c>
      <c r="AB50" s="17">
        <v>407.334</v>
      </c>
      <c r="AC50" s="17">
        <v>398.35399999999998</v>
      </c>
      <c r="AD50" s="17">
        <v>412.012</v>
      </c>
      <c r="AE50" s="17">
        <v>395.49599999999998</v>
      </c>
    </row>
    <row r="51" spans="1:31" x14ac:dyDescent="0.35">
      <c r="A51" s="3">
        <f t="shared" si="97"/>
        <v>35</v>
      </c>
      <c r="B51" s="17">
        <v>411.09300000000002</v>
      </c>
      <c r="C51" s="17">
        <v>406.60199999999998</v>
      </c>
      <c r="D51" s="17">
        <v>402.59</v>
      </c>
      <c r="E51" s="17">
        <v>424.77499999999998</v>
      </c>
      <c r="F51" s="17">
        <v>398.76</v>
      </c>
      <c r="G51" s="17">
        <v>409.88900000000001</v>
      </c>
      <c r="H51" s="17">
        <v>398.71699999999998</v>
      </c>
      <c r="I51" s="17">
        <v>481.10199999999998</v>
      </c>
      <c r="J51" s="17">
        <v>407.00799999999998</v>
      </c>
      <c r="K51" s="17">
        <v>455.755</v>
      </c>
      <c r="L51" s="17">
        <v>413.67700000000002</v>
      </c>
      <c r="M51" s="17">
        <v>439.27499999999998</v>
      </c>
      <c r="N51" s="17">
        <v>407.08699999999999</v>
      </c>
      <c r="O51" s="17">
        <v>408.279</v>
      </c>
      <c r="P51" s="17">
        <v>549.82500000000005</v>
      </c>
      <c r="Q51" s="17">
        <v>408.95800000000003</v>
      </c>
      <c r="R51" s="17"/>
      <c r="S51" s="17">
        <v>472.08199999999999</v>
      </c>
      <c r="T51" s="17"/>
      <c r="U51" s="17">
        <v>399.82</v>
      </c>
      <c r="V51" s="17">
        <v>400.24400000000003</v>
      </c>
      <c r="W51" s="17"/>
      <c r="X51" s="17">
        <v>423.98700000000002</v>
      </c>
      <c r="Y51" s="17">
        <v>688.98599999999999</v>
      </c>
      <c r="Z51" s="17">
        <v>399.36599999999999</v>
      </c>
      <c r="AA51" s="17">
        <v>432.99900000000002</v>
      </c>
      <c r="AB51" s="17">
        <v>407.74700000000001</v>
      </c>
      <c r="AC51" s="17">
        <v>398.31</v>
      </c>
      <c r="AD51" s="17">
        <v>412.58600000000001</v>
      </c>
      <c r="AE51" s="17">
        <v>393.464</v>
      </c>
    </row>
    <row r="52" spans="1:31" x14ac:dyDescent="0.35">
      <c r="A52" s="3">
        <f t="shared" si="97"/>
        <v>36</v>
      </c>
      <c r="B52" s="17">
        <v>411.24900000000002</v>
      </c>
      <c r="C52" s="17">
        <v>407.10300000000001</v>
      </c>
      <c r="D52" s="17">
        <v>402.13400000000001</v>
      </c>
      <c r="E52" s="17">
        <v>425.07600000000002</v>
      </c>
      <c r="F52" s="17">
        <v>399.93</v>
      </c>
      <c r="G52" s="17">
        <v>409.92200000000003</v>
      </c>
      <c r="H52" s="17">
        <v>399.03899999999999</v>
      </c>
      <c r="I52" s="17">
        <v>481.24799999999999</v>
      </c>
      <c r="J52" s="17">
        <v>407.28699999999998</v>
      </c>
      <c r="K52" s="17">
        <v>454.16399999999999</v>
      </c>
      <c r="L52" s="17">
        <v>414.72300000000001</v>
      </c>
      <c r="M52" s="17">
        <v>440.38799999999998</v>
      </c>
      <c r="N52" s="17">
        <v>407.25</v>
      </c>
      <c r="O52" s="17">
        <v>408.38600000000002</v>
      </c>
      <c r="P52" s="17">
        <v>550.32100000000003</v>
      </c>
      <c r="Q52" s="17">
        <v>408.85199999999998</v>
      </c>
      <c r="R52" s="17"/>
      <c r="S52" s="17">
        <v>470.79300000000001</v>
      </c>
      <c r="T52" s="17"/>
      <c r="U52" s="17">
        <v>402.02</v>
      </c>
      <c r="V52" s="17">
        <v>401.4</v>
      </c>
      <c r="W52" s="17"/>
      <c r="X52" s="17">
        <v>422.41500000000002</v>
      </c>
      <c r="Y52" s="17">
        <v>688.67</v>
      </c>
      <c r="Z52" s="17">
        <v>399.23200000000003</v>
      </c>
      <c r="AA52" s="17">
        <v>432.38900000000001</v>
      </c>
      <c r="AB52" s="17">
        <v>406.78500000000003</v>
      </c>
      <c r="AC52" s="17">
        <v>398.60899999999998</v>
      </c>
      <c r="AD52" s="17">
        <v>412.54300000000001</v>
      </c>
      <c r="AE52" s="17">
        <v>397.50700000000001</v>
      </c>
    </row>
    <row r="53" spans="1:31" x14ac:dyDescent="0.35">
      <c r="A53" s="3">
        <f t="shared" si="97"/>
        <v>37</v>
      </c>
      <c r="B53" s="17">
        <v>411.13200000000001</v>
      </c>
      <c r="C53" s="17">
        <v>407.161</v>
      </c>
      <c r="D53" s="17">
        <v>402.90100000000001</v>
      </c>
      <c r="E53" s="17">
        <v>424.21</v>
      </c>
      <c r="F53" s="17">
        <v>400.12099999999998</v>
      </c>
      <c r="G53" s="17">
        <v>410.214</v>
      </c>
      <c r="H53" s="17">
        <v>399.31</v>
      </c>
      <c r="I53" s="17">
        <v>480.70400000000001</v>
      </c>
      <c r="J53" s="17">
        <v>406.89</v>
      </c>
      <c r="K53" s="17">
        <v>454.34500000000003</v>
      </c>
      <c r="L53" s="17">
        <v>414.13200000000001</v>
      </c>
      <c r="M53" s="17">
        <v>439.23700000000002</v>
      </c>
      <c r="N53" s="17">
        <v>406.024</v>
      </c>
      <c r="O53" s="17">
        <v>409.23399999999998</v>
      </c>
      <c r="P53" s="17">
        <v>549.46500000000003</v>
      </c>
      <c r="Q53" s="17">
        <v>410.15600000000001</v>
      </c>
      <c r="R53" s="17"/>
      <c r="S53" s="17">
        <v>472.20499999999998</v>
      </c>
      <c r="T53" s="17"/>
      <c r="U53" s="17">
        <v>399.98099999999999</v>
      </c>
      <c r="V53" s="17">
        <v>402.11</v>
      </c>
      <c r="W53" s="17"/>
      <c r="X53" s="17">
        <v>422.93799999999999</v>
      </c>
      <c r="Y53" s="17">
        <v>688.73599999999999</v>
      </c>
      <c r="Z53" s="17">
        <v>398.767</v>
      </c>
      <c r="AA53" s="17">
        <v>433.60899999999998</v>
      </c>
      <c r="AB53" s="17">
        <v>408.01600000000002</v>
      </c>
      <c r="AC53" s="17">
        <v>397.49900000000002</v>
      </c>
      <c r="AD53" s="17">
        <v>413.08100000000002</v>
      </c>
      <c r="AE53" s="17">
        <v>393.142</v>
      </c>
    </row>
    <row r="54" spans="1:31" x14ac:dyDescent="0.35">
      <c r="A54" s="3">
        <f t="shared" si="97"/>
        <v>38</v>
      </c>
      <c r="B54" s="17">
        <v>411.40899999999999</v>
      </c>
      <c r="C54" s="17">
        <v>407.26900000000001</v>
      </c>
      <c r="D54" s="17">
        <v>402.08100000000002</v>
      </c>
      <c r="E54" s="17">
        <v>424.44200000000001</v>
      </c>
      <c r="F54" s="17">
        <v>397.64400000000001</v>
      </c>
      <c r="G54" s="17">
        <v>410.05500000000001</v>
      </c>
      <c r="H54" s="17">
        <v>400.01299999999998</v>
      </c>
      <c r="I54" s="17">
        <v>480.59500000000003</v>
      </c>
      <c r="J54" s="17">
        <v>406.54500000000002</v>
      </c>
      <c r="K54" s="17">
        <v>454.49</v>
      </c>
      <c r="L54" s="17">
        <v>414.52600000000001</v>
      </c>
      <c r="M54" s="17">
        <v>439.79700000000003</v>
      </c>
      <c r="N54" s="17">
        <v>406.71699999999998</v>
      </c>
      <c r="O54" s="17">
        <v>408.77699999999999</v>
      </c>
      <c r="P54" s="17">
        <v>549.27</v>
      </c>
      <c r="Q54" s="17">
        <v>409.52699999999999</v>
      </c>
      <c r="R54" s="17"/>
      <c r="S54" s="17">
        <v>471.572</v>
      </c>
      <c r="T54" s="17"/>
      <c r="U54" s="17">
        <v>400.74799999999999</v>
      </c>
      <c r="V54" s="17">
        <v>401.17899999999997</v>
      </c>
      <c r="W54" s="17"/>
      <c r="X54" s="17">
        <v>422.91</v>
      </c>
      <c r="Y54" s="17">
        <v>689.904</v>
      </c>
      <c r="Z54" s="17">
        <v>397.72500000000002</v>
      </c>
      <c r="AA54" s="17">
        <v>432.75599999999997</v>
      </c>
      <c r="AB54" s="17">
        <v>408.00599999999997</v>
      </c>
      <c r="AC54" s="17">
        <v>398.23099999999999</v>
      </c>
      <c r="AD54" s="17">
        <v>412.86900000000003</v>
      </c>
      <c r="AE54" s="17">
        <v>397.92</v>
      </c>
    </row>
    <row r="55" spans="1:31" x14ac:dyDescent="0.35">
      <c r="A55" s="3">
        <f t="shared" si="97"/>
        <v>39</v>
      </c>
      <c r="B55" s="17">
        <v>411.34500000000003</v>
      </c>
      <c r="C55" s="17">
        <v>406.48099999999999</v>
      </c>
      <c r="D55" s="17">
        <v>402.065</v>
      </c>
      <c r="E55" s="17">
        <v>424.36700000000002</v>
      </c>
      <c r="F55" s="17">
        <v>399.90800000000002</v>
      </c>
      <c r="G55" s="17">
        <v>409.73399999999998</v>
      </c>
      <c r="H55" s="17">
        <v>399.47399999999999</v>
      </c>
      <c r="I55" s="17">
        <v>480.55099999999999</v>
      </c>
      <c r="J55" s="17">
        <v>406.899</v>
      </c>
      <c r="K55" s="17">
        <v>454.15300000000002</v>
      </c>
      <c r="L55" s="17">
        <v>414.95400000000001</v>
      </c>
      <c r="M55" s="17">
        <v>439.38900000000001</v>
      </c>
      <c r="N55" s="17">
        <v>407.03199999999998</v>
      </c>
      <c r="O55" s="17">
        <v>408.21300000000002</v>
      </c>
      <c r="P55" s="17">
        <v>549.69399999999996</v>
      </c>
      <c r="Q55" s="17">
        <v>409.93900000000002</v>
      </c>
      <c r="R55" s="17"/>
      <c r="S55" s="17">
        <v>470.03800000000001</v>
      </c>
      <c r="T55" s="17"/>
      <c r="U55" s="17">
        <v>400.99400000000003</v>
      </c>
      <c r="V55" s="17">
        <v>402.15699999999998</v>
      </c>
      <c r="W55" s="17"/>
      <c r="X55" s="17">
        <v>422.72300000000001</v>
      </c>
      <c r="Y55" s="17">
        <v>689.08199999999999</v>
      </c>
      <c r="Z55" s="17">
        <v>398.38600000000002</v>
      </c>
      <c r="AA55" s="17">
        <v>433.08600000000001</v>
      </c>
      <c r="AB55" s="17">
        <v>407.41800000000001</v>
      </c>
      <c r="AC55" s="17">
        <v>397.863</v>
      </c>
      <c r="AD55" s="17">
        <v>410.99700000000001</v>
      </c>
      <c r="AE55" s="17">
        <v>394.303</v>
      </c>
    </row>
    <row r="56" spans="1:31" x14ac:dyDescent="0.35">
      <c r="A56" s="3">
        <f t="shared" si="97"/>
        <v>40</v>
      </c>
      <c r="B56" s="17">
        <v>410.959</v>
      </c>
      <c r="C56" s="17">
        <v>407.52499999999998</v>
      </c>
      <c r="D56" s="17">
        <v>402.62400000000002</v>
      </c>
      <c r="E56" s="17">
        <v>424.60599999999999</v>
      </c>
      <c r="F56" s="17">
        <v>398.399</v>
      </c>
      <c r="G56" s="17">
        <v>409.21</v>
      </c>
      <c r="H56" s="17">
        <v>399.15699999999998</v>
      </c>
      <c r="I56" s="17">
        <v>480.899</v>
      </c>
      <c r="J56" s="17">
        <v>406.99400000000003</v>
      </c>
      <c r="K56" s="17">
        <v>455.45499999999998</v>
      </c>
      <c r="L56" s="17">
        <v>414.58600000000001</v>
      </c>
      <c r="M56" s="17">
        <v>439.04199999999997</v>
      </c>
      <c r="N56" s="17">
        <v>407.21100000000001</v>
      </c>
      <c r="O56" s="17">
        <v>408.92</v>
      </c>
      <c r="P56" s="17">
        <v>550.00800000000004</v>
      </c>
      <c r="Q56" s="17">
        <v>409.94799999999998</v>
      </c>
      <c r="R56" s="17"/>
      <c r="S56" s="17">
        <v>470.55599999999998</v>
      </c>
      <c r="T56" s="17"/>
      <c r="U56" s="17">
        <v>400.75900000000001</v>
      </c>
      <c r="V56" s="17">
        <v>401.91399999999999</v>
      </c>
      <c r="W56" s="17"/>
      <c r="X56" s="17">
        <v>422.149</v>
      </c>
      <c r="Y56" s="17">
        <v>687.53499999999997</v>
      </c>
      <c r="Z56" s="17">
        <v>398.60500000000002</v>
      </c>
      <c r="AA56" s="17">
        <v>432.50900000000001</v>
      </c>
      <c r="AB56" s="17">
        <v>407.83300000000003</v>
      </c>
      <c r="AC56" s="17">
        <v>397.68400000000003</v>
      </c>
      <c r="AD56" s="17">
        <v>412.61399999999998</v>
      </c>
      <c r="AE56" s="17">
        <v>393.483</v>
      </c>
    </row>
    <row r="57" spans="1:31" x14ac:dyDescent="0.35">
      <c r="A57" s="3">
        <f t="shared" si="97"/>
        <v>41</v>
      </c>
      <c r="B57" s="17">
        <v>410.197</v>
      </c>
      <c r="C57" s="17">
        <v>407.51900000000001</v>
      </c>
      <c r="D57" s="17">
        <v>402.06099999999998</v>
      </c>
      <c r="E57" s="17">
        <v>424.11</v>
      </c>
      <c r="F57" s="17">
        <v>399.39100000000002</v>
      </c>
      <c r="G57" s="17">
        <v>410.51499999999999</v>
      </c>
      <c r="H57" s="17">
        <v>399.36799999999999</v>
      </c>
      <c r="I57" s="17">
        <v>481.25900000000001</v>
      </c>
      <c r="J57" s="17">
        <v>407.33600000000001</v>
      </c>
      <c r="K57" s="17">
        <v>454.88799999999998</v>
      </c>
      <c r="L57" s="17">
        <v>414.71899999999999</v>
      </c>
      <c r="M57" s="17">
        <v>438.93299999999999</v>
      </c>
      <c r="N57" s="17">
        <v>406.995</v>
      </c>
      <c r="O57" s="17">
        <v>407.87099999999998</v>
      </c>
      <c r="P57" s="17">
        <v>549.83299999999997</v>
      </c>
      <c r="Q57" s="17">
        <v>409.577</v>
      </c>
      <c r="R57" s="17"/>
      <c r="S57" s="17">
        <v>470.24900000000002</v>
      </c>
      <c r="T57" s="17"/>
      <c r="U57" s="17">
        <v>401.649</v>
      </c>
      <c r="V57" s="17">
        <v>399.20100000000002</v>
      </c>
      <c r="W57" s="17"/>
      <c r="X57" s="17">
        <v>422.05700000000002</v>
      </c>
      <c r="Y57" s="17">
        <v>688.23699999999997</v>
      </c>
      <c r="Z57" s="17">
        <v>398.24299999999999</v>
      </c>
      <c r="AA57" s="17">
        <v>432.56</v>
      </c>
      <c r="AB57" s="17">
        <v>409.07</v>
      </c>
      <c r="AC57" s="17">
        <v>397.75099999999998</v>
      </c>
      <c r="AD57" s="17">
        <v>411.47</v>
      </c>
      <c r="AE57" s="17">
        <v>394.41199999999998</v>
      </c>
    </row>
    <row r="58" spans="1:31" x14ac:dyDescent="0.35">
      <c r="A58" s="3">
        <f t="shared" si="97"/>
        <v>42</v>
      </c>
      <c r="B58" s="17">
        <v>410.95100000000002</v>
      </c>
      <c r="C58" s="17">
        <v>407.63</v>
      </c>
      <c r="D58" s="17">
        <v>402.30900000000003</v>
      </c>
      <c r="E58" s="17">
        <v>424.82100000000003</v>
      </c>
      <c r="F58" s="17">
        <v>399.03199999999998</v>
      </c>
      <c r="G58" s="17">
        <v>409.03800000000001</v>
      </c>
      <c r="H58" s="17">
        <v>399.81799999999998</v>
      </c>
      <c r="I58" s="17">
        <v>481.459</v>
      </c>
      <c r="J58" s="17">
        <v>407.69200000000001</v>
      </c>
      <c r="K58" s="17">
        <v>455.089</v>
      </c>
      <c r="L58" s="17">
        <v>414.58800000000002</v>
      </c>
      <c r="M58" s="17">
        <v>439.00700000000001</v>
      </c>
      <c r="N58" s="17">
        <v>406.88400000000001</v>
      </c>
      <c r="O58" s="17">
        <v>407.17399999999998</v>
      </c>
      <c r="P58" s="17">
        <v>549.11300000000006</v>
      </c>
      <c r="Q58" s="17">
        <v>409.697</v>
      </c>
      <c r="R58" s="17"/>
      <c r="S58" s="17">
        <v>469.767</v>
      </c>
      <c r="T58" s="17"/>
      <c r="U58" s="17">
        <v>399.553</v>
      </c>
      <c r="V58" s="17">
        <v>401.71300000000002</v>
      </c>
      <c r="W58" s="17"/>
      <c r="X58" s="17">
        <v>423.75200000000001</v>
      </c>
      <c r="Y58" s="17">
        <v>688.46600000000001</v>
      </c>
      <c r="Z58" s="17">
        <v>398.87</v>
      </c>
      <c r="AA58" s="17">
        <v>431.88499999999999</v>
      </c>
      <c r="AB58" s="17">
        <v>408.04599999999999</v>
      </c>
      <c r="AC58" s="17">
        <v>397.99200000000002</v>
      </c>
      <c r="AD58" s="17">
        <v>412.88600000000002</v>
      </c>
      <c r="AE58" s="17">
        <v>392.58800000000002</v>
      </c>
    </row>
    <row r="59" spans="1:31" x14ac:dyDescent="0.35">
      <c r="A59" s="3">
        <f t="shared" si="97"/>
        <v>43</v>
      </c>
      <c r="B59" s="17">
        <v>411.23500000000001</v>
      </c>
      <c r="C59" s="17">
        <v>408.55</v>
      </c>
      <c r="D59" s="17">
        <v>402.47699999999998</v>
      </c>
      <c r="E59" s="17">
        <v>424.65600000000001</v>
      </c>
      <c r="F59" s="17">
        <v>399.64699999999999</v>
      </c>
      <c r="G59" s="17">
        <v>409.93</v>
      </c>
      <c r="H59" s="17">
        <v>398.98</v>
      </c>
      <c r="I59" s="17">
        <v>480.81900000000002</v>
      </c>
      <c r="J59" s="17">
        <v>407.62599999999998</v>
      </c>
      <c r="K59" s="17">
        <v>455.81700000000001</v>
      </c>
      <c r="L59" s="17">
        <v>415.673</v>
      </c>
      <c r="M59" s="17">
        <v>438.79599999999999</v>
      </c>
      <c r="N59" s="17">
        <v>406.95800000000003</v>
      </c>
      <c r="O59" s="17">
        <v>408.447</v>
      </c>
      <c r="P59" s="17">
        <v>550.14</v>
      </c>
      <c r="Q59" s="17">
        <v>410.88499999999999</v>
      </c>
      <c r="R59" s="17"/>
      <c r="S59" s="17">
        <v>470.80200000000002</v>
      </c>
      <c r="T59" s="17"/>
      <c r="U59" s="17">
        <v>400.50700000000001</v>
      </c>
      <c r="V59" s="17">
        <v>401.45699999999999</v>
      </c>
      <c r="W59" s="17"/>
      <c r="X59" s="17">
        <v>421.67500000000001</v>
      </c>
      <c r="Y59" s="17">
        <v>687.09199999999998</v>
      </c>
      <c r="Z59" s="17">
        <v>400.35399999999998</v>
      </c>
      <c r="AA59" s="17">
        <v>432.36599999999999</v>
      </c>
      <c r="AB59" s="17">
        <v>408.03699999999998</v>
      </c>
      <c r="AC59" s="17">
        <v>397.86799999999999</v>
      </c>
      <c r="AD59" s="17">
        <v>412.21100000000001</v>
      </c>
      <c r="AE59" s="17">
        <v>393.88600000000002</v>
      </c>
    </row>
    <row r="60" spans="1:31" x14ac:dyDescent="0.35">
      <c r="A60" s="3">
        <f t="shared" si="97"/>
        <v>44</v>
      </c>
      <c r="B60" s="17">
        <v>410.62200000000001</v>
      </c>
      <c r="C60" s="17">
        <v>406.84899999999999</v>
      </c>
      <c r="D60" s="17">
        <v>402.48200000000003</v>
      </c>
      <c r="E60" s="17">
        <v>424.50200000000001</v>
      </c>
      <c r="F60" s="17">
        <v>399.60399999999998</v>
      </c>
      <c r="G60" s="17">
        <v>409.91899999999998</v>
      </c>
      <c r="H60" s="17">
        <v>399.14400000000001</v>
      </c>
      <c r="I60" s="17">
        <v>481.07900000000001</v>
      </c>
      <c r="J60" s="17">
        <v>408.18299999999999</v>
      </c>
      <c r="K60" s="17">
        <v>456.65</v>
      </c>
      <c r="L60" s="17">
        <v>415.125</v>
      </c>
      <c r="M60" s="17">
        <v>439.387</v>
      </c>
      <c r="N60" s="17">
        <v>405.86399999999998</v>
      </c>
      <c r="O60" s="17">
        <v>408.44799999999998</v>
      </c>
      <c r="P60" s="17">
        <v>548.44299999999998</v>
      </c>
      <c r="Q60" s="17">
        <v>409.76600000000002</v>
      </c>
      <c r="R60" s="17"/>
      <c r="S60" s="17">
        <v>468.75700000000001</v>
      </c>
      <c r="T60" s="17"/>
      <c r="U60" s="17">
        <v>400.90600000000001</v>
      </c>
      <c r="V60" s="17">
        <v>402.84100000000001</v>
      </c>
      <c r="W60" s="17"/>
      <c r="X60" s="17">
        <v>422.411</v>
      </c>
      <c r="Y60" s="17">
        <v>688.38</v>
      </c>
      <c r="Z60" s="17">
        <v>399.04899999999998</v>
      </c>
      <c r="AA60" s="17">
        <v>432.298</v>
      </c>
      <c r="AB60" s="17">
        <v>407.95</v>
      </c>
      <c r="AC60" s="17">
        <v>399.541</v>
      </c>
      <c r="AD60" s="17">
        <v>411.65899999999999</v>
      </c>
      <c r="AE60" s="17">
        <v>394.79199999999997</v>
      </c>
    </row>
    <row r="61" spans="1:31" x14ac:dyDescent="0.35">
      <c r="A61" s="3">
        <f t="shared" si="97"/>
        <v>45</v>
      </c>
      <c r="B61" s="17">
        <v>410.41899999999998</v>
      </c>
      <c r="C61" s="17">
        <v>406.74</v>
      </c>
      <c r="D61" s="17">
        <v>403.17200000000003</v>
      </c>
      <c r="E61" s="17">
        <v>424.827</v>
      </c>
      <c r="F61" s="17">
        <v>399.40699999999998</v>
      </c>
      <c r="G61" s="17">
        <v>409.65499999999997</v>
      </c>
      <c r="H61" s="17">
        <v>399.99200000000002</v>
      </c>
      <c r="I61" s="17">
        <v>481.75900000000001</v>
      </c>
      <c r="J61" s="17">
        <v>408.32100000000003</v>
      </c>
      <c r="K61" s="17">
        <v>454.10300000000001</v>
      </c>
      <c r="L61" s="17">
        <v>415.00700000000001</v>
      </c>
      <c r="M61" s="17">
        <v>438.82600000000002</v>
      </c>
      <c r="N61" s="17">
        <v>406.48700000000002</v>
      </c>
      <c r="O61" s="17">
        <v>408.72699999999998</v>
      </c>
      <c r="P61" s="17">
        <v>550.197</v>
      </c>
      <c r="Q61" s="17">
        <v>410.17599999999999</v>
      </c>
      <c r="R61" s="17"/>
      <c r="S61" s="17">
        <v>469.76</v>
      </c>
      <c r="T61" s="17"/>
      <c r="U61" s="17">
        <v>401.11399999999998</v>
      </c>
      <c r="V61" s="17">
        <v>402.54</v>
      </c>
      <c r="W61" s="17"/>
      <c r="X61" s="17">
        <v>423.964</v>
      </c>
      <c r="Y61" s="17">
        <v>687.20500000000004</v>
      </c>
      <c r="Z61" s="17">
        <v>399.51299999999998</v>
      </c>
      <c r="AA61" s="17">
        <v>432.55799999999999</v>
      </c>
      <c r="AB61" s="17">
        <v>407.15800000000002</v>
      </c>
      <c r="AC61" s="17">
        <v>397.07799999999997</v>
      </c>
      <c r="AD61" s="17">
        <v>412.66399999999999</v>
      </c>
      <c r="AE61" s="17">
        <v>393.12799999999999</v>
      </c>
    </row>
    <row r="62" spans="1:31" x14ac:dyDescent="0.35">
      <c r="A62" s="3">
        <f t="shared" si="97"/>
        <v>46</v>
      </c>
      <c r="B62" s="17">
        <v>408.798</v>
      </c>
      <c r="C62" s="17">
        <v>407.23</v>
      </c>
      <c r="D62" s="17">
        <v>402.91899999999998</v>
      </c>
      <c r="E62" s="17">
        <v>424.76299999999998</v>
      </c>
      <c r="F62" s="17">
        <v>399.61700000000002</v>
      </c>
      <c r="G62" s="17">
        <v>410.03699999999998</v>
      </c>
      <c r="H62" s="17">
        <v>399.512</v>
      </c>
      <c r="I62" s="17">
        <v>481.23899999999998</v>
      </c>
      <c r="J62" s="17">
        <v>408.30500000000001</v>
      </c>
      <c r="K62" s="17">
        <v>456.548</v>
      </c>
      <c r="L62" s="17">
        <v>414.48500000000001</v>
      </c>
      <c r="M62" s="17">
        <v>438.596</v>
      </c>
      <c r="N62" s="17">
        <v>407.04599999999999</v>
      </c>
      <c r="O62" s="17">
        <v>409.54300000000001</v>
      </c>
      <c r="P62" s="17">
        <v>549.43700000000001</v>
      </c>
      <c r="Q62" s="17">
        <v>410.642</v>
      </c>
      <c r="R62" s="17"/>
      <c r="S62" s="17">
        <v>469.09199999999998</v>
      </c>
      <c r="T62" s="17"/>
      <c r="U62" s="17">
        <v>402.83100000000002</v>
      </c>
      <c r="V62" s="17">
        <v>402.61500000000001</v>
      </c>
      <c r="W62" s="17"/>
      <c r="X62" s="17">
        <v>423.60300000000001</v>
      </c>
      <c r="Y62" s="17">
        <v>686.50099999999998</v>
      </c>
      <c r="Z62" s="17">
        <v>399.20699999999999</v>
      </c>
      <c r="AA62" s="17">
        <v>431.73399999999998</v>
      </c>
      <c r="AB62" s="17">
        <v>408.06900000000002</v>
      </c>
      <c r="AC62" s="17">
        <v>397.35</v>
      </c>
      <c r="AD62" s="17">
        <v>411.40100000000001</v>
      </c>
      <c r="AE62" s="17">
        <v>394.36700000000002</v>
      </c>
    </row>
    <row r="63" spans="1:31" x14ac:dyDescent="0.35">
      <c r="A63" s="3">
        <f t="shared" si="97"/>
        <v>47</v>
      </c>
      <c r="B63" s="17">
        <v>412.53899999999999</v>
      </c>
      <c r="C63" s="17">
        <v>407.98099999999999</v>
      </c>
      <c r="D63" s="17">
        <v>402.91300000000001</v>
      </c>
      <c r="E63" s="17">
        <v>424.43400000000003</v>
      </c>
      <c r="F63" s="17">
        <v>397.77699999999999</v>
      </c>
      <c r="G63" s="17">
        <v>410.23</v>
      </c>
      <c r="H63" s="17">
        <v>398.89100000000002</v>
      </c>
      <c r="I63" s="17">
        <v>481.22399999999999</v>
      </c>
      <c r="J63" s="17">
        <v>408.00200000000001</v>
      </c>
      <c r="K63" s="17">
        <v>453.767</v>
      </c>
      <c r="L63" s="17">
        <v>415.334</v>
      </c>
      <c r="M63" s="17">
        <v>439.18</v>
      </c>
      <c r="N63" s="17">
        <v>406.82499999999999</v>
      </c>
      <c r="O63" s="17">
        <v>409.18799999999999</v>
      </c>
      <c r="P63" s="17">
        <v>547.851</v>
      </c>
      <c r="Q63" s="17">
        <v>410.64299999999997</v>
      </c>
      <c r="R63" s="17"/>
      <c r="S63" s="17">
        <v>468.94900000000001</v>
      </c>
      <c r="T63" s="17"/>
      <c r="U63" s="17">
        <v>401.29199999999997</v>
      </c>
      <c r="V63" s="17">
        <v>401.47899999999998</v>
      </c>
      <c r="W63" s="17"/>
      <c r="X63" s="17">
        <v>422.22800000000001</v>
      </c>
      <c r="Y63" s="17">
        <v>686.54499999999996</v>
      </c>
      <c r="Z63" s="17">
        <v>399.08100000000002</v>
      </c>
      <c r="AA63" s="17">
        <v>431.39</v>
      </c>
      <c r="AB63" s="17">
        <v>407.98200000000003</v>
      </c>
      <c r="AC63" s="17">
        <v>398.33300000000003</v>
      </c>
      <c r="AD63" s="17">
        <v>412.02499999999998</v>
      </c>
      <c r="AE63" s="17">
        <v>394.28899999999999</v>
      </c>
    </row>
    <row r="64" spans="1:31" x14ac:dyDescent="0.35">
      <c r="A64" s="3">
        <f t="shared" si="97"/>
        <v>48</v>
      </c>
      <c r="B64" s="17">
        <v>411.28699999999998</v>
      </c>
      <c r="C64" s="17">
        <v>407.76799999999997</v>
      </c>
      <c r="D64" s="17">
        <v>403.86200000000002</v>
      </c>
      <c r="E64" s="17">
        <v>424.11599999999999</v>
      </c>
      <c r="F64" s="17">
        <v>399.85899999999998</v>
      </c>
      <c r="G64" s="17">
        <v>409.62799999999999</v>
      </c>
      <c r="H64" s="17">
        <v>399.67700000000002</v>
      </c>
      <c r="I64" s="17">
        <v>481.084</v>
      </c>
      <c r="J64" s="17">
        <v>407.58600000000001</v>
      </c>
      <c r="K64" s="17">
        <v>455.7</v>
      </c>
      <c r="L64" s="17">
        <v>414.69600000000003</v>
      </c>
      <c r="M64" s="17">
        <v>438.75099999999998</v>
      </c>
      <c r="N64" s="17">
        <v>407.346</v>
      </c>
      <c r="O64" s="17">
        <v>408.86</v>
      </c>
      <c r="P64" s="17">
        <v>549.51599999999996</v>
      </c>
      <c r="Q64" s="17">
        <v>410.44499999999999</v>
      </c>
      <c r="R64" s="17"/>
      <c r="S64" s="17">
        <v>468.16</v>
      </c>
      <c r="T64" s="17"/>
      <c r="U64" s="17">
        <v>402.19900000000001</v>
      </c>
      <c r="V64" s="17">
        <v>402.94299999999998</v>
      </c>
      <c r="W64" s="17"/>
      <c r="X64" s="17">
        <v>423.33100000000002</v>
      </c>
      <c r="Y64" s="17">
        <v>686.85900000000004</v>
      </c>
      <c r="Z64" s="17">
        <v>399.00799999999998</v>
      </c>
      <c r="AA64" s="17">
        <v>432.50900000000001</v>
      </c>
      <c r="AB64" s="17">
        <v>407.22800000000001</v>
      </c>
      <c r="AC64" s="17">
        <v>398.94299999999998</v>
      </c>
      <c r="AD64" s="17">
        <v>411.77199999999999</v>
      </c>
      <c r="AE64" s="17">
        <v>394.20699999999999</v>
      </c>
    </row>
    <row r="65" spans="1:31" x14ac:dyDescent="0.35">
      <c r="A65" s="3">
        <f t="shared" si="97"/>
        <v>49</v>
      </c>
      <c r="B65" s="17">
        <v>408.63200000000001</v>
      </c>
      <c r="C65" s="17">
        <v>407.47199999999998</v>
      </c>
      <c r="D65" s="17">
        <v>402.822</v>
      </c>
      <c r="E65" s="17">
        <v>424.54500000000002</v>
      </c>
      <c r="F65" s="17">
        <v>399.30399999999997</v>
      </c>
      <c r="G65" s="17">
        <v>408.84699999999998</v>
      </c>
      <c r="H65" s="17">
        <v>400.46699999999998</v>
      </c>
      <c r="I65" s="17">
        <v>480.84100000000001</v>
      </c>
      <c r="J65" s="17">
        <v>408.113</v>
      </c>
      <c r="K65" s="17">
        <v>456.18599999999998</v>
      </c>
      <c r="L65" s="17">
        <v>414.98500000000001</v>
      </c>
      <c r="M65" s="17">
        <v>439.46199999999999</v>
      </c>
      <c r="N65" s="17">
        <v>407.84199999999998</v>
      </c>
      <c r="O65" s="17">
        <v>409.17899999999997</v>
      </c>
      <c r="P65" s="17">
        <v>548.08600000000001</v>
      </c>
      <c r="Q65" s="17">
        <v>410.78</v>
      </c>
      <c r="R65" s="17"/>
      <c r="S65" s="17">
        <v>468.87200000000001</v>
      </c>
      <c r="T65" s="17"/>
      <c r="U65" s="17">
        <v>401.26400000000001</v>
      </c>
      <c r="V65" s="17">
        <v>403.38400000000001</v>
      </c>
      <c r="W65" s="17"/>
      <c r="X65" s="17">
        <v>423.05200000000002</v>
      </c>
      <c r="Y65" s="17">
        <v>687.53700000000003</v>
      </c>
      <c r="Z65" s="17">
        <v>399.38099999999997</v>
      </c>
      <c r="AA65" s="17">
        <v>432.74200000000002</v>
      </c>
      <c r="AB65" s="17">
        <v>408.18200000000002</v>
      </c>
      <c r="AC65" s="17">
        <v>398.54399999999998</v>
      </c>
      <c r="AD65" s="17">
        <v>413.74599999999998</v>
      </c>
      <c r="AE65" s="17">
        <v>392.72699999999998</v>
      </c>
    </row>
    <row r="66" spans="1:31" x14ac:dyDescent="0.35">
      <c r="A66" s="3">
        <f t="shared" si="97"/>
        <v>50</v>
      </c>
      <c r="B66" s="17">
        <v>411.49599999999998</v>
      </c>
      <c r="C66" s="17">
        <v>407.387</v>
      </c>
      <c r="D66" s="17">
        <v>402.86900000000003</v>
      </c>
      <c r="E66" s="17">
        <v>424.95800000000003</v>
      </c>
      <c r="F66" s="17">
        <v>399.95</v>
      </c>
      <c r="G66" s="17">
        <v>409.61200000000002</v>
      </c>
      <c r="H66" s="17">
        <v>399.19</v>
      </c>
      <c r="I66" s="17">
        <v>480.983</v>
      </c>
      <c r="J66" s="17">
        <v>407.44799999999998</v>
      </c>
      <c r="K66" s="17">
        <v>455.87599999999998</v>
      </c>
      <c r="L66" s="17">
        <v>414.64100000000002</v>
      </c>
      <c r="M66" s="17">
        <v>439.07600000000002</v>
      </c>
      <c r="N66" s="17">
        <v>407.49099999999999</v>
      </c>
      <c r="O66" s="17">
        <v>408.75400000000002</v>
      </c>
      <c r="P66" s="17">
        <v>548.197</v>
      </c>
      <c r="Q66" s="17">
        <v>410.92899999999997</v>
      </c>
      <c r="R66" s="17"/>
      <c r="S66" s="17">
        <v>468.18599999999998</v>
      </c>
      <c r="T66" s="17"/>
      <c r="U66" s="17">
        <v>401.87400000000002</v>
      </c>
      <c r="V66" s="17">
        <v>402.75900000000001</v>
      </c>
      <c r="W66" s="17"/>
      <c r="X66" s="17">
        <v>424.01900000000001</v>
      </c>
      <c r="Y66" s="17">
        <v>686.10900000000004</v>
      </c>
      <c r="Z66" s="17">
        <v>398.48500000000001</v>
      </c>
      <c r="AA66" s="17">
        <v>432.19900000000001</v>
      </c>
      <c r="AB66" s="17">
        <v>408.38</v>
      </c>
      <c r="AC66" s="17">
        <v>399.65600000000001</v>
      </c>
      <c r="AD66" s="17">
        <v>412.69499999999999</v>
      </c>
      <c r="AE66" s="17">
        <v>394.32400000000001</v>
      </c>
    </row>
    <row r="67" spans="1:31" x14ac:dyDescent="0.35">
      <c r="A67" s="3">
        <f t="shared" si="97"/>
        <v>51</v>
      </c>
      <c r="B67" s="17">
        <v>410.36399999999998</v>
      </c>
      <c r="C67" s="17">
        <v>407.69600000000003</v>
      </c>
      <c r="D67" s="17">
        <v>402.19200000000001</v>
      </c>
      <c r="E67" s="17">
        <v>425.23500000000001</v>
      </c>
      <c r="F67" s="17">
        <v>398.48</v>
      </c>
      <c r="G67" s="17">
        <v>409.19099999999997</v>
      </c>
      <c r="H67" s="17">
        <v>400.22699999999998</v>
      </c>
      <c r="I67" s="17">
        <v>480.08699999999999</v>
      </c>
      <c r="J67" s="17">
        <v>408.81799999999998</v>
      </c>
      <c r="K67" s="17">
        <v>456.34699999999998</v>
      </c>
      <c r="L67" s="17">
        <v>414.64400000000001</v>
      </c>
      <c r="M67" s="17">
        <v>438.42200000000003</v>
      </c>
      <c r="N67" s="17">
        <v>407.00200000000001</v>
      </c>
      <c r="O67" s="17">
        <v>409.44900000000001</v>
      </c>
      <c r="P67" s="17">
        <v>548.08600000000001</v>
      </c>
      <c r="Q67" s="17">
        <v>411.54</v>
      </c>
      <c r="R67" s="17"/>
      <c r="S67" s="17">
        <v>468.40199999999999</v>
      </c>
      <c r="T67" s="17"/>
      <c r="U67" s="17">
        <v>402.68099999999998</v>
      </c>
      <c r="V67" s="17">
        <v>403.19400000000002</v>
      </c>
      <c r="W67" s="17"/>
      <c r="X67" s="17">
        <v>423.33699999999999</v>
      </c>
      <c r="Y67" s="17">
        <v>687.01900000000001</v>
      </c>
      <c r="Z67" s="17">
        <v>398.32299999999998</v>
      </c>
      <c r="AA67" s="17">
        <v>432.536</v>
      </c>
      <c r="AB67" s="17">
        <v>407.48099999999999</v>
      </c>
      <c r="AC67" s="17">
        <v>396.721</v>
      </c>
      <c r="AD67" s="17">
        <v>413.80500000000001</v>
      </c>
      <c r="AE67" s="17">
        <v>395.37400000000002</v>
      </c>
    </row>
    <row r="68" spans="1:31" x14ac:dyDescent="0.35">
      <c r="A68" s="3">
        <f t="shared" si="97"/>
        <v>52</v>
      </c>
      <c r="B68" s="17">
        <v>411.09300000000002</v>
      </c>
      <c r="C68" s="17">
        <v>407.39</v>
      </c>
      <c r="D68" s="17">
        <v>402.86599999999999</v>
      </c>
      <c r="E68" s="17">
        <v>423.952</v>
      </c>
      <c r="F68" s="17">
        <v>399.93799999999999</v>
      </c>
      <c r="G68" s="17">
        <v>409.286</v>
      </c>
      <c r="H68" s="17">
        <v>399.57799999999997</v>
      </c>
      <c r="I68" s="17">
        <v>481.32600000000002</v>
      </c>
      <c r="J68" s="17">
        <v>408.089</v>
      </c>
      <c r="K68" s="17">
        <v>454.22500000000002</v>
      </c>
      <c r="L68" s="17">
        <v>415.56299999999999</v>
      </c>
      <c r="M68" s="17">
        <v>438.77800000000002</v>
      </c>
      <c r="N68" s="17">
        <v>406.39</v>
      </c>
      <c r="O68" s="17">
        <v>409.31200000000001</v>
      </c>
      <c r="P68" s="17">
        <v>549.06500000000005</v>
      </c>
      <c r="Q68" s="17">
        <v>410.58499999999998</v>
      </c>
      <c r="R68" s="17"/>
      <c r="S68" s="17">
        <v>468.11</v>
      </c>
      <c r="T68" s="17"/>
      <c r="U68" s="17">
        <v>401.01900000000001</v>
      </c>
      <c r="V68" s="17">
        <v>404.45600000000002</v>
      </c>
      <c r="W68" s="17"/>
      <c r="X68" s="17">
        <v>423.85</v>
      </c>
      <c r="Y68" s="17">
        <v>685.94600000000003</v>
      </c>
      <c r="Z68" s="17">
        <v>399.161</v>
      </c>
      <c r="AA68" s="17">
        <v>432.05099999999999</v>
      </c>
      <c r="AB68" s="17">
        <v>407.56200000000001</v>
      </c>
      <c r="AC68" s="17">
        <v>399.15899999999999</v>
      </c>
      <c r="AD68" s="17">
        <v>413.42399999999998</v>
      </c>
      <c r="AE68" s="17">
        <v>394.32100000000003</v>
      </c>
    </row>
    <row r="69" spans="1:31" x14ac:dyDescent="0.35">
      <c r="A69" s="3">
        <f t="shared" si="97"/>
        <v>53</v>
      </c>
      <c r="B69" s="17">
        <v>411.58300000000003</v>
      </c>
      <c r="C69" s="17">
        <v>407.59399999999999</v>
      </c>
      <c r="D69" s="17">
        <v>402.84899999999999</v>
      </c>
      <c r="E69" s="17">
        <v>425.17599999999999</v>
      </c>
      <c r="F69" s="17">
        <v>399.6</v>
      </c>
      <c r="G69" s="17">
        <v>409.78699999999998</v>
      </c>
      <c r="H69" s="17">
        <v>398.58800000000002</v>
      </c>
      <c r="I69" s="17">
        <v>481.23500000000001</v>
      </c>
      <c r="J69" s="17">
        <v>408.17500000000001</v>
      </c>
      <c r="K69" s="17">
        <v>455.23500000000001</v>
      </c>
      <c r="L69" s="17">
        <v>415.096</v>
      </c>
      <c r="M69" s="17">
        <v>438.33300000000003</v>
      </c>
      <c r="N69" s="17">
        <v>406.64600000000002</v>
      </c>
      <c r="O69" s="17">
        <v>407.69900000000001</v>
      </c>
      <c r="P69" s="17">
        <v>547.61599999999999</v>
      </c>
      <c r="Q69" s="17">
        <v>411.40199999999999</v>
      </c>
      <c r="R69" s="17"/>
      <c r="S69" s="17">
        <v>467.88299999999998</v>
      </c>
      <c r="T69" s="17"/>
      <c r="U69" s="17">
        <v>401.803</v>
      </c>
      <c r="V69" s="17">
        <v>404.41899999999998</v>
      </c>
      <c r="W69" s="17"/>
      <c r="X69" s="17">
        <v>422.51900000000001</v>
      </c>
      <c r="Y69" s="17">
        <v>686.66300000000001</v>
      </c>
      <c r="Z69" s="17">
        <v>399.71499999999997</v>
      </c>
      <c r="AA69" s="17">
        <v>432.48599999999999</v>
      </c>
      <c r="AB69" s="17">
        <v>407.31400000000002</v>
      </c>
      <c r="AC69" s="17">
        <v>397.25400000000002</v>
      </c>
      <c r="AD69" s="17">
        <v>412.779</v>
      </c>
      <c r="AE69" s="17">
        <v>392.88600000000002</v>
      </c>
    </row>
    <row r="70" spans="1:31" x14ac:dyDescent="0.35">
      <c r="A70" s="3">
        <f t="shared" si="97"/>
        <v>54</v>
      </c>
      <c r="B70" s="17">
        <v>411.32</v>
      </c>
      <c r="C70" s="17">
        <v>408.88900000000001</v>
      </c>
      <c r="D70" s="17">
        <v>403.67700000000002</v>
      </c>
      <c r="E70" s="17">
        <v>423.91800000000001</v>
      </c>
      <c r="F70" s="17">
        <v>397.738</v>
      </c>
      <c r="G70" s="17">
        <v>409.71300000000002</v>
      </c>
      <c r="H70" s="17">
        <v>399.4</v>
      </c>
      <c r="I70" s="17">
        <v>480.71699999999998</v>
      </c>
      <c r="J70" s="17">
        <v>407.85700000000003</v>
      </c>
      <c r="K70" s="17">
        <v>455.39800000000002</v>
      </c>
      <c r="L70" s="17">
        <v>414.83499999999998</v>
      </c>
      <c r="M70" s="17">
        <v>438.43200000000002</v>
      </c>
      <c r="N70" s="17">
        <v>407.84500000000003</v>
      </c>
      <c r="O70" s="17">
        <v>408.67399999999998</v>
      </c>
      <c r="P70" s="17">
        <v>548.11599999999999</v>
      </c>
      <c r="Q70" s="17">
        <v>410.49099999999999</v>
      </c>
      <c r="R70" s="17"/>
      <c r="S70" s="17">
        <v>467.78699999999998</v>
      </c>
      <c r="T70" s="17"/>
      <c r="U70" s="17">
        <v>400.58300000000003</v>
      </c>
      <c r="V70" s="17">
        <v>404.62</v>
      </c>
      <c r="W70" s="17"/>
      <c r="X70" s="17">
        <v>424.00200000000001</v>
      </c>
      <c r="Y70" s="17">
        <v>685.30100000000004</v>
      </c>
      <c r="Z70" s="17">
        <v>399.93099999999998</v>
      </c>
      <c r="AA70" s="17">
        <v>431.101</v>
      </c>
      <c r="AB70" s="17">
        <v>408.51299999999998</v>
      </c>
      <c r="AC70" s="17">
        <v>397.613</v>
      </c>
      <c r="AD70" s="17">
        <v>414.55599999999998</v>
      </c>
      <c r="AE70" s="17">
        <v>393.20699999999999</v>
      </c>
    </row>
    <row r="71" spans="1:31" x14ac:dyDescent="0.35">
      <c r="A71" s="3">
        <f t="shared" si="97"/>
        <v>55</v>
      </c>
      <c r="B71" s="17">
        <v>410.346</v>
      </c>
      <c r="C71" s="17">
        <v>407.44799999999998</v>
      </c>
      <c r="D71" s="17">
        <v>402.976</v>
      </c>
      <c r="E71" s="17">
        <v>425.03500000000003</v>
      </c>
      <c r="F71" s="17">
        <v>400.09100000000001</v>
      </c>
      <c r="G71" s="17">
        <v>409.09</v>
      </c>
      <c r="H71" s="17">
        <v>400.55099999999999</v>
      </c>
      <c r="I71" s="17">
        <v>481.37099999999998</v>
      </c>
      <c r="J71" s="17">
        <v>408.02199999999999</v>
      </c>
      <c r="K71" s="17">
        <v>455.91500000000002</v>
      </c>
      <c r="L71" s="17">
        <v>415.10500000000002</v>
      </c>
      <c r="M71" s="17">
        <v>439.238</v>
      </c>
      <c r="N71" s="17">
        <v>407.51600000000002</v>
      </c>
      <c r="O71" s="17">
        <v>408.67200000000003</v>
      </c>
      <c r="P71" s="17">
        <v>548.851</v>
      </c>
      <c r="Q71" s="17">
        <v>411.47</v>
      </c>
      <c r="R71" s="17"/>
      <c r="S71" s="17">
        <v>468.12900000000002</v>
      </c>
      <c r="T71" s="17"/>
      <c r="U71" s="17">
        <v>402.05700000000002</v>
      </c>
      <c r="V71" s="17">
        <v>404.245</v>
      </c>
      <c r="W71" s="17"/>
      <c r="X71" s="17">
        <v>423.315</v>
      </c>
      <c r="Y71" s="17">
        <v>686.13599999999997</v>
      </c>
      <c r="Z71" s="17">
        <v>399.13799999999998</v>
      </c>
      <c r="AA71" s="17">
        <v>431.09399999999999</v>
      </c>
      <c r="AB71" s="17">
        <v>408.24299999999999</v>
      </c>
      <c r="AC71" s="17">
        <v>397.36099999999999</v>
      </c>
      <c r="AD71" s="17">
        <v>413.47800000000001</v>
      </c>
      <c r="AE71" s="17">
        <v>396.76499999999999</v>
      </c>
    </row>
    <row r="72" spans="1:31" x14ac:dyDescent="0.35">
      <c r="A72" s="3">
        <f t="shared" si="97"/>
        <v>56</v>
      </c>
      <c r="B72" s="17">
        <v>411.90600000000001</v>
      </c>
      <c r="C72" s="17">
        <v>408.27800000000002</v>
      </c>
      <c r="D72" s="17">
        <v>403.233</v>
      </c>
      <c r="E72" s="17">
        <v>424.64299999999997</v>
      </c>
      <c r="F72" s="17">
        <v>399.26</v>
      </c>
      <c r="G72" s="17">
        <v>410.01799999999997</v>
      </c>
      <c r="H72" s="17">
        <v>399.69200000000001</v>
      </c>
      <c r="I72" s="17">
        <v>481.58199999999999</v>
      </c>
      <c r="J72" s="17">
        <v>408.76900000000001</v>
      </c>
      <c r="K72" s="17">
        <v>455.75599999999997</v>
      </c>
      <c r="L72" s="17">
        <v>415.31099999999998</v>
      </c>
      <c r="M72" s="17">
        <v>438.66899999999998</v>
      </c>
      <c r="N72" s="17">
        <v>408.108</v>
      </c>
      <c r="O72" s="17">
        <v>409.41800000000001</v>
      </c>
      <c r="P72" s="17">
        <v>548.80600000000004</v>
      </c>
      <c r="Q72" s="17">
        <v>411.80900000000003</v>
      </c>
      <c r="R72" s="17"/>
      <c r="S72" s="17">
        <v>468.18099999999998</v>
      </c>
      <c r="T72" s="17"/>
      <c r="U72" s="17">
        <v>401.45499999999998</v>
      </c>
      <c r="V72" s="17">
        <v>402.79899999999998</v>
      </c>
      <c r="W72" s="17"/>
      <c r="X72" s="17">
        <v>424.76900000000001</v>
      </c>
      <c r="Y72" s="17">
        <v>684.80100000000004</v>
      </c>
      <c r="Z72" s="17">
        <v>400.14499999999998</v>
      </c>
      <c r="AA72" s="17">
        <v>431.79599999999999</v>
      </c>
      <c r="AB72" s="17">
        <v>408.78500000000003</v>
      </c>
      <c r="AC72" s="17">
        <v>398.46</v>
      </c>
      <c r="AD72" s="17">
        <v>413.81799999999998</v>
      </c>
      <c r="AE72" s="17">
        <v>392.44099999999997</v>
      </c>
    </row>
    <row r="73" spans="1:31" x14ac:dyDescent="0.35">
      <c r="A73" s="3">
        <f t="shared" si="97"/>
        <v>57</v>
      </c>
      <c r="B73" s="17">
        <v>412.06400000000002</v>
      </c>
      <c r="C73" s="17">
        <v>409.072</v>
      </c>
      <c r="D73" s="17">
        <v>403.15100000000001</v>
      </c>
      <c r="E73" s="17">
        <v>425.166</v>
      </c>
      <c r="F73" s="17">
        <v>398.34800000000001</v>
      </c>
      <c r="G73" s="17">
        <v>410.012</v>
      </c>
      <c r="H73" s="17">
        <v>400.53800000000001</v>
      </c>
      <c r="I73" s="17">
        <v>482.39499999999998</v>
      </c>
      <c r="J73" s="17">
        <v>408.488</v>
      </c>
      <c r="K73" s="17">
        <v>454.79</v>
      </c>
      <c r="L73" s="17">
        <v>415.44799999999998</v>
      </c>
      <c r="M73" s="17">
        <v>439.90499999999997</v>
      </c>
      <c r="N73" s="17">
        <v>407.54899999999998</v>
      </c>
      <c r="O73" s="17">
        <v>409.06400000000002</v>
      </c>
      <c r="P73" s="17">
        <v>547.44899999999996</v>
      </c>
      <c r="Q73" s="17">
        <v>411.26799999999997</v>
      </c>
      <c r="R73" s="17"/>
      <c r="S73" s="17">
        <v>467.54700000000003</v>
      </c>
      <c r="T73" s="17"/>
      <c r="U73" s="17">
        <v>401.51499999999999</v>
      </c>
      <c r="V73" s="17">
        <v>404.40899999999999</v>
      </c>
      <c r="W73" s="17"/>
      <c r="X73" s="17">
        <v>424.58300000000003</v>
      </c>
      <c r="Y73" s="17">
        <v>685.62699999999995</v>
      </c>
      <c r="Z73" s="17">
        <v>400.05</v>
      </c>
      <c r="AA73" s="17">
        <v>431.69799999999998</v>
      </c>
      <c r="AB73" s="17">
        <v>407.685</v>
      </c>
      <c r="AC73" s="17">
        <v>397.464</v>
      </c>
      <c r="AD73" s="17">
        <v>411.35</v>
      </c>
      <c r="AE73" s="17">
        <v>397.23099999999999</v>
      </c>
    </row>
    <row r="74" spans="1:31" x14ac:dyDescent="0.35">
      <c r="A74" s="3">
        <f t="shared" si="97"/>
        <v>58</v>
      </c>
      <c r="B74" s="17">
        <v>411.87400000000002</v>
      </c>
      <c r="C74" s="17">
        <v>407.57799999999997</v>
      </c>
      <c r="D74" s="17">
        <v>403.25400000000002</v>
      </c>
      <c r="E74" s="17">
        <v>424.78399999999999</v>
      </c>
      <c r="F74" s="17">
        <v>398.358</v>
      </c>
      <c r="G74" s="17">
        <v>408.36099999999999</v>
      </c>
      <c r="H74" s="17">
        <v>400.40499999999997</v>
      </c>
      <c r="I74" s="17">
        <v>481.47199999999998</v>
      </c>
      <c r="J74" s="17">
        <v>408.68900000000002</v>
      </c>
      <c r="K74" s="17">
        <v>454.81200000000001</v>
      </c>
      <c r="L74" s="17">
        <v>415.19799999999998</v>
      </c>
      <c r="M74" s="17">
        <v>437.08600000000001</v>
      </c>
      <c r="N74" s="17">
        <v>407.50099999999998</v>
      </c>
      <c r="O74" s="17">
        <v>409.75200000000001</v>
      </c>
      <c r="P74" s="17">
        <v>547.82299999999998</v>
      </c>
      <c r="Q74" s="17">
        <v>410.995</v>
      </c>
      <c r="R74" s="17"/>
      <c r="S74" s="17">
        <v>466.72</v>
      </c>
      <c r="T74" s="17"/>
      <c r="U74" s="17">
        <v>401.35</v>
      </c>
      <c r="V74" s="17">
        <v>405.69299999999998</v>
      </c>
      <c r="W74" s="17"/>
      <c r="X74" s="17">
        <v>424.90600000000001</v>
      </c>
      <c r="Y74" s="17">
        <v>684.09799999999996</v>
      </c>
      <c r="Z74" s="17">
        <v>400.16800000000001</v>
      </c>
      <c r="AA74" s="17">
        <v>431.476</v>
      </c>
      <c r="AB74" s="17">
        <v>408.36599999999999</v>
      </c>
      <c r="AC74" s="17">
        <v>397.53300000000002</v>
      </c>
      <c r="AD74" s="17">
        <v>413.17200000000003</v>
      </c>
      <c r="AE74" s="17">
        <v>393.77699999999999</v>
      </c>
    </row>
    <row r="75" spans="1:31" x14ac:dyDescent="0.35">
      <c r="A75" s="3">
        <f t="shared" si="97"/>
        <v>59</v>
      </c>
      <c r="B75" s="17">
        <v>410.92599999999999</v>
      </c>
      <c r="C75" s="17">
        <v>407.91399999999999</v>
      </c>
      <c r="D75" s="17">
        <v>403.18799999999999</v>
      </c>
      <c r="E75" s="17">
        <v>425.45</v>
      </c>
      <c r="F75" s="17">
        <v>400.10399999999998</v>
      </c>
      <c r="G75" s="17">
        <v>409.55700000000002</v>
      </c>
      <c r="H75" s="17">
        <v>399.94200000000001</v>
      </c>
      <c r="I75" s="17">
        <v>481.28500000000003</v>
      </c>
      <c r="J75" s="17">
        <v>408.67899999999997</v>
      </c>
      <c r="K75" s="17">
        <v>456.05900000000003</v>
      </c>
      <c r="L75" s="17">
        <v>415.15899999999999</v>
      </c>
      <c r="M75" s="17">
        <v>439.25200000000001</v>
      </c>
      <c r="N75" s="17">
        <v>408.173</v>
      </c>
      <c r="O75" s="17">
        <v>408.23599999999999</v>
      </c>
      <c r="P75" s="17">
        <v>547.63300000000004</v>
      </c>
      <c r="Q75" s="17">
        <v>412.05700000000002</v>
      </c>
      <c r="R75" s="17"/>
      <c r="S75" s="17">
        <v>466.34</v>
      </c>
      <c r="T75" s="17"/>
      <c r="U75" s="17">
        <v>400.03500000000003</v>
      </c>
      <c r="V75" s="17">
        <v>404.536</v>
      </c>
      <c r="W75" s="17"/>
      <c r="X75" s="17">
        <v>424.06900000000002</v>
      </c>
      <c r="Y75" s="17">
        <v>684.01800000000003</v>
      </c>
      <c r="Z75" s="17">
        <v>399.61900000000003</v>
      </c>
      <c r="AA75" s="17">
        <v>431.55399999999997</v>
      </c>
      <c r="AB75" s="17">
        <v>407.88299999999998</v>
      </c>
      <c r="AC75" s="17">
        <v>398.22899999999998</v>
      </c>
      <c r="AD75" s="17">
        <v>413.98500000000001</v>
      </c>
      <c r="AE75" s="17">
        <v>397.96699999999998</v>
      </c>
    </row>
    <row r="76" spans="1:31" x14ac:dyDescent="0.35">
      <c r="A76" s="3">
        <f t="shared" si="97"/>
        <v>60</v>
      </c>
      <c r="B76" s="17">
        <v>410.37099999999998</v>
      </c>
      <c r="C76" s="17">
        <v>408.63799999999998</v>
      </c>
      <c r="D76" s="17">
        <v>402.947</v>
      </c>
      <c r="E76" s="17">
        <v>424.76100000000002</v>
      </c>
      <c r="F76" s="17">
        <v>400.1</v>
      </c>
      <c r="G76" s="17">
        <v>409.92099999999999</v>
      </c>
      <c r="H76" s="17">
        <v>400.28699999999998</v>
      </c>
      <c r="I76" s="17">
        <v>482.238</v>
      </c>
      <c r="J76" s="17">
        <v>408.10399999999998</v>
      </c>
      <c r="K76" s="17">
        <v>455.12599999999998</v>
      </c>
      <c r="L76" s="17">
        <v>415.72699999999998</v>
      </c>
      <c r="M76" s="17">
        <v>438.84300000000002</v>
      </c>
      <c r="N76" s="17">
        <v>409.38499999999999</v>
      </c>
      <c r="O76" s="17">
        <v>408.28100000000001</v>
      </c>
      <c r="P76" s="17">
        <v>547.61900000000003</v>
      </c>
      <c r="Q76" s="17">
        <v>411.84699999999998</v>
      </c>
      <c r="R76" s="17"/>
      <c r="S76" s="17">
        <v>468.21</v>
      </c>
      <c r="T76" s="17"/>
      <c r="U76" s="17">
        <v>401.76900000000001</v>
      </c>
      <c r="V76" s="17">
        <v>404.19799999999998</v>
      </c>
      <c r="W76" s="17"/>
      <c r="X76" s="17">
        <v>423.37400000000002</v>
      </c>
      <c r="Y76" s="17">
        <v>684.67399999999998</v>
      </c>
      <c r="Z76" s="17">
        <v>400.19299999999998</v>
      </c>
      <c r="AA76" s="17">
        <v>432.14600000000002</v>
      </c>
      <c r="AB76" s="17">
        <v>407.85399999999998</v>
      </c>
      <c r="AC76" s="17">
        <v>399.40600000000001</v>
      </c>
      <c r="AD76" s="17">
        <v>412.61</v>
      </c>
      <c r="AE76" s="17">
        <v>393.97199999999998</v>
      </c>
    </row>
    <row r="77" spans="1:31" x14ac:dyDescent="0.35">
      <c r="A77" s="3">
        <f t="shared" si="97"/>
        <v>61</v>
      </c>
      <c r="B77" s="17">
        <v>411.642</v>
      </c>
      <c r="C77" s="17">
        <v>407.83499999999998</v>
      </c>
      <c r="D77" s="17">
        <v>402.69600000000003</v>
      </c>
      <c r="E77" s="17">
        <v>425.76100000000002</v>
      </c>
      <c r="F77" s="17">
        <v>400.25799999999998</v>
      </c>
      <c r="G77" s="17">
        <v>409.58699999999999</v>
      </c>
      <c r="H77" s="17">
        <v>399.935</v>
      </c>
      <c r="I77" s="17">
        <v>481.07799999999997</v>
      </c>
      <c r="J77" s="17">
        <v>407.18099999999998</v>
      </c>
      <c r="K77" s="17">
        <v>452.92099999999999</v>
      </c>
      <c r="L77" s="17">
        <v>415.25799999999998</v>
      </c>
      <c r="M77" s="17">
        <v>439.00200000000001</v>
      </c>
      <c r="N77" s="17">
        <v>407.68</v>
      </c>
      <c r="O77" s="17">
        <v>408.88400000000001</v>
      </c>
      <c r="P77" s="17">
        <v>547.803</v>
      </c>
      <c r="Q77" s="17">
        <v>411.95800000000003</v>
      </c>
      <c r="R77" s="17"/>
      <c r="S77" s="17">
        <v>467.233</v>
      </c>
      <c r="T77" s="17"/>
      <c r="U77" s="17">
        <v>401.745</v>
      </c>
      <c r="V77" s="17">
        <v>403.93400000000003</v>
      </c>
      <c r="W77" s="17"/>
      <c r="X77" s="17">
        <v>425.38499999999999</v>
      </c>
      <c r="Y77" s="17">
        <v>684.65200000000004</v>
      </c>
      <c r="Z77" s="17">
        <v>399.83499999999998</v>
      </c>
      <c r="AA77" s="17">
        <v>431.18200000000002</v>
      </c>
      <c r="AB77" s="17">
        <v>407.78500000000003</v>
      </c>
      <c r="AC77" s="17">
        <v>398.17200000000003</v>
      </c>
      <c r="AD77" s="17">
        <v>413.935</v>
      </c>
      <c r="AE77" s="17">
        <v>396.96199999999999</v>
      </c>
    </row>
    <row r="78" spans="1:31" x14ac:dyDescent="0.35">
      <c r="A78" s="3">
        <f t="shared" si="97"/>
        <v>62</v>
      </c>
      <c r="B78" s="17">
        <v>410.62900000000002</v>
      </c>
      <c r="C78" s="17">
        <v>408.39299999999997</v>
      </c>
      <c r="D78" s="17">
        <v>403.13099999999997</v>
      </c>
      <c r="E78" s="17">
        <v>426.05399999999997</v>
      </c>
      <c r="F78" s="17">
        <v>399.32400000000001</v>
      </c>
      <c r="G78" s="17">
        <v>409.65300000000002</v>
      </c>
      <c r="H78" s="17">
        <v>399.81900000000002</v>
      </c>
      <c r="I78" s="17">
        <v>481.488</v>
      </c>
      <c r="J78" s="17">
        <v>408.858</v>
      </c>
      <c r="K78" s="17">
        <v>454.84100000000001</v>
      </c>
      <c r="L78" s="17">
        <v>415.01900000000001</v>
      </c>
      <c r="M78" s="17">
        <v>438.22199999999998</v>
      </c>
      <c r="N78" s="17">
        <v>407.34100000000001</v>
      </c>
      <c r="O78" s="17">
        <v>409.60399999999998</v>
      </c>
      <c r="P78" s="17">
        <v>547.99300000000005</v>
      </c>
      <c r="Q78" s="17">
        <v>412.56799999999998</v>
      </c>
      <c r="R78" s="17"/>
      <c r="S78" s="17">
        <v>467.87599999999998</v>
      </c>
      <c r="T78" s="17"/>
      <c r="U78" s="17">
        <v>400.20600000000002</v>
      </c>
      <c r="V78" s="17">
        <v>404.00099999999998</v>
      </c>
      <c r="W78" s="17"/>
      <c r="X78" s="17">
        <v>424.75599999999997</v>
      </c>
      <c r="Y78" s="17">
        <v>683.67899999999997</v>
      </c>
      <c r="Z78" s="17">
        <v>400.34699999999998</v>
      </c>
      <c r="AA78" s="17">
        <v>431.43200000000002</v>
      </c>
      <c r="AB78" s="17">
        <v>408.31599999999997</v>
      </c>
      <c r="AC78" s="17">
        <v>399.59</v>
      </c>
      <c r="AD78" s="17">
        <v>413.22500000000002</v>
      </c>
      <c r="AE78" s="17">
        <v>394.23</v>
      </c>
    </row>
    <row r="79" spans="1:31" x14ac:dyDescent="0.35">
      <c r="A79" s="3">
        <f t="shared" si="97"/>
        <v>63</v>
      </c>
      <c r="B79" s="17">
        <v>411.46600000000001</v>
      </c>
      <c r="C79" s="17">
        <v>408.392</v>
      </c>
      <c r="D79" s="17">
        <v>403.31599999999997</v>
      </c>
      <c r="E79" s="17">
        <v>424.87099999999998</v>
      </c>
      <c r="F79" s="17">
        <v>400.43700000000001</v>
      </c>
      <c r="G79" s="17">
        <v>409.26499999999999</v>
      </c>
      <c r="H79" s="17">
        <v>400.286</v>
      </c>
      <c r="I79" s="17">
        <v>481.70299999999997</v>
      </c>
      <c r="J79" s="17">
        <v>407.93400000000003</v>
      </c>
      <c r="K79" s="17">
        <v>455.50400000000002</v>
      </c>
      <c r="L79" s="17">
        <v>415.637</v>
      </c>
      <c r="M79" s="17">
        <v>438.63200000000001</v>
      </c>
      <c r="N79" s="17">
        <v>408.09699999999998</v>
      </c>
      <c r="O79" s="17">
        <v>409.34199999999998</v>
      </c>
      <c r="P79" s="17">
        <v>548.18299999999999</v>
      </c>
      <c r="Q79" s="17">
        <v>411.51100000000002</v>
      </c>
      <c r="R79" s="17"/>
      <c r="S79" s="17">
        <v>466.851</v>
      </c>
      <c r="T79" s="17"/>
      <c r="U79" s="17">
        <v>401.76299999999998</v>
      </c>
      <c r="V79" s="17">
        <v>404.92099999999999</v>
      </c>
      <c r="W79" s="17"/>
      <c r="X79" s="17">
        <v>425.35899999999998</v>
      </c>
      <c r="Y79" s="17">
        <v>684.41300000000001</v>
      </c>
      <c r="Z79" s="17">
        <v>400.35500000000002</v>
      </c>
      <c r="AA79" s="17">
        <v>432.43799999999999</v>
      </c>
      <c r="AB79" s="17">
        <v>406.61700000000002</v>
      </c>
      <c r="AC79" s="17">
        <v>398.41399999999999</v>
      </c>
      <c r="AD79" s="17">
        <v>411.61</v>
      </c>
      <c r="AE79" s="17">
        <v>394.66699999999997</v>
      </c>
    </row>
    <row r="80" spans="1:31" x14ac:dyDescent="0.35">
      <c r="A80" s="3">
        <f t="shared" si="97"/>
        <v>64</v>
      </c>
      <c r="B80" s="17">
        <v>411.517</v>
      </c>
      <c r="C80" s="17">
        <v>407.77100000000002</v>
      </c>
      <c r="D80" s="17">
        <v>403.226</v>
      </c>
      <c r="E80" s="17">
        <v>424.58499999999998</v>
      </c>
      <c r="F80" s="17">
        <v>399.24099999999999</v>
      </c>
      <c r="G80" s="17">
        <v>409.755</v>
      </c>
      <c r="H80" s="17">
        <v>399.89299999999997</v>
      </c>
      <c r="I80" s="17">
        <v>481.27300000000002</v>
      </c>
      <c r="J80" s="17">
        <v>408.30200000000002</v>
      </c>
      <c r="K80" s="17">
        <v>454.73500000000001</v>
      </c>
      <c r="L80" s="17">
        <v>414.70699999999999</v>
      </c>
      <c r="M80" s="17">
        <v>437.68599999999998</v>
      </c>
      <c r="N80" s="17">
        <v>408.02600000000001</v>
      </c>
      <c r="O80" s="17">
        <v>409.73599999999999</v>
      </c>
      <c r="P80" s="17">
        <v>547.70500000000004</v>
      </c>
      <c r="Q80" s="17">
        <v>411.49700000000001</v>
      </c>
      <c r="R80" s="17"/>
      <c r="S80" s="17">
        <v>465.887</v>
      </c>
      <c r="T80" s="17"/>
      <c r="U80" s="17">
        <v>401.08699999999999</v>
      </c>
      <c r="V80" s="17">
        <v>403.32499999999999</v>
      </c>
      <c r="W80" s="17"/>
      <c r="X80" s="17">
        <v>424.43900000000002</v>
      </c>
      <c r="Y80" s="17">
        <v>683.63800000000003</v>
      </c>
      <c r="Z80" s="17">
        <v>398.91399999999999</v>
      </c>
      <c r="AA80" s="17">
        <v>431.94299999999998</v>
      </c>
      <c r="AB80" s="17">
        <v>407.12200000000001</v>
      </c>
      <c r="AC80" s="17">
        <v>399.029</v>
      </c>
      <c r="AD80" s="17">
        <v>414.19200000000001</v>
      </c>
      <c r="AE80" s="17">
        <v>395.88200000000001</v>
      </c>
    </row>
    <row r="81" spans="1:31" x14ac:dyDescent="0.35">
      <c r="A81" s="3">
        <f t="shared" si="97"/>
        <v>65</v>
      </c>
      <c r="B81" s="17">
        <v>411.17500000000001</v>
      </c>
      <c r="C81" s="17">
        <v>408.48500000000001</v>
      </c>
      <c r="D81" s="17">
        <v>402.44499999999999</v>
      </c>
      <c r="E81" s="17">
        <v>425.02100000000002</v>
      </c>
      <c r="F81" s="17">
        <v>399.14499999999998</v>
      </c>
      <c r="G81" s="17">
        <v>409.15199999999999</v>
      </c>
      <c r="H81" s="17">
        <v>399.21499999999997</v>
      </c>
      <c r="I81" s="17">
        <v>482.39400000000001</v>
      </c>
      <c r="J81" s="17">
        <v>409.11</v>
      </c>
      <c r="K81" s="17">
        <v>456.13900000000001</v>
      </c>
      <c r="L81" s="17">
        <v>415.97199999999998</v>
      </c>
      <c r="M81" s="17">
        <v>437.697</v>
      </c>
      <c r="N81" s="17">
        <v>408.14699999999999</v>
      </c>
      <c r="O81" s="17">
        <v>409.05399999999997</v>
      </c>
      <c r="P81" s="17">
        <v>547.21299999999997</v>
      </c>
      <c r="Q81" s="17">
        <v>411.64299999999997</v>
      </c>
      <c r="R81" s="17"/>
      <c r="S81" s="17">
        <v>466.101</v>
      </c>
      <c r="T81" s="17"/>
      <c r="U81" s="17">
        <v>401.85899999999998</v>
      </c>
      <c r="V81" s="17">
        <v>403.36900000000003</v>
      </c>
      <c r="W81" s="17"/>
      <c r="X81" s="17">
        <v>425.065</v>
      </c>
      <c r="Y81" s="17">
        <v>682.49199999999996</v>
      </c>
      <c r="Z81" s="17">
        <v>399.76499999999999</v>
      </c>
      <c r="AA81" s="17">
        <v>431.41399999999999</v>
      </c>
      <c r="AB81" s="17">
        <v>408.45499999999998</v>
      </c>
      <c r="AC81" s="17">
        <v>398.82799999999997</v>
      </c>
      <c r="AD81" s="17">
        <v>413.28500000000003</v>
      </c>
      <c r="AE81" s="17">
        <v>392.52100000000002</v>
      </c>
    </row>
    <row r="82" spans="1:31" x14ac:dyDescent="0.35">
      <c r="A82" s="3">
        <f t="shared" si="97"/>
        <v>66</v>
      </c>
      <c r="B82" s="17">
        <v>410.46699999999998</v>
      </c>
      <c r="C82" s="17">
        <v>408.49200000000002</v>
      </c>
      <c r="D82" s="17">
        <v>403.54199999999997</v>
      </c>
      <c r="E82" s="17">
        <v>424.35399999999998</v>
      </c>
      <c r="F82" s="17">
        <v>398.89600000000002</v>
      </c>
      <c r="G82" s="17">
        <v>409.23700000000002</v>
      </c>
      <c r="H82" s="17">
        <v>400.31900000000002</v>
      </c>
      <c r="I82" s="17">
        <v>480.78199999999998</v>
      </c>
      <c r="J82" s="17">
        <v>408.35899999999998</v>
      </c>
      <c r="K82" s="17">
        <v>454.33499999999998</v>
      </c>
      <c r="L82" s="17">
        <v>415.666</v>
      </c>
      <c r="M82" s="17">
        <v>438.24900000000002</v>
      </c>
      <c r="N82" s="17">
        <v>407.803</v>
      </c>
      <c r="O82" s="17">
        <v>408.76900000000001</v>
      </c>
      <c r="P82" s="17">
        <v>547.86199999999997</v>
      </c>
      <c r="Q82" s="17">
        <v>412.78300000000002</v>
      </c>
      <c r="R82" s="17"/>
      <c r="S82" s="17">
        <v>466.238</v>
      </c>
      <c r="T82" s="17"/>
      <c r="U82" s="17">
        <v>400.94900000000001</v>
      </c>
      <c r="V82" s="17">
        <v>404.55200000000002</v>
      </c>
      <c r="W82" s="17"/>
      <c r="X82" s="17">
        <v>425.80599999999998</v>
      </c>
      <c r="Y82" s="17">
        <v>683.71299999999997</v>
      </c>
      <c r="Z82" s="17">
        <v>399.54399999999998</v>
      </c>
      <c r="AA82" s="17">
        <v>432.43900000000002</v>
      </c>
      <c r="AB82" s="17">
        <v>408.39100000000002</v>
      </c>
      <c r="AC82" s="17">
        <v>397.58800000000002</v>
      </c>
      <c r="AD82" s="17">
        <v>413.976</v>
      </c>
      <c r="AE82" s="17">
        <v>396.31099999999998</v>
      </c>
    </row>
    <row r="83" spans="1:31" x14ac:dyDescent="0.35">
      <c r="A83" s="3">
        <f t="shared" si="97"/>
        <v>67</v>
      </c>
      <c r="B83" s="17">
        <v>411.87099999999998</v>
      </c>
      <c r="C83" s="17">
        <v>407.85500000000002</v>
      </c>
      <c r="D83" s="17">
        <v>402.029</v>
      </c>
      <c r="E83" s="17">
        <v>426.09800000000001</v>
      </c>
      <c r="F83" s="17">
        <v>397.99400000000003</v>
      </c>
      <c r="G83" s="17">
        <v>410.40899999999999</v>
      </c>
      <c r="H83" s="17">
        <v>400.17700000000002</v>
      </c>
      <c r="I83" s="17">
        <v>481.529</v>
      </c>
      <c r="J83" s="17">
        <v>407.56700000000001</v>
      </c>
      <c r="K83" s="17">
        <v>454.11700000000002</v>
      </c>
      <c r="L83" s="17">
        <v>415.34199999999998</v>
      </c>
      <c r="M83" s="17">
        <v>437.584</v>
      </c>
      <c r="N83" s="17">
        <v>408.62200000000001</v>
      </c>
      <c r="O83" s="17">
        <v>409.07600000000002</v>
      </c>
      <c r="P83" s="17">
        <v>547.68799999999999</v>
      </c>
      <c r="Q83" s="17">
        <v>412.78899999999999</v>
      </c>
      <c r="R83" s="17"/>
      <c r="S83" s="17">
        <v>466.37900000000002</v>
      </c>
      <c r="T83" s="17"/>
      <c r="U83" s="17">
        <v>400.49599999999998</v>
      </c>
      <c r="V83" s="17">
        <v>404.35899999999998</v>
      </c>
      <c r="W83" s="17"/>
      <c r="X83" s="17">
        <v>425.983</v>
      </c>
      <c r="Y83" s="17">
        <v>683.28</v>
      </c>
      <c r="Z83" s="17">
        <v>399.87400000000002</v>
      </c>
      <c r="AA83" s="17">
        <v>431.46699999999998</v>
      </c>
      <c r="AB83" s="17">
        <v>408.435</v>
      </c>
      <c r="AC83" s="17">
        <v>400.57600000000002</v>
      </c>
      <c r="AD83" s="17">
        <v>413.64600000000002</v>
      </c>
      <c r="AE83" s="17">
        <v>391.524</v>
      </c>
    </row>
    <row r="84" spans="1:31" x14ac:dyDescent="0.35">
      <c r="A84" s="3">
        <f t="shared" si="97"/>
        <v>68</v>
      </c>
      <c r="B84" s="17">
        <v>411.79500000000002</v>
      </c>
      <c r="C84" s="17">
        <v>408.99599999999998</v>
      </c>
      <c r="D84" s="17">
        <v>401.99400000000003</v>
      </c>
      <c r="E84" s="17">
        <v>424.86099999999999</v>
      </c>
      <c r="F84" s="17">
        <v>399.89400000000001</v>
      </c>
      <c r="G84" s="17">
        <v>410.28699999999998</v>
      </c>
      <c r="H84" s="17">
        <v>399.98899999999998</v>
      </c>
      <c r="I84" s="17">
        <v>481.67200000000003</v>
      </c>
      <c r="J84" s="17">
        <v>408.673</v>
      </c>
      <c r="K84" s="17">
        <v>453.96899999999999</v>
      </c>
      <c r="L84" s="17">
        <v>415.43700000000001</v>
      </c>
      <c r="M84" s="17">
        <v>438.10899999999998</v>
      </c>
      <c r="N84" s="17">
        <v>408.089</v>
      </c>
      <c r="O84" s="17">
        <v>408.57299999999998</v>
      </c>
      <c r="P84" s="17">
        <v>548.25699999999995</v>
      </c>
      <c r="Q84" s="17">
        <v>411.81</v>
      </c>
      <c r="R84" s="17"/>
      <c r="S84" s="17">
        <v>465.81799999999998</v>
      </c>
      <c r="T84" s="17"/>
      <c r="U84" s="17">
        <v>400.60500000000002</v>
      </c>
      <c r="V84" s="17">
        <v>405.22500000000002</v>
      </c>
      <c r="W84" s="17"/>
      <c r="X84" s="17">
        <v>424.53899999999999</v>
      </c>
      <c r="Y84" s="17">
        <v>682.726</v>
      </c>
      <c r="Z84" s="17">
        <v>400.47500000000002</v>
      </c>
      <c r="AA84" s="17">
        <v>430.65199999999999</v>
      </c>
      <c r="AB84" s="17">
        <v>408.726</v>
      </c>
      <c r="AC84" s="17">
        <v>399.64499999999998</v>
      </c>
      <c r="AD84" s="17">
        <v>411.952</v>
      </c>
      <c r="AE84" s="17">
        <v>395.43900000000002</v>
      </c>
    </row>
    <row r="85" spans="1:31" x14ac:dyDescent="0.35">
      <c r="A85" s="3">
        <f t="shared" si="97"/>
        <v>69</v>
      </c>
      <c r="B85" s="17">
        <v>410.73500000000001</v>
      </c>
      <c r="C85" s="17">
        <v>408.73899999999998</v>
      </c>
      <c r="D85" s="17">
        <v>402.964</v>
      </c>
      <c r="E85" s="17">
        <v>425.613</v>
      </c>
      <c r="F85" s="17">
        <v>400.358</v>
      </c>
      <c r="G85" s="17">
        <v>409.08499999999998</v>
      </c>
      <c r="H85" s="17">
        <v>400.13400000000001</v>
      </c>
      <c r="I85" s="17">
        <v>481.52</v>
      </c>
      <c r="J85" s="17">
        <v>408.3</v>
      </c>
      <c r="K85" s="17">
        <v>454.28399999999999</v>
      </c>
      <c r="L85" s="17">
        <v>414.52800000000002</v>
      </c>
      <c r="M85" s="17">
        <v>438.45299999999997</v>
      </c>
      <c r="N85" s="17">
        <v>407.96100000000001</v>
      </c>
      <c r="O85" s="17">
        <v>408.565</v>
      </c>
      <c r="P85" s="17">
        <v>547.62300000000005</v>
      </c>
      <c r="Q85" s="17">
        <v>412.01299999999998</v>
      </c>
      <c r="R85" s="17"/>
      <c r="S85" s="17">
        <v>466.18599999999998</v>
      </c>
      <c r="T85" s="17"/>
      <c r="U85" s="17">
        <v>400.76100000000002</v>
      </c>
      <c r="V85" s="17">
        <v>404.05900000000003</v>
      </c>
      <c r="W85" s="17"/>
      <c r="X85" s="17">
        <v>425.661</v>
      </c>
      <c r="Y85" s="17">
        <v>681.68499999999995</v>
      </c>
      <c r="Z85" s="17">
        <v>400.64699999999999</v>
      </c>
      <c r="AA85" s="17">
        <v>430.97699999999998</v>
      </c>
      <c r="AB85" s="17">
        <v>408.077</v>
      </c>
      <c r="AC85" s="17">
        <v>397.18299999999999</v>
      </c>
      <c r="AD85" s="17">
        <v>412.65800000000002</v>
      </c>
      <c r="AE85" s="17">
        <v>394.37400000000002</v>
      </c>
    </row>
    <row r="86" spans="1:31" x14ac:dyDescent="0.35">
      <c r="A86" s="3">
        <f t="shared" si="97"/>
        <v>70</v>
      </c>
      <c r="B86" s="17">
        <v>410.726</v>
      </c>
      <c r="C86" s="17">
        <v>409.59800000000001</v>
      </c>
      <c r="D86" s="17">
        <v>403.142</v>
      </c>
      <c r="E86" s="17">
        <v>425.56099999999998</v>
      </c>
      <c r="F86" s="17">
        <v>398.95</v>
      </c>
      <c r="G86" s="17">
        <v>409.673</v>
      </c>
      <c r="H86" s="17">
        <v>400.20400000000001</v>
      </c>
      <c r="I86" s="17">
        <v>482.005</v>
      </c>
      <c r="J86" s="17">
        <v>409.40499999999997</v>
      </c>
      <c r="K86" s="17">
        <v>454.90300000000002</v>
      </c>
      <c r="L86" s="17">
        <v>415.983</v>
      </c>
      <c r="M86" s="17">
        <v>437.72800000000001</v>
      </c>
      <c r="N86" s="17">
        <v>408.53199999999998</v>
      </c>
      <c r="O86" s="17">
        <v>409.81599999999997</v>
      </c>
      <c r="P86" s="17">
        <v>547.77</v>
      </c>
      <c r="Q86" s="17">
        <v>413.22199999999998</v>
      </c>
      <c r="R86" s="17"/>
      <c r="S86" s="17">
        <v>465.69499999999999</v>
      </c>
      <c r="T86" s="17"/>
      <c r="U86" s="17">
        <v>402.26600000000002</v>
      </c>
      <c r="V86" s="17">
        <v>405.38200000000001</v>
      </c>
      <c r="W86" s="17"/>
      <c r="X86" s="17">
        <v>425.55900000000003</v>
      </c>
      <c r="Y86" s="17">
        <v>681.79899999999998</v>
      </c>
      <c r="Z86" s="17">
        <v>399.875</v>
      </c>
      <c r="AA86" s="17">
        <v>431.5</v>
      </c>
      <c r="AB86" s="17">
        <v>408.315</v>
      </c>
      <c r="AC86" s="17">
        <v>398.26100000000002</v>
      </c>
      <c r="AD86" s="17">
        <v>412.72</v>
      </c>
      <c r="AE86" s="17">
        <v>395.74299999999999</v>
      </c>
    </row>
    <row r="87" spans="1:31" x14ac:dyDescent="0.35">
      <c r="A87" s="3">
        <f t="shared" si="97"/>
        <v>71</v>
      </c>
      <c r="B87" s="17">
        <v>411.33499999999998</v>
      </c>
      <c r="C87" s="17">
        <v>408.94600000000003</v>
      </c>
      <c r="D87" s="17">
        <v>403.04399999999998</v>
      </c>
      <c r="E87" s="17">
        <v>424.93299999999999</v>
      </c>
      <c r="F87" s="17">
        <v>399.05799999999999</v>
      </c>
      <c r="G87" s="17">
        <v>410.00299999999999</v>
      </c>
      <c r="H87" s="17">
        <v>399.49900000000002</v>
      </c>
      <c r="I87" s="17">
        <v>480.52699999999999</v>
      </c>
      <c r="J87" s="17">
        <v>408.71100000000001</v>
      </c>
      <c r="K87" s="17">
        <v>454.41199999999998</v>
      </c>
      <c r="L87" s="17">
        <v>416.56799999999998</v>
      </c>
      <c r="M87" s="17">
        <v>437.64299999999997</v>
      </c>
      <c r="N87" s="17">
        <v>408.613</v>
      </c>
      <c r="O87" s="17">
        <v>408.77699999999999</v>
      </c>
      <c r="P87" s="17">
        <v>547.37199999999996</v>
      </c>
      <c r="Q87" s="17">
        <v>413</v>
      </c>
      <c r="R87" s="17"/>
      <c r="S87" s="17">
        <v>465.78100000000001</v>
      </c>
      <c r="T87" s="17"/>
      <c r="U87" s="17">
        <v>400.87400000000002</v>
      </c>
      <c r="V87" s="17">
        <v>403.87400000000002</v>
      </c>
      <c r="W87" s="17"/>
      <c r="X87" s="17">
        <v>425.71800000000002</v>
      </c>
      <c r="Y87" s="17">
        <v>681.98400000000004</v>
      </c>
      <c r="Z87" s="17">
        <v>399.66800000000001</v>
      </c>
      <c r="AA87" s="17">
        <v>431.44299999999998</v>
      </c>
      <c r="AB87" s="17">
        <v>408.49</v>
      </c>
      <c r="AC87" s="17">
        <v>400.00200000000001</v>
      </c>
      <c r="AD87" s="17">
        <v>411.238</v>
      </c>
      <c r="AE87" s="17">
        <v>393.11900000000003</v>
      </c>
    </row>
    <row r="88" spans="1:31" x14ac:dyDescent="0.35">
      <c r="A88" s="3">
        <f t="shared" si="97"/>
        <v>72</v>
      </c>
      <c r="B88" s="17">
        <v>411.59399999999999</v>
      </c>
      <c r="C88" s="17">
        <v>408.37099999999998</v>
      </c>
      <c r="D88" s="17">
        <v>403.13799999999998</v>
      </c>
      <c r="E88" s="17">
        <v>425.44900000000001</v>
      </c>
      <c r="F88" s="17">
        <v>401.21699999999998</v>
      </c>
      <c r="G88" s="17">
        <v>408.80200000000002</v>
      </c>
      <c r="H88" s="17">
        <v>400.19400000000002</v>
      </c>
      <c r="I88" s="17">
        <v>481.72300000000001</v>
      </c>
      <c r="J88" s="17">
        <v>408.34199999999998</v>
      </c>
      <c r="K88" s="17">
        <v>454.25599999999997</v>
      </c>
      <c r="L88" s="17">
        <v>415.58600000000001</v>
      </c>
      <c r="M88" s="17">
        <v>438.15899999999999</v>
      </c>
      <c r="N88" s="17">
        <v>407.90699999999998</v>
      </c>
      <c r="O88" s="17">
        <v>408.74099999999999</v>
      </c>
      <c r="P88" s="17">
        <v>547.73099999999999</v>
      </c>
      <c r="Q88" s="17">
        <v>412.37200000000001</v>
      </c>
      <c r="R88" s="17"/>
      <c r="S88" s="17">
        <v>466.53699999999998</v>
      </c>
      <c r="T88" s="17"/>
      <c r="U88" s="17">
        <v>400.77</v>
      </c>
      <c r="V88" s="17">
        <v>404.29700000000003</v>
      </c>
      <c r="W88" s="17"/>
      <c r="X88" s="17">
        <v>425.55099999999999</v>
      </c>
      <c r="Y88" s="17">
        <v>682.48599999999999</v>
      </c>
      <c r="Z88" s="17">
        <v>400.42500000000001</v>
      </c>
      <c r="AA88" s="17">
        <v>430.38299999999998</v>
      </c>
      <c r="AB88" s="17">
        <v>408.36200000000002</v>
      </c>
      <c r="AC88" s="17">
        <v>398.084</v>
      </c>
      <c r="AD88" s="17">
        <v>413.17200000000003</v>
      </c>
      <c r="AE88" s="17">
        <v>394.78199999999998</v>
      </c>
    </row>
    <row r="89" spans="1:31" x14ac:dyDescent="0.35">
      <c r="A89" s="3">
        <f t="shared" si="97"/>
        <v>73</v>
      </c>
      <c r="B89" s="17">
        <v>411.85500000000002</v>
      </c>
      <c r="C89" s="17">
        <v>409.214</v>
      </c>
      <c r="D89" s="17">
        <v>402.87299999999999</v>
      </c>
      <c r="E89" s="17">
        <v>425.77100000000002</v>
      </c>
      <c r="F89" s="17">
        <v>398.863</v>
      </c>
      <c r="G89" s="17">
        <v>409.42099999999999</v>
      </c>
      <c r="H89" s="17">
        <v>400.33100000000002</v>
      </c>
      <c r="I89" s="17">
        <v>481.81299999999999</v>
      </c>
      <c r="J89" s="17">
        <v>408.76600000000002</v>
      </c>
      <c r="K89" s="17">
        <v>455.08499999999998</v>
      </c>
      <c r="L89" s="17">
        <v>414.863</v>
      </c>
      <c r="M89" s="17">
        <v>438.45699999999999</v>
      </c>
      <c r="N89" s="17">
        <v>408.827</v>
      </c>
      <c r="O89" s="17">
        <v>409.18200000000002</v>
      </c>
      <c r="P89" s="17">
        <v>547.78200000000004</v>
      </c>
      <c r="Q89" s="17">
        <v>412.96800000000002</v>
      </c>
      <c r="R89" s="17"/>
      <c r="S89" s="17">
        <v>465.89</v>
      </c>
      <c r="T89" s="17"/>
      <c r="U89" s="17">
        <v>400.86799999999999</v>
      </c>
      <c r="V89" s="17">
        <v>404.50299999999999</v>
      </c>
      <c r="W89" s="17"/>
      <c r="X89" s="17">
        <v>426.60300000000001</v>
      </c>
      <c r="Y89" s="17">
        <v>681.59199999999998</v>
      </c>
      <c r="Z89" s="17">
        <v>400.35599999999999</v>
      </c>
      <c r="AA89" s="17">
        <v>431.23899999999998</v>
      </c>
      <c r="AB89" s="17">
        <v>409.11599999999999</v>
      </c>
      <c r="AC89" s="17">
        <v>399.80500000000001</v>
      </c>
      <c r="AD89" s="17">
        <v>411.923</v>
      </c>
      <c r="AE89" s="17">
        <v>396.70699999999999</v>
      </c>
    </row>
    <row r="90" spans="1:31" x14ac:dyDescent="0.35">
      <c r="A90" s="3">
        <f t="shared" si="97"/>
        <v>74</v>
      </c>
      <c r="B90" s="17">
        <v>411.863</v>
      </c>
      <c r="C90" s="17">
        <v>409.35700000000003</v>
      </c>
      <c r="D90" s="17">
        <v>403.29399999999998</v>
      </c>
      <c r="E90" s="17">
        <v>425.71800000000002</v>
      </c>
      <c r="F90" s="17">
        <v>400.28500000000003</v>
      </c>
      <c r="G90" s="17">
        <v>409.40499999999997</v>
      </c>
      <c r="H90" s="17">
        <v>399.70299999999997</v>
      </c>
      <c r="I90" s="17">
        <v>480.71699999999998</v>
      </c>
      <c r="J90" s="17">
        <v>409.20499999999998</v>
      </c>
      <c r="K90" s="17">
        <v>453.21300000000002</v>
      </c>
      <c r="L90" s="17">
        <v>413.89499999999998</v>
      </c>
      <c r="M90" s="17">
        <v>437.66800000000001</v>
      </c>
      <c r="N90" s="17">
        <v>409.04899999999998</v>
      </c>
      <c r="O90" s="17">
        <v>409.18799999999999</v>
      </c>
      <c r="P90" s="17">
        <v>547.79999999999995</v>
      </c>
      <c r="Q90" s="17">
        <v>413.23599999999999</v>
      </c>
      <c r="R90" s="17"/>
      <c r="S90" s="17">
        <v>465.42099999999999</v>
      </c>
      <c r="T90" s="17"/>
      <c r="U90" s="17">
        <v>401.40499999999997</v>
      </c>
      <c r="V90" s="17">
        <v>404.26100000000002</v>
      </c>
      <c r="W90" s="17"/>
      <c r="X90" s="17">
        <v>425.83100000000002</v>
      </c>
      <c r="Y90" s="17">
        <v>681.10900000000004</v>
      </c>
      <c r="Z90" s="17">
        <v>399.00799999999998</v>
      </c>
      <c r="AA90" s="17">
        <v>432.613</v>
      </c>
      <c r="AB90" s="17">
        <v>409.363</v>
      </c>
      <c r="AC90" s="17">
        <v>397.48200000000003</v>
      </c>
      <c r="AD90" s="17">
        <v>412.10399999999998</v>
      </c>
      <c r="AE90" s="17">
        <v>395.58800000000002</v>
      </c>
    </row>
    <row r="91" spans="1:31" x14ac:dyDescent="0.35">
      <c r="A91" s="3">
        <f t="shared" si="97"/>
        <v>75</v>
      </c>
      <c r="B91" s="17">
        <v>411.71</v>
      </c>
      <c r="C91" s="17">
        <v>408.52</v>
      </c>
      <c r="D91" s="17">
        <v>403.17099999999999</v>
      </c>
      <c r="E91" s="17">
        <v>425.55500000000001</v>
      </c>
      <c r="F91" s="17">
        <v>400.464</v>
      </c>
      <c r="G91" s="17">
        <v>409.875</v>
      </c>
      <c r="H91" s="17">
        <v>400.68599999999998</v>
      </c>
      <c r="I91" s="17">
        <v>481.49</v>
      </c>
      <c r="J91" s="17">
        <v>408.26</v>
      </c>
      <c r="K91" s="17">
        <v>453.59</v>
      </c>
      <c r="L91" s="17">
        <v>414.85</v>
      </c>
      <c r="M91" s="17">
        <v>438.10399999999998</v>
      </c>
      <c r="N91" s="17">
        <v>409.07799999999997</v>
      </c>
      <c r="O91" s="17">
        <v>409.37700000000001</v>
      </c>
      <c r="P91" s="17">
        <v>547.70699999999999</v>
      </c>
      <c r="Q91" s="17">
        <v>412.74900000000002</v>
      </c>
      <c r="R91" s="17"/>
      <c r="S91" s="17">
        <v>464.31900000000002</v>
      </c>
      <c r="T91" s="17"/>
      <c r="U91" s="17">
        <v>401.29599999999999</v>
      </c>
      <c r="V91" s="17">
        <v>405.94</v>
      </c>
      <c r="W91" s="17"/>
      <c r="X91" s="17">
        <v>425.00200000000001</v>
      </c>
      <c r="Y91" s="17">
        <v>681.16300000000001</v>
      </c>
      <c r="Z91" s="17">
        <v>400.05200000000002</v>
      </c>
      <c r="AA91" s="17">
        <v>432.10700000000003</v>
      </c>
      <c r="AB91" s="17">
        <v>407.86200000000002</v>
      </c>
      <c r="AC91" s="17">
        <v>398.60399999999998</v>
      </c>
      <c r="AD91" s="17">
        <v>412.54399999999998</v>
      </c>
      <c r="AE91" s="17">
        <v>395.19299999999998</v>
      </c>
    </row>
    <row r="92" spans="1:31" x14ac:dyDescent="0.35">
      <c r="A92" s="3">
        <f t="shared" si="97"/>
        <v>76</v>
      </c>
      <c r="B92" s="17">
        <v>411.00299999999999</v>
      </c>
      <c r="C92" s="17">
        <v>410.13200000000001</v>
      </c>
      <c r="D92" s="17">
        <v>402.77800000000002</v>
      </c>
      <c r="E92" s="17">
        <v>425.28399999999999</v>
      </c>
      <c r="F92" s="17">
        <v>400.18200000000002</v>
      </c>
      <c r="G92" s="17">
        <v>408.85399999999998</v>
      </c>
      <c r="H92" s="17">
        <v>400.02699999999999</v>
      </c>
      <c r="I92" s="17">
        <v>482.28300000000002</v>
      </c>
      <c r="J92" s="17">
        <v>409.43799999999999</v>
      </c>
      <c r="K92" s="17">
        <v>454.28300000000002</v>
      </c>
      <c r="L92" s="17">
        <v>414.06799999999998</v>
      </c>
      <c r="M92" s="17">
        <v>438.50700000000001</v>
      </c>
      <c r="N92" s="17">
        <v>408.98899999999998</v>
      </c>
      <c r="O92" s="17">
        <v>410.01900000000001</v>
      </c>
      <c r="P92" s="17">
        <v>547.505</v>
      </c>
      <c r="Q92" s="17">
        <v>412.63600000000002</v>
      </c>
      <c r="R92" s="17"/>
      <c r="S92" s="17">
        <v>465.214</v>
      </c>
      <c r="T92" s="17"/>
      <c r="U92" s="17">
        <v>400.73899999999998</v>
      </c>
      <c r="V92" s="17">
        <v>404.96499999999997</v>
      </c>
      <c r="W92" s="17"/>
      <c r="X92" s="17">
        <v>425.18200000000002</v>
      </c>
      <c r="Y92" s="17">
        <v>681.05499999999995</v>
      </c>
      <c r="Z92" s="17">
        <v>399.35399999999998</v>
      </c>
      <c r="AA92" s="17">
        <v>431.89100000000002</v>
      </c>
      <c r="AB92" s="17">
        <v>407.18799999999999</v>
      </c>
      <c r="AC92" s="17">
        <v>400.142</v>
      </c>
      <c r="AD92" s="17">
        <v>410.21100000000001</v>
      </c>
      <c r="AE92" s="17">
        <v>395.44099999999997</v>
      </c>
    </row>
    <row r="93" spans="1:31" x14ac:dyDescent="0.35">
      <c r="A93" s="3">
        <f t="shared" si="97"/>
        <v>77</v>
      </c>
      <c r="B93" s="17">
        <v>411.10899999999998</v>
      </c>
      <c r="C93" s="17">
        <v>409.30799999999999</v>
      </c>
      <c r="D93" s="17">
        <v>403.31900000000002</v>
      </c>
      <c r="E93" s="17">
        <v>424.50700000000001</v>
      </c>
      <c r="F93" s="17">
        <v>399.98</v>
      </c>
      <c r="G93" s="17">
        <v>410.14400000000001</v>
      </c>
      <c r="H93" s="17">
        <v>399.94299999999998</v>
      </c>
      <c r="I93" s="17">
        <v>481.77499999999998</v>
      </c>
      <c r="J93" s="17">
        <v>408.72399999999999</v>
      </c>
      <c r="K93" s="17">
        <v>454.197</v>
      </c>
      <c r="L93" s="17">
        <v>415.22399999999999</v>
      </c>
      <c r="M93" s="17">
        <v>437.84399999999999</v>
      </c>
      <c r="N93" s="17">
        <v>409.14499999999998</v>
      </c>
      <c r="O93" s="17">
        <v>409.26600000000002</v>
      </c>
      <c r="P93" s="17">
        <v>547.83900000000006</v>
      </c>
      <c r="Q93" s="17">
        <v>413.10599999999999</v>
      </c>
      <c r="R93" s="17"/>
      <c r="S93" s="17">
        <v>464.97399999999999</v>
      </c>
      <c r="T93" s="17"/>
      <c r="U93" s="17">
        <v>400.65300000000002</v>
      </c>
      <c r="V93" s="17">
        <v>404.87599999999998</v>
      </c>
      <c r="W93" s="17"/>
      <c r="X93" s="17">
        <v>426.91699999999997</v>
      </c>
      <c r="Y93" s="17">
        <v>680.08299999999997</v>
      </c>
      <c r="Z93" s="17">
        <v>399.88099999999997</v>
      </c>
      <c r="AA93" s="17">
        <v>431.24</v>
      </c>
      <c r="AB93" s="17">
        <v>406.60199999999998</v>
      </c>
      <c r="AC93" s="17">
        <v>397.63499999999999</v>
      </c>
      <c r="AD93" s="17">
        <v>413.47500000000002</v>
      </c>
      <c r="AE93" s="17">
        <v>398.02300000000002</v>
      </c>
    </row>
    <row r="94" spans="1:31" x14ac:dyDescent="0.35">
      <c r="A94" s="3">
        <f t="shared" si="97"/>
        <v>78</v>
      </c>
      <c r="B94" s="17">
        <v>411.315</v>
      </c>
      <c r="C94" s="17">
        <v>408.90300000000002</v>
      </c>
      <c r="D94" s="17">
        <v>402.91300000000001</v>
      </c>
      <c r="E94" s="17">
        <v>425.68799999999999</v>
      </c>
      <c r="F94" s="17">
        <v>400.63900000000001</v>
      </c>
      <c r="G94" s="17">
        <v>410.23399999999998</v>
      </c>
      <c r="H94" s="17">
        <v>399.86900000000003</v>
      </c>
      <c r="I94" s="17">
        <v>481.49900000000002</v>
      </c>
      <c r="J94" s="17">
        <v>409.40100000000001</v>
      </c>
      <c r="K94" s="17">
        <v>454.10500000000002</v>
      </c>
      <c r="L94" s="17">
        <v>415.41899999999998</v>
      </c>
      <c r="M94" s="17">
        <v>437.24799999999999</v>
      </c>
      <c r="N94" s="17">
        <v>410.27100000000002</v>
      </c>
      <c r="O94" s="17">
        <v>408.166</v>
      </c>
      <c r="P94" s="17">
        <v>547.702</v>
      </c>
      <c r="Q94" s="17">
        <v>413.46100000000001</v>
      </c>
      <c r="R94" s="17"/>
      <c r="S94" s="17">
        <v>465.95800000000003</v>
      </c>
      <c r="T94" s="17"/>
      <c r="U94" s="17">
        <v>400.73099999999999</v>
      </c>
      <c r="V94" s="17">
        <v>403.94</v>
      </c>
      <c r="W94" s="17"/>
      <c r="X94" s="17">
        <v>426.53199999999998</v>
      </c>
      <c r="Y94" s="17">
        <v>679.88300000000004</v>
      </c>
      <c r="Z94" s="17">
        <v>400.125</v>
      </c>
      <c r="AA94" s="17">
        <v>432.17700000000002</v>
      </c>
      <c r="AB94" s="17">
        <v>408.12900000000002</v>
      </c>
      <c r="AC94" s="17">
        <v>399.10899999999998</v>
      </c>
      <c r="AD94" s="17">
        <v>412.91800000000001</v>
      </c>
      <c r="AE94" s="17">
        <v>395.48399999999998</v>
      </c>
    </row>
    <row r="95" spans="1:31" x14ac:dyDescent="0.35">
      <c r="A95" s="3">
        <f t="shared" si="97"/>
        <v>79</v>
      </c>
      <c r="B95" s="17">
        <v>410.89400000000001</v>
      </c>
      <c r="C95" s="17">
        <v>409.19799999999998</v>
      </c>
      <c r="D95" s="17">
        <v>403.68200000000002</v>
      </c>
      <c r="E95" s="17">
        <v>425.68799999999999</v>
      </c>
      <c r="F95" s="17">
        <v>399.74799999999999</v>
      </c>
      <c r="G95" s="17">
        <v>409.73399999999998</v>
      </c>
      <c r="H95" s="17">
        <v>400.928</v>
      </c>
      <c r="I95" s="17">
        <v>481.79</v>
      </c>
      <c r="J95" s="17">
        <v>408.68599999999998</v>
      </c>
      <c r="K95" s="17">
        <v>455.77300000000002</v>
      </c>
      <c r="L95" s="17">
        <v>414.66199999999998</v>
      </c>
      <c r="M95" s="17">
        <v>436.62400000000002</v>
      </c>
      <c r="N95" s="17">
        <v>408.827</v>
      </c>
      <c r="O95" s="17">
        <v>409.47300000000001</v>
      </c>
      <c r="P95" s="17">
        <v>548.02</v>
      </c>
      <c r="Q95" s="17">
        <v>413.88</v>
      </c>
      <c r="R95" s="17"/>
      <c r="S95" s="17">
        <v>465.17599999999999</v>
      </c>
      <c r="T95" s="17"/>
      <c r="U95" s="17">
        <v>400.79899999999998</v>
      </c>
      <c r="V95" s="17">
        <v>405.71800000000002</v>
      </c>
      <c r="W95" s="17"/>
      <c r="X95" s="17">
        <v>426.61200000000002</v>
      </c>
      <c r="Y95" s="17">
        <v>680.50900000000001</v>
      </c>
      <c r="Z95" s="17">
        <v>400.40600000000001</v>
      </c>
      <c r="AA95" s="17">
        <v>431.01100000000002</v>
      </c>
      <c r="AB95" s="17">
        <v>407.03699999999998</v>
      </c>
      <c r="AC95" s="17">
        <v>399.96</v>
      </c>
      <c r="AD95" s="17">
        <v>412.553</v>
      </c>
      <c r="AE95" s="17">
        <v>394.99400000000003</v>
      </c>
    </row>
    <row r="96" spans="1:31" x14ac:dyDescent="0.35">
      <c r="A96" s="3">
        <f t="shared" si="97"/>
        <v>80</v>
      </c>
      <c r="B96" s="17">
        <v>411.8</v>
      </c>
      <c r="C96" s="17">
        <v>409.71600000000001</v>
      </c>
      <c r="D96" s="17">
        <v>403.41699999999997</v>
      </c>
      <c r="E96" s="17">
        <v>425.892</v>
      </c>
      <c r="F96" s="17">
        <v>398.23500000000001</v>
      </c>
      <c r="G96" s="17">
        <v>409.524</v>
      </c>
      <c r="H96" s="17">
        <v>399.87299999999999</v>
      </c>
      <c r="I96" s="17">
        <v>481.358</v>
      </c>
      <c r="J96" s="17">
        <v>407.95499999999998</v>
      </c>
      <c r="K96" s="17">
        <v>454.87799999999999</v>
      </c>
      <c r="L96" s="17">
        <v>414.72699999999998</v>
      </c>
      <c r="M96" s="17">
        <v>438.57499999999999</v>
      </c>
      <c r="N96" s="17">
        <v>409.38099999999997</v>
      </c>
      <c r="O96" s="17">
        <v>408.541</v>
      </c>
      <c r="P96" s="17">
        <v>547.84400000000005</v>
      </c>
      <c r="Q96" s="17">
        <v>414.18200000000002</v>
      </c>
      <c r="R96" s="17"/>
      <c r="S96" s="17">
        <v>465.16500000000002</v>
      </c>
      <c r="T96" s="17"/>
      <c r="U96" s="17">
        <v>401.20100000000002</v>
      </c>
      <c r="V96" s="17">
        <v>404.03100000000001</v>
      </c>
      <c r="W96" s="17"/>
      <c r="X96" s="17">
        <v>426.38099999999997</v>
      </c>
      <c r="Y96" s="17">
        <v>679.93899999999996</v>
      </c>
      <c r="Z96" s="17">
        <v>400.07600000000002</v>
      </c>
      <c r="AA96" s="17">
        <v>431.44200000000001</v>
      </c>
      <c r="AB96" s="17">
        <v>406.221</v>
      </c>
      <c r="AC96" s="17">
        <v>396.98599999999999</v>
      </c>
      <c r="AD96" s="17">
        <v>413.57</v>
      </c>
      <c r="AE96" s="17">
        <v>396.048</v>
      </c>
    </row>
    <row r="97" spans="1:31" x14ac:dyDescent="0.35">
      <c r="A97" s="3">
        <f t="shared" si="97"/>
        <v>81</v>
      </c>
      <c r="B97" s="17">
        <v>411.28</v>
      </c>
      <c r="C97" s="17">
        <v>410.32100000000003</v>
      </c>
      <c r="D97" s="17">
        <v>402.58800000000002</v>
      </c>
      <c r="E97" s="17">
        <v>426.16699999999997</v>
      </c>
      <c r="F97" s="17">
        <v>399.27800000000002</v>
      </c>
      <c r="G97" s="17">
        <v>409.82100000000003</v>
      </c>
      <c r="H97" s="17">
        <v>400.31799999999998</v>
      </c>
      <c r="I97" s="17">
        <v>482.09100000000001</v>
      </c>
      <c r="J97" s="17">
        <v>408.99799999999999</v>
      </c>
      <c r="K97" s="17">
        <v>454.512</v>
      </c>
      <c r="L97" s="17">
        <v>414.81299999999999</v>
      </c>
      <c r="M97" s="17">
        <v>436.44799999999998</v>
      </c>
      <c r="N97" s="17">
        <v>409.58100000000002</v>
      </c>
      <c r="O97" s="17">
        <v>409.96699999999998</v>
      </c>
      <c r="P97" s="17">
        <v>547.67499999999995</v>
      </c>
      <c r="Q97" s="17">
        <v>412.80599999999998</v>
      </c>
      <c r="R97" s="17"/>
      <c r="S97" s="17">
        <v>466.09300000000002</v>
      </c>
      <c r="T97" s="17"/>
      <c r="U97" s="17">
        <v>401.28100000000001</v>
      </c>
      <c r="V97" s="17">
        <v>406.07299999999998</v>
      </c>
      <c r="W97" s="17"/>
      <c r="X97" s="17">
        <v>425.51100000000002</v>
      </c>
      <c r="Y97" s="17">
        <v>679.51199999999994</v>
      </c>
      <c r="Z97" s="17">
        <v>400.09399999999999</v>
      </c>
      <c r="AA97" s="17">
        <v>431.89400000000001</v>
      </c>
      <c r="AB97" s="17">
        <v>406.90600000000001</v>
      </c>
      <c r="AC97" s="17">
        <v>399.34500000000003</v>
      </c>
      <c r="AD97" s="17">
        <v>412.221</v>
      </c>
      <c r="AE97" s="17">
        <v>396.36099999999999</v>
      </c>
    </row>
    <row r="98" spans="1:31" x14ac:dyDescent="0.35">
      <c r="A98" s="3">
        <f t="shared" si="97"/>
        <v>82</v>
      </c>
      <c r="B98" s="17">
        <v>410.79599999999999</v>
      </c>
      <c r="C98" s="17">
        <v>409.67599999999999</v>
      </c>
      <c r="D98" s="17">
        <v>403.85500000000002</v>
      </c>
      <c r="E98" s="17">
        <v>424.89800000000002</v>
      </c>
      <c r="F98" s="17">
        <v>398.44600000000003</v>
      </c>
      <c r="G98" s="17">
        <v>410.25799999999998</v>
      </c>
      <c r="H98" s="17">
        <v>400.68099999999998</v>
      </c>
      <c r="I98" s="17">
        <v>481.22500000000002</v>
      </c>
      <c r="J98" s="17">
        <v>409.00599999999997</v>
      </c>
      <c r="K98" s="17">
        <v>453.48500000000001</v>
      </c>
      <c r="L98" s="17">
        <v>414.77</v>
      </c>
      <c r="M98" s="17">
        <v>436.935</v>
      </c>
      <c r="N98" s="17">
        <v>409.75700000000001</v>
      </c>
      <c r="O98" s="17">
        <v>409.93099999999998</v>
      </c>
      <c r="P98" s="17">
        <v>548.46400000000006</v>
      </c>
      <c r="Q98" s="17">
        <v>413.68799999999999</v>
      </c>
      <c r="R98" s="17"/>
      <c r="S98" s="17">
        <v>464.93599999999998</v>
      </c>
      <c r="T98" s="17"/>
      <c r="U98" s="17">
        <v>401.14600000000002</v>
      </c>
      <c r="V98" s="17">
        <v>404.51</v>
      </c>
      <c r="W98" s="17"/>
      <c r="X98" s="17">
        <v>426.73</v>
      </c>
      <c r="Y98" s="17">
        <v>680.23099999999999</v>
      </c>
      <c r="Z98" s="17">
        <v>400.02699999999999</v>
      </c>
      <c r="AA98" s="17">
        <v>431.80399999999997</v>
      </c>
      <c r="AB98" s="17">
        <v>407.81400000000002</v>
      </c>
      <c r="AC98" s="17">
        <v>399.38</v>
      </c>
      <c r="AD98" s="17">
        <v>413.47500000000002</v>
      </c>
      <c r="AE98" s="17">
        <v>396.44400000000002</v>
      </c>
    </row>
    <row r="99" spans="1:31" x14ac:dyDescent="0.35">
      <c r="A99" s="3">
        <f t="shared" si="97"/>
        <v>83</v>
      </c>
      <c r="B99" s="17">
        <v>411.71800000000002</v>
      </c>
      <c r="C99" s="17">
        <v>410.05500000000001</v>
      </c>
      <c r="D99" s="17">
        <v>403.27100000000002</v>
      </c>
      <c r="E99" s="17">
        <v>425.476</v>
      </c>
      <c r="F99" s="17">
        <v>398.464</v>
      </c>
      <c r="G99" s="17">
        <v>408.96699999999998</v>
      </c>
      <c r="H99" s="17">
        <v>399.86200000000002</v>
      </c>
      <c r="I99" s="17">
        <v>481.18700000000001</v>
      </c>
      <c r="J99" s="17">
        <v>409.16300000000001</v>
      </c>
      <c r="K99" s="17">
        <v>454.81099999999998</v>
      </c>
      <c r="L99" s="17">
        <v>416.07799999999997</v>
      </c>
      <c r="M99" s="17">
        <v>437.661</v>
      </c>
      <c r="N99" s="17">
        <v>410.13799999999998</v>
      </c>
      <c r="O99" s="17">
        <v>407.87700000000001</v>
      </c>
      <c r="P99" s="17">
        <v>548.90800000000002</v>
      </c>
      <c r="Q99" s="17">
        <v>414.16899999999998</v>
      </c>
      <c r="R99" s="17"/>
      <c r="S99" s="17">
        <v>466.14100000000002</v>
      </c>
      <c r="T99" s="17"/>
      <c r="U99" s="17">
        <v>400.98899999999998</v>
      </c>
      <c r="V99" s="17">
        <v>405.03699999999998</v>
      </c>
      <c r="W99" s="17"/>
      <c r="X99" s="17">
        <v>426.33100000000002</v>
      </c>
      <c r="Y99" s="17">
        <v>680.34500000000003</v>
      </c>
      <c r="Z99" s="17">
        <v>399.84500000000003</v>
      </c>
      <c r="AA99" s="17">
        <v>431.77600000000001</v>
      </c>
      <c r="AB99" s="17">
        <v>408.61700000000002</v>
      </c>
      <c r="AC99" s="17">
        <v>400.02100000000002</v>
      </c>
      <c r="AD99" s="17">
        <v>413.00200000000001</v>
      </c>
      <c r="AE99" s="17">
        <v>396.666</v>
      </c>
    </row>
    <row r="100" spans="1:31" x14ac:dyDescent="0.35">
      <c r="A100" s="3">
        <f t="shared" si="97"/>
        <v>84</v>
      </c>
      <c r="B100" s="17">
        <v>411.16800000000001</v>
      </c>
      <c r="C100" s="17">
        <v>409.09</v>
      </c>
      <c r="D100" s="17">
        <v>403.416</v>
      </c>
      <c r="E100" s="17">
        <v>426.14400000000001</v>
      </c>
      <c r="F100" s="17">
        <v>399.43299999999999</v>
      </c>
      <c r="G100" s="17">
        <v>410.38</v>
      </c>
      <c r="H100" s="17">
        <v>399.71300000000002</v>
      </c>
      <c r="I100" s="17">
        <v>481.58600000000001</v>
      </c>
      <c r="J100" s="17">
        <v>409.05099999999999</v>
      </c>
      <c r="K100" s="17">
        <v>455.07400000000001</v>
      </c>
      <c r="L100" s="17">
        <v>416.09800000000001</v>
      </c>
      <c r="M100" s="17">
        <v>437.59699999999998</v>
      </c>
      <c r="N100" s="17">
        <v>410.18700000000001</v>
      </c>
      <c r="O100" s="17">
        <v>408.75400000000002</v>
      </c>
      <c r="P100" s="17">
        <v>547.73500000000001</v>
      </c>
      <c r="Q100" s="17">
        <v>414.10899999999998</v>
      </c>
      <c r="R100" s="17"/>
      <c r="S100" s="17">
        <v>464.86</v>
      </c>
      <c r="T100" s="17"/>
      <c r="U100" s="17">
        <v>402.3</v>
      </c>
      <c r="V100" s="17">
        <v>404.709</v>
      </c>
      <c r="W100" s="17"/>
      <c r="X100" s="17">
        <v>425.76400000000001</v>
      </c>
      <c r="Y100" s="17">
        <v>678.851</v>
      </c>
      <c r="Z100" s="17">
        <v>399.36099999999999</v>
      </c>
      <c r="AA100" s="17">
        <v>431.22699999999998</v>
      </c>
      <c r="AB100" s="17">
        <v>409.21199999999999</v>
      </c>
      <c r="AC100" s="17">
        <v>398.10399999999998</v>
      </c>
      <c r="AD100" s="17">
        <v>412.988</v>
      </c>
      <c r="AE100" s="17">
        <v>398.39800000000002</v>
      </c>
    </row>
    <row r="101" spans="1:31" x14ac:dyDescent="0.35">
      <c r="A101" s="3">
        <f t="shared" si="97"/>
        <v>85</v>
      </c>
      <c r="B101" s="17">
        <v>411.68400000000003</v>
      </c>
      <c r="C101" s="17">
        <v>410.29399999999998</v>
      </c>
      <c r="D101" s="17">
        <v>403.23200000000003</v>
      </c>
      <c r="E101" s="17">
        <v>426.37299999999999</v>
      </c>
      <c r="F101" s="17">
        <v>399.61700000000002</v>
      </c>
      <c r="G101" s="17">
        <v>410.65699999999998</v>
      </c>
      <c r="H101" s="17">
        <v>400.25099999999998</v>
      </c>
      <c r="I101" s="17">
        <v>480.88</v>
      </c>
      <c r="J101" s="17">
        <v>409.42200000000003</v>
      </c>
      <c r="K101" s="17">
        <v>454.452</v>
      </c>
      <c r="L101" s="17">
        <v>415.40499999999997</v>
      </c>
      <c r="M101" s="17">
        <v>437.80599999999998</v>
      </c>
      <c r="N101" s="17">
        <v>409.21300000000002</v>
      </c>
      <c r="O101" s="17">
        <v>409.286</v>
      </c>
      <c r="P101" s="17">
        <v>548.25400000000002</v>
      </c>
      <c r="Q101" s="17">
        <v>414.02699999999999</v>
      </c>
      <c r="R101" s="17"/>
      <c r="S101" s="17">
        <v>465.50299999999999</v>
      </c>
      <c r="T101" s="17"/>
      <c r="U101" s="17">
        <v>401.61099999999999</v>
      </c>
      <c r="V101" s="17">
        <v>404.31400000000002</v>
      </c>
      <c r="W101" s="17"/>
      <c r="X101" s="17">
        <v>427.28699999999998</v>
      </c>
      <c r="Y101" s="17">
        <v>679.28499999999997</v>
      </c>
      <c r="Z101" s="17">
        <v>399.779</v>
      </c>
      <c r="AA101" s="17">
        <v>429.79599999999999</v>
      </c>
      <c r="AB101" s="17">
        <v>408.12400000000002</v>
      </c>
      <c r="AC101" s="17">
        <v>399.55</v>
      </c>
      <c r="AD101" s="17">
        <v>412.69799999999998</v>
      </c>
      <c r="AE101" s="17">
        <v>394.976</v>
      </c>
    </row>
    <row r="102" spans="1:31" x14ac:dyDescent="0.35">
      <c r="A102" s="3">
        <f t="shared" si="97"/>
        <v>86</v>
      </c>
      <c r="B102" s="17">
        <v>411.12099999999998</v>
      </c>
      <c r="C102" s="17">
        <v>410.56</v>
      </c>
      <c r="D102" s="17">
        <v>402.93400000000003</v>
      </c>
      <c r="E102" s="17">
        <v>425.92700000000002</v>
      </c>
      <c r="F102" s="17">
        <v>399.69099999999997</v>
      </c>
      <c r="G102" s="17">
        <v>410.41199999999998</v>
      </c>
      <c r="H102" s="17">
        <v>399.87099999999998</v>
      </c>
      <c r="I102" s="17">
        <v>481.709</v>
      </c>
      <c r="J102" s="17">
        <v>408.14699999999999</v>
      </c>
      <c r="K102" s="17">
        <v>454.416</v>
      </c>
      <c r="L102" s="17">
        <v>414.43900000000002</v>
      </c>
      <c r="M102" s="17">
        <v>437.87200000000001</v>
      </c>
      <c r="N102" s="17">
        <v>408.97</v>
      </c>
      <c r="O102" s="17">
        <v>408.44099999999997</v>
      </c>
      <c r="P102" s="17">
        <v>548.25599999999997</v>
      </c>
      <c r="Q102" s="17">
        <v>413.495</v>
      </c>
      <c r="R102" s="17"/>
      <c r="S102" s="17">
        <v>464.82499999999999</v>
      </c>
      <c r="T102" s="17"/>
      <c r="U102" s="17">
        <v>402.01400000000001</v>
      </c>
      <c r="V102" s="17">
        <v>404.33100000000002</v>
      </c>
      <c r="W102" s="17"/>
      <c r="X102" s="17">
        <v>426.21499999999997</v>
      </c>
      <c r="Y102" s="17">
        <v>679.67899999999997</v>
      </c>
      <c r="Z102" s="17">
        <v>400.62200000000001</v>
      </c>
      <c r="AA102" s="17">
        <v>428.96</v>
      </c>
      <c r="AB102" s="17">
        <v>407.93700000000001</v>
      </c>
      <c r="AC102" s="17">
        <v>398.88299999999998</v>
      </c>
      <c r="AD102" s="17">
        <v>413.47199999999998</v>
      </c>
      <c r="AE102" s="17">
        <v>396.315</v>
      </c>
    </row>
    <row r="103" spans="1:31" x14ac:dyDescent="0.35">
      <c r="A103" s="3">
        <f t="shared" si="97"/>
        <v>87</v>
      </c>
      <c r="B103" s="17">
        <v>411.71</v>
      </c>
      <c r="C103" s="17">
        <v>409.67700000000002</v>
      </c>
      <c r="D103" s="17">
        <v>402.99400000000003</v>
      </c>
      <c r="E103" s="17">
        <v>425.39699999999999</v>
      </c>
      <c r="F103" s="17">
        <v>399.58800000000002</v>
      </c>
      <c r="G103" s="17">
        <v>409.22500000000002</v>
      </c>
      <c r="H103" s="17">
        <v>399.61500000000001</v>
      </c>
      <c r="I103" s="17">
        <v>480.99799999999999</v>
      </c>
      <c r="J103" s="17">
        <v>409.09</v>
      </c>
      <c r="K103" s="17">
        <v>454.67899999999997</v>
      </c>
      <c r="L103" s="17">
        <v>415.81700000000001</v>
      </c>
      <c r="M103" s="17">
        <v>438.09</v>
      </c>
      <c r="N103" s="17">
        <v>409.899</v>
      </c>
      <c r="O103" s="17">
        <v>408.62299999999999</v>
      </c>
      <c r="P103" s="17">
        <v>548.09299999999996</v>
      </c>
      <c r="Q103" s="17">
        <v>415.28399999999999</v>
      </c>
      <c r="R103" s="17"/>
      <c r="S103" s="17">
        <v>465.71800000000002</v>
      </c>
      <c r="T103" s="17"/>
      <c r="U103" s="17">
        <v>401.91300000000001</v>
      </c>
      <c r="V103" s="17">
        <v>405.178</v>
      </c>
      <c r="W103" s="17"/>
      <c r="X103" s="17">
        <v>426.39699999999999</v>
      </c>
      <c r="Y103" s="17">
        <v>678.577</v>
      </c>
      <c r="Z103" s="17">
        <v>400.39800000000002</v>
      </c>
      <c r="AA103" s="17">
        <v>430.72500000000002</v>
      </c>
      <c r="AB103" s="17">
        <v>408.14100000000002</v>
      </c>
      <c r="AC103" s="17">
        <v>398.58499999999998</v>
      </c>
      <c r="AD103" s="17">
        <v>412.411</v>
      </c>
      <c r="AE103" s="17">
        <v>396.25099999999998</v>
      </c>
    </row>
    <row r="104" spans="1:31" x14ac:dyDescent="0.35">
      <c r="A104" s="3">
        <f t="shared" si="97"/>
        <v>88</v>
      </c>
      <c r="B104" s="17">
        <v>411.97899999999998</v>
      </c>
      <c r="C104" s="17">
        <v>410.28699999999998</v>
      </c>
      <c r="D104" s="17">
        <v>403.13900000000001</v>
      </c>
      <c r="E104" s="17">
        <v>426.26</v>
      </c>
      <c r="F104" s="17">
        <v>399.78699999999998</v>
      </c>
      <c r="G104" s="17">
        <v>410.416</v>
      </c>
      <c r="H104" s="17">
        <v>400.96</v>
      </c>
      <c r="I104" s="17">
        <v>482.40699999999998</v>
      </c>
      <c r="J104" s="17">
        <v>408.20100000000002</v>
      </c>
      <c r="K104" s="17">
        <v>454.52300000000002</v>
      </c>
      <c r="L104" s="17">
        <v>415.72399999999999</v>
      </c>
      <c r="M104" s="17">
        <v>437.98599999999999</v>
      </c>
      <c r="N104" s="17">
        <v>409.62599999999998</v>
      </c>
      <c r="O104" s="17">
        <v>409.09500000000003</v>
      </c>
      <c r="P104" s="17">
        <v>548.05700000000002</v>
      </c>
      <c r="Q104" s="17">
        <v>414.80599999999998</v>
      </c>
      <c r="R104" s="17"/>
      <c r="S104" s="17">
        <v>465.678</v>
      </c>
      <c r="T104" s="17"/>
      <c r="U104" s="17">
        <v>401.40600000000001</v>
      </c>
      <c r="V104" s="17">
        <v>405.22699999999998</v>
      </c>
      <c r="W104" s="17"/>
      <c r="X104" s="17">
        <v>426.09399999999999</v>
      </c>
      <c r="Y104" s="17">
        <v>678.24199999999996</v>
      </c>
      <c r="Z104" s="17">
        <v>400.34800000000001</v>
      </c>
      <c r="AA104" s="17">
        <v>430.47800000000001</v>
      </c>
      <c r="AB104" s="17">
        <v>409.13400000000001</v>
      </c>
      <c r="AC104" s="17">
        <v>397.77300000000002</v>
      </c>
      <c r="AD104" s="17">
        <v>412.66</v>
      </c>
      <c r="AE104" s="17">
        <v>394.31900000000002</v>
      </c>
    </row>
    <row r="105" spans="1:31" x14ac:dyDescent="0.35">
      <c r="A105" s="3">
        <f t="shared" si="97"/>
        <v>89</v>
      </c>
      <c r="B105" s="17">
        <v>411.01499999999999</v>
      </c>
      <c r="C105" s="17">
        <v>409.89299999999997</v>
      </c>
      <c r="D105" s="17">
        <v>403.21</v>
      </c>
      <c r="E105" s="17">
        <v>425.61700000000002</v>
      </c>
      <c r="F105" s="17">
        <v>398.21300000000002</v>
      </c>
      <c r="G105" s="17">
        <v>409.827</v>
      </c>
      <c r="H105" s="17">
        <v>400.48099999999999</v>
      </c>
      <c r="I105" s="17">
        <v>481.69600000000003</v>
      </c>
      <c r="J105" s="17">
        <v>408.61500000000001</v>
      </c>
      <c r="K105" s="17">
        <v>455.88200000000001</v>
      </c>
      <c r="L105" s="17">
        <v>414.50900000000001</v>
      </c>
      <c r="M105" s="17">
        <v>436.85199999999998</v>
      </c>
      <c r="N105" s="17">
        <v>409.26900000000001</v>
      </c>
      <c r="O105" s="17">
        <v>409.16</v>
      </c>
      <c r="P105" s="17">
        <v>548.54300000000001</v>
      </c>
      <c r="Q105" s="17">
        <v>413.16199999999998</v>
      </c>
      <c r="R105" s="17"/>
      <c r="S105" s="17">
        <v>464.68900000000002</v>
      </c>
      <c r="T105" s="17"/>
      <c r="U105" s="17">
        <v>402.06</v>
      </c>
      <c r="V105" s="17">
        <v>403.726</v>
      </c>
      <c r="W105" s="17"/>
      <c r="X105" s="17">
        <v>425.05700000000002</v>
      </c>
      <c r="Y105" s="17">
        <v>679.601</v>
      </c>
      <c r="Z105" s="17">
        <v>400.08499999999998</v>
      </c>
      <c r="AA105" s="17">
        <v>431.01600000000002</v>
      </c>
      <c r="AB105" s="17">
        <v>409.51799999999997</v>
      </c>
      <c r="AC105" s="17">
        <v>396.51</v>
      </c>
      <c r="AD105" s="17">
        <v>413.91</v>
      </c>
      <c r="AE105" s="17">
        <v>395.00099999999998</v>
      </c>
    </row>
    <row r="106" spans="1:31" x14ac:dyDescent="0.35">
      <c r="A106" s="3">
        <f t="shared" si="97"/>
        <v>90</v>
      </c>
      <c r="B106" s="17">
        <v>411.13799999999998</v>
      </c>
      <c r="C106" s="17">
        <v>410.74799999999999</v>
      </c>
      <c r="D106" s="17">
        <v>403.57600000000002</v>
      </c>
      <c r="E106" s="17">
        <v>425.09</v>
      </c>
      <c r="F106" s="17">
        <v>399.33</v>
      </c>
      <c r="G106" s="17">
        <v>409.90800000000002</v>
      </c>
      <c r="H106" s="17">
        <v>400.85399999999998</v>
      </c>
      <c r="I106" s="17">
        <v>481.96100000000001</v>
      </c>
      <c r="J106" s="17">
        <v>408.767</v>
      </c>
      <c r="K106" s="17">
        <v>453.09100000000001</v>
      </c>
      <c r="L106" s="17">
        <v>414.76900000000001</v>
      </c>
      <c r="M106" s="17">
        <v>437.12700000000001</v>
      </c>
      <c r="N106" s="17">
        <v>409.35</v>
      </c>
      <c r="O106" s="17">
        <v>409.726</v>
      </c>
      <c r="P106" s="17">
        <v>548.21199999999999</v>
      </c>
      <c r="Q106" s="17">
        <v>413.82100000000003</v>
      </c>
      <c r="R106" s="17"/>
      <c r="S106" s="17">
        <v>465.697</v>
      </c>
      <c r="T106" s="17"/>
      <c r="U106" s="17">
        <v>401.02600000000001</v>
      </c>
      <c r="V106" s="17">
        <v>403.93700000000001</v>
      </c>
      <c r="W106" s="17"/>
      <c r="X106" s="17">
        <v>425.95</v>
      </c>
      <c r="Y106" s="17">
        <v>678.33199999999999</v>
      </c>
      <c r="Z106" s="17">
        <v>401.19099999999997</v>
      </c>
      <c r="AA106" s="17">
        <v>430.59500000000003</v>
      </c>
      <c r="AB106" s="17">
        <v>407.988</v>
      </c>
      <c r="AC106" s="17">
        <v>396.94099999999997</v>
      </c>
      <c r="AD106" s="17">
        <v>412.267</v>
      </c>
      <c r="AE106" s="17">
        <v>397.51100000000002</v>
      </c>
    </row>
    <row r="107" spans="1:31" x14ac:dyDescent="0.35">
      <c r="A107" s="3">
        <f t="shared" si="97"/>
        <v>91</v>
      </c>
      <c r="B107" s="17">
        <v>411.54</v>
      </c>
      <c r="C107" s="17">
        <v>409.97</v>
      </c>
      <c r="D107" s="17">
        <v>403.16899999999998</v>
      </c>
      <c r="E107" s="17">
        <v>425.49799999999999</v>
      </c>
      <c r="F107" s="17">
        <v>399.55</v>
      </c>
      <c r="G107" s="17">
        <v>410.178</v>
      </c>
      <c r="H107" s="17">
        <v>399.63200000000001</v>
      </c>
      <c r="I107" s="17">
        <v>481.339</v>
      </c>
      <c r="J107" s="17">
        <v>409.94299999999998</v>
      </c>
      <c r="K107" s="17">
        <v>454.185</v>
      </c>
      <c r="L107" s="17">
        <v>414.81400000000002</v>
      </c>
      <c r="M107" s="17">
        <v>437.88200000000001</v>
      </c>
      <c r="N107" s="17">
        <v>409.66800000000001</v>
      </c>
      <c r="O107" s="17">
        <v>408.39699999999999</v>
      </c>
      <c r="P107" s="17">
        <v>547.53200000000004</v>
      </c>
      <c r="Q107" s="17">
        <v>415.94200000000001</v>
      </c>
      <c r="R107" s="17"/>
      <c r="S107" s="17">
        <v>464.42200000000003</v>
      </c>
      <c r="T107" s="17"/>
      <c r="U107" s="17">
        <v>401.21499999999997</v>
      </c>
      <c r="V107" s="17">
        <v>404.392</v>
      </c>
      <c r="W107" s="17"/>
      <c r="X107" s="17">
        <v>426.16699999999997</v>
      </c>
      <c r="Y107" s="17">
        <v>678.048</v>
      </c>
      <c r="Z107" s="17">
        <v>400.13099999999997</v>
      </c>
      <c r="AA107" s="17">
        <v>430.34699999999998</v>
      </c>
      <c r="AB107" s="17">
        <v>409.97800000000001</v>
      </c>
      <c r="AC107" s="17">
        <v>397.50299999999999</v>
      </c>
      <c r="AD107" s="17">
        <v>412.85</v>
      </c>
      <c r="AE107" s="17">
        <v>394.21600000000001</v>
      </c>
    </row>
    <row r="108" spans="1:31" x14ac:dyDescent="0.35">
      <c r="A108" s="3">
        <f t="shared" si="97"/>
        <v>92</v>
      </c>
      <c r="B108" s="17">
        <v>411.54199999999997</v>
      </c>
      <c r="C108" s="17">
        <v>410.178</v>
      </c>
      <c r="D108" s="17">
        <v>403.85599999999999</v>
      </c>
      <c r="E108" s="17">
        <v>425.78399999999999</v>
      </c>
      <c r="F108" s="17">
        <v>398.88299999999998</v>
      </c>
      <c r="G108" s="17">
        <v>409.988</v>
      </c>
      <c r="H108" s="17">
        <v>399.839</v>
      </c>
      <c r="I108" s="17">
        <v>480.887</v>
      </c>
      <c r="J108" s="17">
        <v>408.89600000000002</v>
      </c>
      <c r="K108" s="17">
        <v>454.72399999999999</v>
      </c>
      <c r="L108" s="17">
        <v>414.54500000000002</v>
      </c>
      <c r="M108" s="17">
        <v>438.22500000000002</v>
      </c>
      <c r="N108" s="17">
        <v>410.52300000000002</v>
      </c>
      <c r="O108" s="17">
        <v>407.83499999999998</v>
      </c>
      <c r="P108" s="17">
        <v>549.22500000000002</v>
      </c>
      <c r="Q108" s="17">
        <v>415.03399999999999</v>
      </c>
      <c r="R108" s="17"/>
      <c r="S108" s="17">
        <v>465.065</v>
      </c>
      <c r="T108" s="17"/>
      <c r="U108" s="17">
        <v>400.59699999999998</v>
      </c>
      <c r="V108" s="17">
        <v>406.78500000000003</v>
      </c>
      <c r="W108" s="17"/>
      <c r="X108" s="17">
        <v>426.83</v>
      </c>
      <c r="Y108" s="17">
        <v>677.39499999999998</v>
      </c>
      <c r="Z108" s="17">
        <v>400.31200000000001</v>
      </c>
      <c r="AA108" s="17">
        <v>430.80700000000002</v>
      </c>
      <c r="AB108" s="17">
        <v>409.78</v>
      </c>
      <c r="AC108" s="17">
        <v>397.58</v>
      </c>
      <c r="AD108" s="17">
        <v>413.42500000000001</v>
      </c>
      <c r="AE108" s="17">
        <v>398.56799999999998</v>
      </c>
    </row>
    <row r="109" spans="1:31" x14ac:dyDescent="0.35">
      <c r="A109" s="3">
        <f t="shared" si="97"/>
        <v>93</v>
      </c>
      <c r="B109" s="17">
        <v>411.95299999999997</v>
      </c>
      <c r="C109" s="17">
        <v>410.18700000000001</v>
      </c>
      <c r="D109" s="17">
        <v>403.66699999999997</v>
      </c>
      <c r="E109" s="17">
        <v>425.96899999999999</v>
      </c>
      <c r="F109" s="17">
        <v>399.29399999999998</v>
      </c>
      <c r="G109" s="17">
        <v>410.41300000000001</v>
      </c>
      <c r="H109" s="17">
        <v>400.471</v>
      </c>
      <c r="I109" s="17">
        <v>482.45499999999998</v>
      </c>
      <c r="J109" s="17">
        <v>409.89699999999999</v>
      </c>
      <c r="K109" s="17">
        <v>453.61799999999999</v>
      </c>
      <c r="L109" s="17">
        <v>416.161</v>
      </c>
      <c r="M109" s="17">
        <v>437.49799999999999</v>
      </c>
      <c r="N109" s="17">
        <v>409.78899999999999</v>
      </c>
      <c r="O109" s="17">
        <v>409.50599999999997</v>
      </c>
      <c r="P109" s="17">
        <v>549.77599999999995</v>
      </c>
      <c r="Q109" s="17">
        <v>414.291</v>
      </c>
      <c r="R109" s="17"/>
      <c r="S109" s="17">
        <v>465.01799999999997</v>
      </c>
      <c r="T109" s="17"/>
      <c r="U109" s="17">
        <v>401.762</v>
      </c>
      <c r="V109" s="17">
        <v>405.87799999999999</v>
      </c>
      <c r="W109" s="17"/>
      <c r="X109" s="17">
        <v>426.12700000000001</v>
      </c>
      <c r="Y109" s="17">
        <v>677.89700000000005</v>
      </c>
      <c r="Z109" s="17">
        <v>400.44799999999998</v>
      </c>
      <c r="AA109" s="17">
        <v>432.524</v>
      </c>
      <c r="AB109" s="17">
        <v>409.22300000000001</v>
      </c>
      <c r="AC109" s="17">
        <v>398.16899999999998</v>
      </c>
      <c r="AD109" s="17">
        <v>411.46199999999999</v>
      </c>
      <c r="AE109" s="17">
        <v>393.51</v>
      </c>
    </row>
    <row r="110" spans="1:31" x14ac:dyDescent="0.35">
      <c r="A110" s="3">
        <f t="shared" si="97"/>
        <v>94</v>
      </c>
      <c r="B110" s="17">
        <v>411.93200000000002</v>
      </c>
      <c r="C110" s="17">
        <v>409.36500000000001</v>
      </c>
      <c r="D110" s="17">
        <v>403.36200000000002</v>
      </c>
      <c r="E110" s="17">
        <v>426.07799999999997</v>
      </c>
      <c r="F110" s="17">
        <v>400.49799999999999</v>
      </c>
      <c r="G110" s="17">
        <v>410.41399999999999</v>
      </c>
      <c r="H110" s="17">
        <v>401.40699999999998</v>
      </c>
      <c r="I110" s="17">
        <v>480.815</v>
      </c>
      <c r="J110" s="17">
        <v>409.44200000000001</v>
      </c>
      <c r="K110" s="17">
        <v>454.54300000000001</v>
      </c>
      <c r="L110" s="17">
        <v>414.46300000000002</v>
      </c>
      <c r="M110" s="17">
        <v>438.66800000000001</v>
      </c>
      <c r="N110" s="17">
        <v>409.63</v>
      </c>
      <c r="O110" s="17">
        <v>409.28199999999998</v>
      </c>
      <c r="P110" s="17">
        <v>549.21199999999999</v>
      </c>
      <c r="Q110" s="17">
        <v>413.63499999999999</v>
      </c>
      <c r="R110" s="17"/>
      <c r="S110" s="17">
        <v>464.774</v>
      </c>
      <c r="T110" s="17"/>
      <c r="U110" s="17">
        <v>401.99900000000002</v>
      </c>
      <c r="V110" s="17">
        <v>405.73599999999999</v>
      </c>
      <c r="W110" s="17"/>
      <c r="X110" s="17">
        <v>428.06</v>
      </c>
      <c r="Y110" s="17">
        <v>677.71100000000001</v>
      </c>
      <c r="Z110" s="17">
        <v>400.67500000000001</v>
      </c>
      <c r="AA110" s="17">
        <v>429.99599999999998</v>
      </c>
      <c r="AB110" s="17">
        <v>406.73200000000003</v>
      </c>
      <c r="AC110" s="17">
        <v>397.447</v>
      </c>
      <c r="AD110" s="17">
        <v>413.649</v>
      </c>
      <c r="AE110" s="17">
        <v>397.97300000000001</v>
      </c>
    </row>
    <row r="111" spans="1:31" x14ac:dyDescent="0.35">
      <c r="A111" s="3">
        <f t="shared" si="97"/>
        <v>95</v>
      </c>
      <c r="B111" s="17">
        <v>411.21800000000002</v>
      </c>
      <c r="C111" s="17">
        <v>411.70600000000002</v>
      </c>
      <c r="D111" s="17">
        <v>403.702</v>
      </c>
      <c r="E111" s="17">
        <v>425.45100000000002</v>
      </c>
      <c r="F111" s="17">
        <v>399.66899999999998</v>
      </c>
      <c r="G111" s="17">
        <v>410.61599999999999</v>
      </c>
      <c r="H111" s="17">
        <v>400.09500000000003</v>
      </c>
      <c r="I111" s="17">
        <v>481.31099999999998</v>
      </c>
      <c r="J111" s="17">
        <v>408.733</v>
      </c>
      <c r="K111" s="17">
        <v>455.14800000000002</v>
      </c>
      <c r="L111" s="17">
        <v>413.92099999999999</v>
      </c>
      <c r="M111" s="17">
        <v>437.447</v>
      </c>
      <c r="N111" s="17">
        <v>410.67700000000002</v>
      </c>
      <c r="O111" s="17">
        <v>408.40600000000001</v>
      </c>
      <c r="P111" s="17">
        <v>549.29200000000003</v>
      </c>
      <c r="Q111" s="17">
        <v>414.274</v>
      </c>
      <c r="R111" s="17"/>
      <c r="S111" s="17">
        <v>464.346</v>
      </c>
      <c r="T111" s="17"/>
      <c r="U111" s="17">
        <v>401.49700000000001</v>
      </c>
      <c r="V111" s="17">
        <v>404.96</v>
      </c>
      <c r="W111" s="17"/>
      <c r="X111" s="17">
        <v>427.54399999999998</v>
      </c>
      <c r="Y111" s="17">
        <v>678.47900000000004</v>
      </c>
      <c r="Z111" s="17">
        <v>399.91500000000002</v>
      </c>
      <c r="AA111" s="17">
        <v>432.27100000000002</v>
      </c>
      <c r="AB111" s="17">
        <v>407.83699999999999</v>
      </c>
      <c r="AC111" s="17">
        <v>397.66899999999998</v>
      </c>
      <c r="AD111" s="17">
        <v>411.98399999999998</v>
      </c>
      <c r="AE111" s="17">
        <v>392.88600000000002</v>
      </c>
    </row>
    <row r="112" spans="1:31" x14ac:dyDescent="0.35">
      <c r="A112" s="3">
        <f t="shared" si="97"/>
        <v>96</v>
      </c>
      <c r="B112" s="17">
        <v>412.37799999999999</v>
      </c>
      <c r="C112" s="17">
        <v>411.29700000000003</v>
      </c>
      <c r="D112" s="17">
        <v>403.964</v>
      </c>
      <c r="E112" s="17">
        <v>426.041</v>
      </c>
      <c r="F112" s="17">
        <v>400.64400000000001</v>
      </c>
      <c r="G112" s="17">
        <v>410.61399999999998</v>
      </c>
      <c r="H112" s="17">
        <v>400.88799999999998</v>
      </c>
      <c r="I112" s="17">
        <v>481.39100000000002</v>
      </c>
      <c r="J112" s="17">
        <v>409.09699999999998</v>
      </c>
      <c r="K112" s="17">
        <v>455.40499999999997</v>
      </c>
      <c r="L112" s="17">
        <v>414.53399999999999</v>
      </c>
      <c r="M112" s="17">
        <v>437.37799999999999</v>
      </c>
      <c r="N112" s="17">
        <v>410.48899999999998</v>
      </c>
      <c r="O112" s="17">
        <v>409.39</v>
      </c>
      <c r="P112" s="17">
        <v>548.90300000000002</v>
      </c>
      <c r="Q112" s="17">
        <v>414.02800000000002</v>
      </c>
      <c r="R112" s="17"/>
      <c r="S112" s="17">
        <v>465.67399999999998</v>
      </c>
      <c r="T112" s="17"/>
      <c r="U112" s="17">
        <v>400.69</v>
      </c>
      <c r="V112" s="17">
        <v>405.387</v>
      </c>
      <c r="W112" s="17"/>
      <c r="X112" s="17">
        <v>426.62700000000001</v>
      </c>
      <c r="Y112" s="17">
        <v>677.23</v>
      </c>
      <c r="Z112" s="17">
        <v>399.798</v>
      </c>
      <c r="AA112" s="17">
        <v>430.96499999999997</v>
      </c>
      <c r="AB112" s="17">
        <v>407.45499999999998</v>
      </c>
      <c r="AC112" s="17">
        <v>399.49599999999998</v>
      </c>
      <c r="AD112" s="17">
        <v>414.49400000000003</v>
      </c>
      <c r="AE112" s="17">
        <v>397.81799999999998</v>
      </c>
    </row>
    <row r="113" spans="1:31" x14ac:dyDescent="0.35">
      <c r="A113" s="3">
        <f t="shared" si="97"/>
        <v>97</v>
      </c>
      <c r="B113" s="17">
        <v>411.30399999999997</v>
      </c>
      <c r="C113" s="17">
        <v>410.67099999999999</v>
      </c>
      <c r="D113" s="17">
        <v>403.63499999999999</v>
      </c>
      <c r="E113" s="17">
        <v>425.59800000000001</v>
      </c>
      <c r="F113" s="17">
        <v>399.822</v>
      </c>
      <c r="G113" s="17">
        <v>410.02699999999999</v>
      </c>
      <c r="H113" s="17">
        <v>400.77199999999999</v>
      </c>
      <c r="I113" s="17">
        <v>480.51299999999998</v>
      </c>
      <c r="J113" s="17">
        <v>409.45100000000002</v>
      </c>
      <c r="K113" s="17">
        <v>454.976</v>
      </c>
      <c r="L113" s="17">
        <v>415.42500000000001</v>
      </c>
      <c r="M113" s="17">
        <v>437.21100000000001</v>
      </c>
      <c r="N113" s="17">
        <v>411.00400000000002</v>
      </c>
      <c r="O113" s="17">
        <v>408.863</v>
      </c>
      <c r="P113" s="17">
        <v>548.58500000000004</v>
      </c>
      <c r="Q113" s="17">
        <v>413.67099999999999</v>
      </c>
      <c r="R113" s="17"/>
      <c r="S113" s="17">
        <v>465.93099999999998</v>
      </c>
      <c r="T113" s="17"/>
      <c r="U113" s="17">
        <v>400.827</v>
      </c>
      <c r="V113" s="17">
        <v>406.00400000000002</v>
      </c>
      <c r="W113" s="17"/>
      <c r="X113" s="17">
        <v>425.774</v>
      </c>
      <c r="Y113" s="17">
        <v>678.03</v>
      </c>
      <c r="Z113" s="17">
        <v>400.12799999999999</v>
      </c>
      <c r="AA113" s="17">
        <v>432.18</v>
      </c>
      <c r="AB113" s="17">
        <v>407.60500000000002</v>
      </c>
      <c r="AC113" s="17">
        <v>397.22500000000002</v>
      </c>
      <c r="AD113" s="17">
        <v>412.28199999999998</v>
      </c>
      <c r="AE113" s="17">
        <v>398.69900000000001</v>
      </c>
    </row>
    <row r="114" spans="1:31" x14ac:dyDescent="0.35">
      <c r="A114" s="3">
        <f t="shared" ref="A114:A177" si="98">A113+1</f>
        <v>98</v>
      </c>
      <c r="B114" s="17">
        <v>412.03500000000003</v>
      </c>
      <c r="C114" s="17">
        <v>411.06099999999998</v>
      </c>
      <c r="D114" s="17">
        <v>403.83100000000002</v>
      </c>
      <c r="E114" s="17">
        <v>425.54</v>
      </c>
      <c r="F114" s="17">
        <v>399.45400000000001</v>
      </c>
      <c r="G114" s="17">
        <v>410.41</v>
      </c>
      <c r="H114" s="17">
        <v>399.25700000000001</v>
      </c>
      <c r="I114" s="17">
        <v>481.685</v>
      </c>
      <c r="J114" s="17">
        <v>408.63499999999999</v>
      </c>
      <c r="K114" s="17">
        <v>453.98700000000002</v>
      </c>
      <c r="L114" s="17">
        <v>414.92200000000003</v>
      </c>
      <c r="M114" s="17">
        <v>437.74400000000003</v>
      </c>
      <c r="N114" s="17">
        <v>410.58800000000002</v>
      </c>
      <c r="O114" s="17">
        <v>409.33699999999999</v>
      </c>
      <c r="P114" s="17">
        <v>548.84900000000005</v>
      </c>
      <c r="Q114" s="17">
        <v>415.03399999999999</v>
      </c>
      <c r="R114" s="17"/>
      <c r="S114" s="17">
        <v>464.89400000000001</v>
      </c>
      <c r="T114" s="17"/>
      <c r="U114" s="17">
        <v>400.93400000000003</v>
      </c>
      <c r="V114" s="17">
        <v>405.40600000000001</v>
      </c>
      <c r="W114" s="17"/>
      <c r="X114" s="17">
        <v>426.79</v>
      </c>
      <c r="Y114" s="17">
        <v>678.09100000000001</v>
      </c>
      <c r="Z114" s="17">
        <v>399.82499999999999</v>
      </c>
      <c r="AA114" s="17">
        <v>429.55700000000002</v>
      </c>
      <c r="AB114" s="17">
        <v>408.22300000000001</v>
      </c>
      <c r="AC114" s="17">
        <v>399.36900000000003</v>
      </c>
      <c r="AD114" s="17">
        <v>411.50900000000001</v>
      </c>
      <c r="AE114" s="17">
        <v>394.13900000000001</v>
      </c>
    </row>
    <row r="115" spans="1:31" x14ac:dyDescent="0.35">
      <c r="A115" s="3">
        <f t="shared" si="98"/>
        <v>99</v>
      </c>
      <c r="B115" s="17">
        <v>411.52699999999999</v>
      </c>
      <c r="C115" s="17">
        <v>411.19499999999999</v>
      </c>
      <c r="D115" s="17">
        <v>403.47</v>
      </c>
      <c r="E115" s="17">
        <v>425.85500000000002</v>
      </c>
      <c r="F115" s="17">
        <v>398.76</v>
      </c>
      <c r="G115" s="17">
        <v>410.24900000000002</v>
      </c>
      <c r="H115" s="17">
        <v>401.3</v>
      </c>
      <c r="I115" s="17">
        <v>481.74099999999999</v>
      </c>
      <c r="J115" s="17">
        <v>408.642</v>
      </c>
      <c r="K115" s="17">
        <v>453.39400000000001</v>
      </c>
      <c r="L115" s="17">
        <v>414.60899999999998</v>
      </c>
      <c r="M115" s="17">
        <v>437.279</v>
      </c>
      <c r="N115" s="17">
        <v>410.70400000000001</v>
      </c>
      <c r="O115" s="17">
        <v>408.03399999999999</v>
      </c>
      <c r="P115" s="17">
        <v>548.79700000000003</v>
      </c>
      <c r="Q115" s="17">
        <v>415.57299999999998</v>
      </c>
      <c r="R115" s="17"/>
      <c r="S115" s="17">
        <v>465.14299999999997</v>
      </c>
      <c r="T115" s="17"/>
      <c r="U115" s="17">
        <v>401.55399999999997</v>
      </c>
      <c r="V115" s="17">
        <v>405.44099999999997</v>
      </c>
      <c r="W115" s="17"/>
      <c r="X115" s="17">
        <v>427.84800000000001</v>
      </c>
      <c r="Y115" s="17">
        <v>678.38599999999997</v>
      </c>
      <c r="Z115" s="17">
        <v>400.80399999999997</v>
      </c>
      <c r="AA115" s="17">
        <v>430.96899999999999</v>
      </c>
      <c r="AB115" s="17">
        <v>408.24200000000002</v>
      </c>
      <c r="AC115" s="17">
        <v>398.03500000000003</v>
      </c>
      <c r="AD115" s="17">
        <v>412.74299999999999</v>
      </c>
      <c r="AE115" s="17">
        <v>398.346</v>
      </c>
    </row>
    <row r="116" spans="1:31" x14ac:dyDescent="0.35">
      <c r="A116" s="3">
        <f t="shared" si="98"/>
        <v>100</v>
      </c>
      <c r="B116" s="17">
        <v>411.505</v>
      </c>
      <c r="C116" s="17">
        <v>410.88099999999997</v>
      </c>
      <c r="D116" s="17">
        <v>403.60899999999998</v>
      </c>
      <c r="E116" s="17">
        <v>425.94099999999997</v>
      </c>
      <c r="F116" s="17">
        <v>400.72300000000001</v>
      </c>
      <c r="G116" s="17">
        <v>409.66300000000001</v>
      </c>
      <c r="H116" s="17">
        <v>399.93900000000002</v>
      </c>
      <c r="I116" s="17">
        <v>481.42</v>
      </c>
      <c r="J116" s="17">
        <v>409.27199999999999</v>
      </c>
      <c r="K116" s="17">
        <v>453.399</v>
      </c>
      <c r="L116" s="17">
        <v>415.233</v>
      </c>
      <c r="M116" s="17">
        <v>436.76900000000001</v>
      </c>
      <c r="N116" s="17">
        <v>410.89400000000001</v>
      </c>
      <c r="O116" s="17">
        <v>409.13200000000001</v>
      </c>
      <c r="P116" s="17">
        <v>548.82000000000005</v>
      </c>
      <c r="Q116" s="17">
        <v>415.91699999999997</v>
      </c>
      <c r="R116" s="17"/>
      <c r="S116" s="17">
        <v>465.18900000000002</v>
      </c>
      <c r="T116" s="17"/>
      <c r="U116" s="17">
        <v>401.22</v>
      </c>
      <c r="V116" s="17">
        <v>403.96100000000001</v>
      </c>
      <c r="W116" s="17"/>
      <c r="X116" s="17">
        <v>425.07600000000002</v>
      </c>
      <c r="Y116" s="17">
        <v>676.83600000000001</v>
      </c>
      <c r="Z116" s="17">
        <v>399.95400000000001</v>
      </c>
      <c r="AA116" s="17">
        <v>432.31599999999997</v>
      </c>
      <c r="AB116" s="17">
        <v>407.86099999999999</v>
      </c>
      <c r="AC116" s="17">
        <v>398.02300000000002</v>
      </c>
      <c r="AD116" s="17">
        <v>411.76</v>
      </c>
      <c r="AE116" s="17">
        <v>397.50200000000001</v>
      </c>
    </row>
    <row r="117" spans="1:31" x14ac:dyDescent="0.35">
      <c r="A117" s="3">
        <f t="shared" si="98"/>
        <v>101</v>
      </c>
      <c r="B117" s="17">
        <v>412.33100000000002</v>
      </c>
      <c r="C117" s="17">
        <v>410.84899999999999</v>
      </c>
      <c r="D117" s="17">
        <v>403.786</v>
      </c>
      <c r="E117" s="17">
        <v>425.851</v>
      </c>
      <c r="F117" s="17">
        <v>399.89299999999997</v>
      </c>
      <c r="G117" s="17">
        <v>411.31200000000001</v>
      </c>
      <c r="H117" s="17">
        <v>399.11099999999999</v>
      </c>
      <c r="I117" s="17">
        <v>481.67</v>
      </c>
      <c r="J117" s="17">
        <v>409.28199999999998</v>
      </c>
      <c r="K117" s="17">
        <v>456</v>
      </c>
      <c r="L117" s="17">
        <v>415.14800000000002</v>
      </c>
      <c r="M117" s="17">
        <v>437.48099999999999</v>
      </c>
      <c r="N117" s="17">
        <v>410.70299999999997</v>
      </c>
      <c r="O117" s="17">
        <v>409.77100000000002</v>
      </c>
      <c r="P117" s="17">
        <v>548.26400000000001</v>
      </c>
      <c r="Q117" s="17">
        <v>414.70600000000002</v>
      </c>
      <c r="R117" s="17"/>
      <c r="S117" s="17">
        <v>463.89</v>
      </c>
      <c r="T117" s="17"/>
      <c r="U117" s="17">
        <v>401.95400000000001</v>
      </c>
      <c r="V117" s="17">
        <v>404.37200000000001</v>
      </c>
      <c r="W117" s="17"/>
      <c r="X117" s="17">
        <v>427.69200000000001</v>
      </c>
      <c r="Y117" s="17">
        <v>676.98299999999995</v>
      </c>
      <c r="Z117" s="17">
        <v>400.25099999999998</v>
      </c>
      <c r="AA117" s="17">
        <v>430.25900000000001</v>
      </c>
      <c r="AB117" s="17">
        <v>408.48399999999998</v>
      </c>
      <c r="AC117" s="17">
        <v>400.214</v>
      </c>
      <c r="AD117" s="17">
        <v>412.02100000000002</v>
      </c>
      <c r="AE117" s="17">
        <v>394.51299999999998</v>
      </c>
    </row>
    <row r="118" spans="1:31" x14ac:dyDescent="0.35">
      <c r="A118" s="3">
        <f t="shared" si="98"/>
        <v>102</v>
      </c>
      <c r="B118" s="17">
        <v>412.30399999999997</v>
      </c>
      <c r="C118" s="17">
        <v>411.00099999999998</v>
      </c>
      <c r="D118" s="17">
        <v>404.11</v>
      </c>
      <c r="E118" s="17">
        <v>425.96899999999999</v>
      </c>
      <c r="F118" s="17">
        <v>399.12099999999998</v>
      </c>
      <c r="G118" s="17">
        <v>411.23700000000002</v>
      </c>
      <c r="H118" s="17">
        <v>401.58499999999998</v>
      </c>
      <c r="I118" s="17">
        <v>481.12400000000002</v>
      </c>
      <c r="J118" s="17">
        <v>409.161</v>
      </c>
      <c r="K118" s="17">
        <v>454.18400000000003</v>
      </c>
      <c r="L118" s="17">
        <v>415.30200000000002</v>
      </c>
      <c r="M118" s="17">
        <v>438.24200000000002</v>
      </c>
      <c r="N118" s="17">
        <v>409.995</v>
      </c>
      <c r="O118" s="17">
        <v>409.20499999999998</v>
      </c>
      <c r="P118" s="17">
        <v>548.46699999999998</v>
      </c>
      <c r="Q118" s="17">
        <v>415.15699999999998</v>
      </c>
      <c r="R118" s="17"/>
      <c r="S118" s="17">
        <v>465.26499999999999</v>
      </c>
      <c r="T118" s="17"/>
      <c r="U118" s="17">
        <v>401.72</v>
      </c>
      <c r="V118" s="17">
        <v>405.44499999999999</v>
      </c>
      <c r="W118" s="17"/>
      <c r="X118" s="17">
        <v>426.98</v>
      </c>
      <c r="Y118" s="17">
        <v>678.899</v>
      </c>
      <c r="Z118" s="17">
        <v>400.65800000000002</v>
      </c>
      <c r="AA118" s="17">
        <v>431.90899999999999</v>
      </c>
      <c r="AB118" s="17">
        <v>408.36099999999999</v>
      </c>
      <c r="AC118" s="17">
        <v>397.666</v>
      </c>
      <c r="AD118" s="17">
        <v>411.36399999999998</v>
      </c>
      <c r="AE118" s="17">
        <v>400.92099999999999</v>
      </c>
    </row>
    <row r="119" spans="1:31" x14ac:dyDescent="0.35">
      <c r="A119" s="3">
        <f t="shared" si="98"/>
        <v>103</v>
      </c>
      <c r="B119" s="17">
        <v>412.33800000000002</v>
      </c>
      <c r="C119" s="17">
        <v>410.93799999999999</v>
      </c>
      <c r="D119" s="17">
        <v>403.71100000000001</v>
      </c>
      <c r="E119" s="17">
        <v>427.05700000000002</v>
      </c>
      <c r="F119" s="17">
        <v>398.96</v>
      </c>
      <c r="G119" s="17">
        <v>409.81599999999997</v>
      </c>
      <c r="H119" s="17">
        <v>399.779</v>
      </c>
      <c r="I119" s="17">
        <v>481.66199999999998</v>
      </c>
      <c r="J119" s="17">
        <v>409.649</v>
      </c>
      <c r="K119" s="17">
        <v>453.28699999999998</v>
      </c>
      <c r="L119" s="17">
        <v>414.19099999999997</v>
      </c>
      <c r="M119" s="17">
        <v>437.89600000000002</v>
      </c>
      <c r="N119" s="17">
        <v>410.25</v>
      </c>
      <c r="O119" s="17">
        <v>407.87700000000001</v>
      </c>
      <c r="P119" s="17">
        <v>548.61300000000006</v>
      </c>
      <c r="Q119" s="17">
        <v>414.89299999999997</v>
      </c>
      <c r="R119" s="17"/>
      <c r="S119" s="17">
        <v>465.11200000000002</v>
      </c>
      <c r="T119" s="17"/>
      <c r="U119" s="17">
        <v>402.72199999999998</v>
      </c>
      <c r="V119" s="17">
        <v>406.06900000000002</v>
      </c>
      <c r="W119" s="17"/>
      <c r="X119" s="17">
        <v>426.32</v>
      </c>
      <c r="Y119" s="17">
        <v>676.69799999999998</v>
      </c>
      <c r="Z119" s="17">
        <v>401.11200000000002</v>
      </c>
      <c r="AA119" s="17">
        <v>432.161</v>
      </c>
      <c r="AB119" s="17">
        <v>408.28500000000003</v>
      </c>
      <c r="AC119" s="17">
        <v>400.38400000000001</v>
      </c>
      <c r="AD119" s="17">
        <v>412.40300000000002</v>
      </c>
      <c r="AE119" s="17">
        <v>396.62</v>
      </c>
    </row>
    <row r="120" spans="1:31" x14ac:dyDescent="0.35">
      <c r="A120" s="3">
        <f t="shared" si="98"/>
        <v>104</v>
      </c>
      <c r="B120" s="17">
        <v>411.76600000000002</v>
      </c>
      <c r="C120" s="17">
        <v>411.274</v>
      </c>
      <c r="D120" s="17">
        <v>403.86399999999998</v>
      </c>
      <c r="E120" s="17">
        <v>426.13900000000001</v>
      </c>
      <c r="F120" s="17">
        <v>400.21600000000001</v>
      </c>
      <c r="G120" s="17">
        <v>411.11099999999999</v>
      </c>
      <c r="H120" s="17">
        <v>400.92599999999999</v>
      </c>
      <c r="I120" s="17">
        <v>480.54199999999997</v>
      </c>
      <c r="J120" s="17">
        <v>408.721</v>
      </c>
      <c r="K120" s="17">
        <v>454.572</v>
      </c>
      <c r="L120" s="17">
        <v>415.34100000000001</v>
      </c>
      <c r="M120" s="17">
        <v>438.70600000000002</v>
      </c>
      <c r="N120" s="17">
        <v>411.80599999999998</v>
      </c>
      <c r="O120" s="17">
        <v>408.22</v>
      </c>
      <c r="P120" s="17">
        <v>549.25199999999995</v>
      </c>
      <c r="Q120" s="17">
        <v>415.39800000000002</v>
      </c>
      <c r="R120" s="17"/>
      <c r="S120" s="17">
        <v>466.02300000000002</v>
      </c>
      <c r="T120" s="17"/>
      <c r="U120" s="17">
        <v>402.17599999999999</v>
      </c>
      <c r="V120" s="17">
        <v>405.11700000000002</v>
      </c>
      <c r="W120" s="17"/>
      <c r="X120" s="17">
        <v>426.28899999999999</v>
      </c>
      <c r="Y120" s="17">
        <v>676.88699999999994</v>
      </c>
      <c r="Z120" s="17">
        <v>400.827</v>
      </c>
      <c r="AA120" s="17">
        <v>431.17099999999999</v>
      </c>
      <c r="AB120" s="17">
        <v>408.78500000000003</v>
      </c>
      <c r="AC120" s="17">
        <v>396.613</v>
      </c>
      <c r="AD120" s="17">
        <v>412.89800000000002</v>
      </c>
      <c r="AE120" s="17">
        <v>397.20600000000002</v>
      </c>
    </row>
    <row r="121" spans="1:31" x14ac:dyDescent="0.35">
      <c r="A121" s="3">
        <f t="shared" si="98"/>
        <v>105</v>
      </c>
      <c r="B121" s="17">
        <v>412.084</v>
      </c>
      <c r="C121" s="17">
        <v>411.81099999999998</v>
      </c>
      <c r="D121" s="17">
        <v>403.84399999999999</v>
      </c>
      <c r="E121" s="17">
        <v>427.50700000000001</v>
      </c>
      <c r="F121" s="17">
        <v>400.32600000000002</v>
      </c>
      <c r="G121" s="17">
        <v>409.74700000000001</v>
      </c>
      <c r="H121" s="17">
        <v>400.41800000000001</v>
      </c>
      <c r="I121" s="17">
        <v>480.67899999999997</v>
      </c>
      <c r="J121" s="17">
        <v>408.904</v>
      </c>
      <c r="K121" s="17">
        <v>454.173</v>
      </c>
      <c r="L121" s="17">
        <v>414.71300000000002</v>
      </c>
      <c r="M121" s="17">
        <v>437.94400000000002</v>
      </c>
      <c r="N121" s="17">
        <v>411.34500000000003</v>
      </c>
      <c r="O121" s="17">
        <v>409.37599999999998</v>
      </c>
      <c r="P121" s="17">
        <v>548.92600000000004</v>
      </c>
      <c r="Q121" s="17">
        <v>415.51600000000002</v>
      </c>
      <c r="R121" s="17"/>
      <c r="S121" s="17">
        <v>465.11200000000002</v>
      </c>
      <c r="T121" s="17"/>
      <c r="U121" s="17">
        <v>402.51600000000002</v>
      </c>
      <c r="V121" s="17">
        <v>404.53300000000002</v>
      </c>
      <c r="W121" s="17"/>
      <c r="X121" s="17">
        <v>428.27499999999998</v>
      </c>
      <c r="Y121" s="17">
        <v>676.92399999999998</v>
      </c>
      <c r="Z121" s="17">
        <v>400.125</v>
      </c>
      <c r="AA121" s="17">
        <v>430.99299999999999</v>
      </c>
      <c r="AB121" s="17">
        <v>408.49299999999999</v>
      </c>
      <c r="AC121" s="17">
        <v>398.52300000000002</v>
      </c>
      <c r="AD121" s="17">
        <v>410.08</v>
      </c>
      <c r="AE121" s="17">
        <v>396.11</v>
      </c>
    </row>
    <row r="122" spans="1:31" x14ac:dyDescent="0.35">
      <c r="A122" s="3">
        <f t="shared" si="98"/>
        <v>106</v>
      </c>
      <c r="B122" s="17">
        <v>412.85199999999998</v>
      </c>
      <c r="C122" s="17">
        <v>410.91899999999998</v>
      </c>
      <c r="D122" s="17">
        <v>404.50400000000002</v>
      </c>
      <c r="E122" s="17">
        <v>427.03100000000001</v>
      </c>
      <c r="F122" s="17">
        <v>400.35599999999999</v>
      </c>
      <c r="G122" s="17">
        <v>411.25299999999999</v>
      </c>
      <c r="H122" s="17">
        <v>400.87799999999999</v>
      </c>
      <c r="I122" s="17">
        <v>481.20100000000002</v>
      </c>
      <c r="J122" s="17">
        <v>409.2</v>
      </c>
      <c r="K122" s="17">
        <v>454.94099999999997</v>
      </c>
      <c r="L122" s="17">
        <v>412.99200000000002</v>
      </c>
      <c r="M122" s="17">
        <v>438.65800000000002</v>
      </c>
      <c r="N122" s="17">
        <v>410.33300000000003</v>
      </c>
      <c r="O122" s="17">
        <v>408.79899999999998</v>
      </c>
      <c r="P122" s="17">
        <v>549.48299999999995</v>
      </c>
      <c r="Q122" s="17">
        <v>415.548</v>
      </c>
      <c r="R122" s="17"/>
      <c r="S122" s="17">
        <v>465.52699999999999</v>
      </c>
      <c r="T122" s="17"/>
      <c r="U122" s="17">
        <v>402.39400000000001</v>
      </c>
      <c r="V122" s="17">
        <v>403.41800000000001</v>
      </c>
      <c r="W122" s="17"/>
      <c r="X122" s="17">
        <v>426.39499999999998</v>
      </c>
      <c r="Y122" s="17">
        <v>677.42700000000002</v>
      </c>
      <c r="Z122" s="17">
        <v>400.83199999999999</v>
      </c>
      <c r="AA122" s="17">
        <v>431.34399999999999</v>
      </c>
      <c r="AB122" s="17">
        <v>407.57499999999999</v>
      </c>
      <c r="AC122" s="17">
        <v>397.84699999999998</v>
      </c>
      <c r="AD122" s="17">
        <v>412.06200000000001</v>
      </c>
      <c r="AE122" s="17">
        <v>399.29199999999997</v>
      </c>
    </row>
    <row r="123" spans="1:31" x14ac:dyDescent="0.35">
      <c r="A123" s="3">
        <f t="shared" si="98"/>
        <v>107</v>
      </c>
      <c r="B123" s="17">
        <v>412.952</v>
      </c>
      <c r="C123" s="17">
        <v>411.339</v>
      </c>
      <c r="D123" s="17">
        <v>404.22899999999998</v>
      </c>
      <c r="E123" s="17">
        <v>426.47</v>
      </c>
      <c r="F123" s="17">
        <v>400.55700000000002</v>
      </c>
      <c r="G123" s="17">
        <v>410.42200000000003</v>
      </c>
      <c r="H123" s="17">
        <v>400.197</v>
      </c>
      <c r="I123" s="17">
        <v>481.529</v>
      </c>
      <c r="J123" s="17">
        <v>409.44400000000002</v>
      </c>
      <c r="K123" s="17">
        <v>453.68900000000002</v>
      </c>
      <c r="L123" s="17">
        <v>414.03699999999998</v>
      </c>
      <c r="M123" s="17">
        <v>438.40199999999999</v>
      </c>
      <c r="N123" s="17">
        <v>411.04399999999998</v>
      </c>
      <c r="O123" s="17">
        <v>409.45800000000003</v>
      </c>
      <c r="P123" s="17">
        <v>548.85699999999997</v>
      </c>
      <c r="Q123" s="17">
        <v>414.99</v>
      </c>
      <c r="R123" s="17"/>
      <c r="S123" s="17">
        <v>465.37900000000002</v>
      </c>
      <c r="T123" s="17"/>
      <c r="U123" s="17">
        <v>402.80599999999998</v>
      </c>
      <c r="V123" s="17">
        <v>405.33499999999998</v>
      </c>
      <c r="W123" s="17"/>
      <c r="X123" s="17">
        <v>426.89299999999997</v>
      </c>
      <c r="Y123" s="17">
        <v>676.43299999999999</v>
      </c>
      <c r="Z123" s="17">
        <v>400.68299999999999</v>
      </c>
      <c r="AA123" s="17">
        <v>430.89400000000001</v>
      </c>
      <c r="AB123" s="17">
        <v>408.952</v>
      </c>
      <c r="AC123" s="17">
        <v>398.40899999999999</v>
      </c>
      <c r="AD123" s="17">
        <v>412.93099999999998</v>
      </c>
      <c r="AE123" s="17">
        <v>402.55399999999997</v>
      </c>
    </row>
    <row r="124" spans="1:31" x14ac:dyDescent="0.35">
      <c r="A124" s="3">
        <f t="shared" si="98"/>
        <v>108</v>
      </c>
      <c r="B124" s="17">
        <v>412.51100000000002</v>
      </c>
      <c r="C124" s="17">
        <v>411.99400000000003</v>
      </c>
      <c r="D124" s="17">
        <v>405.11799999999999</v>
      </c>
      <c r="E124" s="17">
        <v>426.15199999999999</v>
      </c>
      <c r="F124" s="17">
        <v>400.35199999999998</v>
      </c>
      <c r="G124" s="17">
        <v>411.67599999999999</v>
      </c>
      <c r="H124" s="17">
        <v>401.137</v>
      </c>
      <c r="I124" s="17">
        <v>481.06900000000002</v>
      </c>
      <c r="J124" s="17">
        <v>408.97399999999999</v>
      </c>
      <c r="K124" s="17">
        <v>454.99</v>
      </c>
      <c r="L124" s="17">
        <v>414.61599999999999</v>
      </c>
      <c r="M124" s="17">
        <v>437.85599999999999</v>
      </c>
      <c r="N124" s="17">
        <v>411.62900000000002</v>
      </c>
      <c r="O124" s="17">
        <v>408.79199999999997</v>
      </c>
      <c r="P124" s="17">
        <v>549.18600000000004</v>
      </c>
      <c r="Q124" s="17">
        <v>414.59800000000001</v>
      </c>
      <c r="R124" s="17"/>
      <c r="S124" s="17">
        <v>466.68099999999998</v>
      </c>
      <c r="T124" s="17"/>
      <c r="U124" s="17">
        <v>400.64600000000002</v>
      </c>
      <c r="V124" s="17">
        <v>405.72899999999998</v>
      </c>
      <c r="W124" s="17"/>
      <c r="X124" s="17">
        <v>426.45699999999999</v>
      </c>
      <c r="Y124" s="17">
        <v>676.46400000000006</v>
      </c>
      <c r="Z124" s="17">
        <v>401.35500000000002</v>
      </c>
      <c r="AA124" s="17">
        <v>431.108</v>
      </c>
      <c r="AB124" s="17">
        <v>409.69900000000001</v>
      </c>
      <c r="AC124" s="17">
        <v>397.88200000000001</v>
      </c>
      <c r="AD124" s="17">
        <v>413.65100000000001</v>
      </c>
      <c r="AE124" s="17">
        <v>396.303</v>
      </c>
    </row>
    <row r="125" spans="1:31" x14ac:dyDescent="0.35">
      <c r="A125" s="3">
        <f t="shared" si="98"/>
        <v>109</v>
      </c>
      <c r="B125" s="17">
        <v>412.02600000000001</v>
      </c>
      <c r="C125" s="17">
        <v>411.82299999999998</v>
      </c>
      <c r="D125" s="17">
        <v>404.13900000000001</v>
      </c>
      <c r="E125" s="17">
        <v>426.82499999999999</v>
      </c>
      <c r="F125" s="17">
        <v>400.05700000000002</v>
      </c>
      <c r="G125" s="17">
        <v>411.48099999999999</v>
      </c>
      <c r="H125" s="17">
        <v>399.79</v>
      </c>
      <c r="I125" s="17">
        <v>481.51400000000001</v>
      </c>
      <c r="J125" s="17">
        <v>409.10599999999999</v>
      </c>
      <c r="K125" s="17">
        <v>453.80799999999999</v>
      </c>
      <c r="L125" s="17">
        <v>413.74</v>
      </c>
      <c r="M125" s="17">
        <v>438.32900000000001</v>
      </c>
      <c r="N125" s="17">
        <v>411.09500000000003</v>
      </c>
      <c r="O125" s="17">
        <v>408.77</v>
      </c>
      <c r="P125" s="17">
        <v>549.09100000000001</v>
      </c>
      <c r="Q125" s="17">
        <v>416.404</v>
      </c>
      <c r="R125" s="17"/>
      <c r="S125" s="17">
        <v>465.37200000000001</v>
      </c>
      <c r="T125" s="17"/>
      <c r="U125" s="17">
        <v>403.47699999999998</v>
      </c>
      <c r="V125" s="17">
        <v>406.90199999999999</v>
      </c>
      <c r="W125" s="17"/>
      <c r="X125" s="17">
        <v>427.755</v>
      </c>
      <c r="Y125" s="17">
        <v>675.572</v>
      </c>
      <c r="Z125" s="17">
        <v>400.58100000000002</v>
      </c>
      <c r="AA125" s="17">
        <v>431.911</v>
      </c>
      <c r="AB125" s="17">
        <v>410.16199999999998</v>
      </c>
      <c r="AC125" s="17">
        <v>398.11</v>
      </c>
      <c r="AD125" s="17">
        <v>412.87400000000002</v>
      </c>
      <c r="AE125" s="17">
        <v>400.18</v>
      </c>
    </row>
    <row r="126" spans="1:31" x14ac:dyDescent="0.35">
      <c r="A126" s="3">
        <f t="shared" si="98"/>
        <v>110</v>
      </c>
      <c r="B126" s="17">
        <v>412.55900000000003</v>
      </c>
      <c r="C126" s="17">
        <v>410.86599999999999</v>
      </c>
      <c r="D126" s="17">
        <v>404.20100000000002</v>
      </c>
      <c r="E126" s="17">
        <v>426.11799999999999</v>
      </c>
      <c r="F126" s="17">
        <v>399.83600000000001</v>
      </c>
      <c r="G126" s="17">
        <v>410.81099999999998</v>
      </c>
      <c r="H126" s="17">
        <v>400.66899999999998</v>
      </c>
      <c r="I126" s="17">
        <v>481.25900000000001</v>
      </c>
      <c r="J126" s="17">
        <v>408.91800000000001</v>
      </c>
      <c r="K126" s="17">
        <v>455.56900000000002</v>
      </c>
      <c r="L126" s="17">
        <v>414.09199999999998</v>
      </c>
      <c r="M126" s="17">
        <v>438.113</v>
      </c>
      <c r="N126" s="17">
        <v>411.35399999999998</v>
      </c>
      <c r="O126" s="17">
        <v>408.53199999999998</v>
      </c>
      <c r="P126" s="17">
        <v>549.06200000000001</v>
      </c>
      <c r="Q126" s="17">
        <v>415.87099999999998</v>
      </c>
      <c r="R126" s="17"/>
      <c r="S126" s="17">
        <v>465.93700000000001</v>
      </c>
      <c r="T126" s="17"/>
      <c r="U126" s="17">
        <v>401.76900000000001</v>
      </c>
      <c r="V126" s="17">
        <v>406.19400000000002</v>
      </c>
      <c r="W126" s="17"/>
      <c r="X126" s="17">
        <v>427.42599999999999</v>
      </c>
      <c r="Y126" s="17">
        <v>676.28599999999994</v>
      </c>
      <c r="Z126" s="17">
        <v>401.07400000000001</v>
      </c>
      <c r="AA126" s="17">
        <v>431.22</v>
      </c>
      <c r="AB126" s="17">
        <v>408.69900000000001</v>
      </c>
      <c r="AC126" s="17">
        <v>398.68599999999998</v>
      </c>
      <c r="AD126" s="17">
        <v>413.41399999999999</v>
      </c>
      <c r="AE126" s="17">
        <v>394.40600000000001</v>
      </c>
    </row>
    <row r="127" spans="1:31" x14ac:dyDescent="0.35">
      <c r="A127" s="3">
        <f t="shared" si="98"/>
        <v>111</v>
      </c>
      <c r="B127" s="17">
        <v>412.55200000000002</v>
      </c>
      <c r="C127" s="17">
        <v>411.80900000000003</v>
      </c>
      <c r="D127" s="17">
        <v>404.93099999999998</v>
      </c>
      <c r="E127" s="17">
        <v>426.22699999999998</v>
      </c>
      <c r="F127" s="17">
        <v>399.28500000000003</v>
      </c>
      <c r="G127" s="17">
        <v>411.88</v>
      </c>
      <c r="H127" s="17">
        <v>399.803</v>
      </c>
      <c r="I127" s="17">
        <v>481.214</v>
      </c>
      <c r="J127" s="17">
        <v>408.62799999999999</v>
      </c>
      <c r="K127" s="17">
        <v>453.54700000000003</v>
      </c>
      <c r="L127" s="17">
        <v>415.04700000000003</v>
      </c>
      <c r="M127" s="17">
        <v>438.03199999999998</v>
      </c>
      <c r="N127" s="17">
        <v>411.11399999999998</v>
      </c>
      <c r="O127" s="17">
        <v>408.43900000000002</v>
      </c>
      <c r="P127" s="17">
        <v>548.78599999999994</v>
      </c>
      <c r="Q127" s="17">
        <v>415.84100000000001</v>
      </c>
      <c r="R127" s="17"/>
      <c r="S127" s="17">
        <v>464.97300000000001</v>
      </c>
      <c r="T127" s="17"/>
      <c r="U127" s="17">
        <v>402.08</v>
      </c>
      <c r="V127" s="17">
        <v>406.19900000000001</v>
      </c>
      <c r="W127" s="17"/>
      <c r="X127" s="17">
        <v>427.24299999999999</v>
      </c>
      <c r="Y127" s="17">
        <v>675.202</v>
      </c>
      <c r="Z127" s="17">
        <v>400.98899999999998</v>
      </c>
      <c r="AA127" s="17">
        <v>432.58800000000002</v>
      </c>
      <c r="AB127" s="17">
        <v>408.33600000000001</v>
      </c>
      <c r="AC127" s="17">
        <v>397.435</v>
      </c>
      <c r="AD127" s="17">
        <v>412.47300000000001</v>
      </c>
      <c r="AE127" s="17">
        <v>399.06099999999998</v>
      </c>
    </row>
    <row r="128" spans="1:31" x14ac:dyDescent="0.35">
      <c r="A128" s="3">
        <f t="shared" si="98"/>
        <v>112</v>
      </c>
      <c r="B128" s="17">
        <v>413.11</v>
      </c>
      <c r="C128" s="17">
        <v>411.24299999999999</v>
      </c>
      <c r="D128" s="17">
        <v>405.40100000000001</v>
      </c>
      <c r="E128" s="17">
        <v>427.55500000000001</v>
      </c>
      <c r="F128" s="17">
        <v>400.37700000000001</v>
      </c>
      <c r="G128" s="17">
        <v>410.70100000000002</v>
      </c>
      <c r="H128" s="17">
        <v>400.34800000000001</v>
      </c>
      <c r="I128" s="17">
        <v>481.01499999999999</v>
      </c>
      <c r="J128" s="17">
        <v>409.19499999999999</v>
      </c>
      <c r="K128" s="17">
        <v>453.93900000000002</v>
      </c>
      <c r="L128" s="17">
        <v>412.49200000000002</v>
      </c>
      <c r="M128" s="17">
        <v>438.541</v>
      </c>
      <c r="N128" s="17">
        <v>411.62700000000001</v>
      </c>
      <c r="O128" s="17">
        <v>408.39400000000001</v>
      </c>
      <c r="P128" s="17">
        <v>548.79999999999995</v>
      </c>
      <c r="Q128" s="17">
        <v>417.29899999999998</v>
      </c>
      <c r="R128" s="17"/>
      <c r="S128" s="17">
        <v>465.27699999999999</v>
      </c>
      <c r="T128" s="17"/>
      <c r="U128" s="17">
        <v>402.084</v>
      </c>
      <c r="V128" s="17">
        <v>406.32</v>
      </c>
      <c r="W128" s="17"/>
      <c r="X128" s="17">
        <v>427.71</v>
      </c>
      <c r="Y128" s="17">
        <v>676.31399999999996</v>
      </c>
      <c r="Z128" s="17">
        <v>401.09899999999999</v>
      </c>
      <c r="AA128" s="17">
        <v>431.96699999999998</v>
      </c>
      <c r="AB128" s="17">
        <v>409.00700000000001</v>
      </c>
      <c r="AC128" s="17">
        <v>398.827</v>
      </c>
      <c r="AD128" s="17">
        <v>412.73099999999999</v>
      </c>
      <c r="AE128" s="17">
        <v>395.12900000000002</v>
      </c>
    </row>
    <row r="129" spans="1:31" x14ac:dyDescent="0.35">
      <c r="A129" s="3">
        <f t="shared" si="98"/>
        <v>113</v>
      </c>
      <c r="B129" s="17">
        <v>412.18400000000003</v>
      </c>
      <c r="C129" s="17">
        <v>410.923</v>
      </c>
      <c r="D129" s="17">
        <v>404.87099999999998</v>
      </c>
      <c r="E129" s="17">
        <v>426.55700000000002</v>
      </c>
      <c r="F129" s="17">
        <v>401.29399999999998</v>
      </c>
      <c r="G129" s="17">
        <v>411.00200000000001</v>
      </c>
      <c r="H129" s="17">
        <v>401.04599999999999</v>
      </c>
      <c r="I129" s="17">
        <v>481.43200000000002</v>
      </c>
      <c r="J129" s="17">
        <v>409.226</v>
      </c>
      <c r="K129" s="17">
        <v>453.858</v>
      </c>
      <c r="L129" s="17">
        <v>414.97699999999998</v>
      </c>
      <c r="M129" s="17">
        <v>439.041</v>
      </c>
      <c r="N129" s="17">
        <v>410.89800000000002</v>
      </c>
      <c r="O129" s="17">
        <v>407.81400000000002</v>
      </c>
      <c r="P129" s="17">
        <v>548.43100000000004</v>
      </c>
      <c r="Q129" s="17">
        <v>416.10899999999998</v>
      </c>
      <c r="R129" s="17"/>
      <c r="S129" s="17">
        <v>464.00200000000001</v>
      </c>
      <c r="T129" s="17"/>
      <c r="U129" s="17">
        <v>403.02</v>
      </c>
      <c r="V129" s="17">
        <v>406.44799999999998</v>
      </c>
      <c r="W129" s="17"/>
      <c r="X129" s="17">
        <v>427.577</v>
      </c>
      <c r="Y129" s="17">
        <v>674.76700000000005</v>
      </c>
      <c r="Z129" s="17">
        <v>401.24200000000002</v>
      </c>
      <c r="AA129" s="17">
        <v>432.35399999999998</v>
      </c>
      <c r="AB129" s="17">
        <v>407.87200000000001</v>
      </c>
      <c r="AC129" s="17">
        <v>398.18799999999999</v>
      </c>
      <c r="AD129" s="17">
        <v>412.95</v>
      </c>
      <c r="AE129" s="17">
        <v>397.55099999999999</v>
      </c>
    </row>
    <row r="130" spans="1:31" x14ac:dyDescent="0.35">
      <c r="A130" s="3">
        <f t="shared" si="98"/>
        <v>114</v>
      </c>
      <c r="B130" s="17">
        <v>412.45299999999997</v>
      </c>
      <c r="C130" s="17">
        <v>412.12599999999998</v>
      </c>
      <c r="D130" s="17">
        <v>405.05200000000002</v>
      </c>
      <c r="E130" s="17">
        <v>427.87099999999998</v>
      </c>
      <c r="F130" s="17">
        <v>400.14</v>
      </c>
      <c r="G130" s="17">
        <v>410.98200000000003</v>
      </c>
      <c r="H130" s="17">
        <v>399.53</v>
      </c>
      <c r="I130" s="17">
        <v>481.47399999999999</v>
      </c>
      <c r="J130" s="17">
        <v>409.726</v>
      </c>
      <c r="K130" s="17">
        <v>453.24700000000001</v>
      </c>
      <c r="L130" s="17">
        <v>414.548</v>
      </c>
      <c r="M130" s="17">
        <v>438.20800000000003</v>
      </c>
      <c r="N130" s="17">
        <v>410.47800000000001</v>
      </c>
      <c r="O130" s="17">
        <v>409.416</v>
      </c>
      <c r="P130" s="17">
        <v>549.05100000000004</v>
      </c>
      <c r="Q130" s="17">
        <v>417.291</v>
      </c>
      <c r="R130" s="17"/>
      <c r="S130" s="17">
        <v>465.935</v>
      </c>
      <c r="T130" s="17"/>
      <c r="U130" s="17">
        <v>402.55599999999998</v>
      </c>
      <c r="V130" s="17">
        <v>404.57400000000001</v>
      </c>
      <c r="W130" s="17"/>
      <c r="X130" s="17">
        <v>428.06900000000002</v>
      </c>
      <c r="Y130" s="17">
        <v>676.45600000000002</v>
      </c>
      <c r="Z130" s="17">
        <v>400.94200000000001</v>
      </c>
      <c r="AA130" s="17">
        <v>429.42</v>
      </c>
      <c r="AB130" s="17">
        <v>408.964</v>
      </c>
      <c r="AC130" s="17">
        <v>400.46</v>
      </c>
      <c r="AD130" s="17">
        <v>412.69799999999998</v>
      </c>
      <c r="AE130" s="17">
        <v>398.07</v>
      </c>
    </row>
    <row r="131" spans="1:31" x14ac:dyDescent="0.35">
      <c r="A131" s="3">
        <f t="shared" si="98"/>
        <v>115</v>
      </c>
      <c r="B131" s="17">
        <v>412.85899999999998</v>
      </c>
      <c r="C131" s="17">
        <v>412.71199999999999</v>
      </c>
      <c r="D131" s="17">
        <v>405.577</v>
      </c>
      <c r="E131" s="17">
        <v>426.86</v>
      </c>
      <c r="F131" s="17">
        <v>400.96</v>
      </c>
      <c r="G131" s="17">
        <v>410.92899999999997</v>
      </c>
      <c r="H131" s="17">
        <v>400.38099999999997</v>
      </c>
      <c r="I131" s="17">
        <v>480.589</v>
      </c>
      <c r="J131" s="17">
        <v>409.05099999999999</v>
      </c>
      <c r="K131" s="17">
        <v>453.90600000000001</v>
      </c>
      <c r="L131" s="17">
        <v>413.95</v>
      </c>
      <c r="M131" s="17">
        <v>439.45600000000002</v>
      </c>
      <c r="N131" s="17">
        <v>410.72300000000001</v>
      </c>
      <c r="O131" s="17">
        <v>408.97</v>
      </c>
      <c r="P131" s="17">
        <v>548.57600000000002</v>
      </c>
      <c r="Q131" s="17">
        <v>415.81200000000001</v>
      </c>
      <c r="R131" s="17"/>
      <c r="S131" s="17">
        <v>465.88</v>
      </c>
      <c r="T131" s="17"/>
      <c r="U131" s="17">
        <v>401.42099999999999</v>
      </c>
      <c r="V131" s="17">
        <v>407.52600000000001</v>
      </c>
      <c r="W131" s="17"/>
      <c r="X131" s="17">
        <v>428.18</v>
      </c>
      <c r="Y131" s="17">
        <v>676.60400000000004</v>
      </c>
      <c r="Z131" s="17">
        <v>401.50700000000001</v>
      </c>
      <c r="AA131" s="17">
        <v>430.44900000000001</v>
      </c>
      <c r="AB131" s="17">
        <v>408.62</v>
      </c>
      <c r="AC131" s="17">
        <v>400.08199999999999</v>
      </c>
      <c r="AD131" s="17">
        <v>413.43400000000003</v>
      </c>
      <c r="AE131" s="17">
        <v>396.30700000000002</v>
      </c>
    </row>
    <row r="132" spans="1:31" x14ac:dyDescent="0.35">
      <c r="A132" s="3">
        <f t="shared" si="98"/>
        <v>116</v>
      </c>
      <c r="B132" s="17">
        <v>412.63799999999998</v>
      </c>
      <c r="C132" s="17">
        <v>412.041</v>
      </c>
      <c r="D132" s="17">
        <v>404.601</v>
      </c>
      <c r="E132" s="17">
        <v>427.02800000000002</v>
      </c>
      <c r="F132" s="17">
        <v>399.923</v>
      </c>
      <c r="G132" s="17">
        <v>411.03300000000002</v>
      </c>
      <c r="H132" s="17">
        <v>399.96199999999999</v>
      </c>
      <c r="I132" s="17">
        <v>481.72899999999998</v>
      </c>
      <c r="J132" s="17">
        <v>408.983</v>
      </c>
      <c r="K132" s="17">
        <v>454.15899999999999</v>
      </c>
      <c r="L132" s="17">
        <v>414.92099999999999</v>
      </c>
      <c r="M132" s="17">
        <v>438.66</v>
      </c>
      <c r="N132" s="17">
        <v>411.31700000000001</v>
      </c>
      <c r="O132" s="17">
        <v>409.726</v>
      </c>
      <c r="P132" s="17">
        <v>548.01300000000003</v>
      </c>
      <c r="Q132" s="17">
        <v>416.726</v>
      </c>
      <c r="R132" s="17"/>
      <c r="S132" s="17">
        <v>464.98700000000002</v>
      </c>
      <c r="T132" s="17"/>
      <c r="U132" s="17">
        <v>402.892</v>
      </c>
      <c r="V132" s="17">
        <v>406.07499999999999</v>
      </c>
      <c r="W132" s="17"/>
      <c r="X132" s="17">
        <v>427.10500000000002</v>
      </c>
      <c r="Y132" s="17">
        <v>675.82500000000005</v>
      </c>
      <c r="Z132" s="17">
        <v>401.96499999999997</v>
      </c>
      <c r="AA132" s="17">
        <v>429.82299999999998</v>
      </c>
      <c r="AB132" s="17">
        <v>408.67200000000003</v>
      </c>
      <c r="AC132" s="17">
        <v>399.428</v>
      </c>
      <c r="AD132" s="17">
        <v>413.11099999999999</v>
      </c>
      <c r="AE132" s="17">
        <v>399.46300000000002</v>
      </c>
    </row>
    <row r="133" spans="1:31" x14ac:dyDescent="0.35">
      <c r="A133" s="3">
        <f t="shared" si="98"/>
        <v>117</v>
      </c>
      <c r="B133" s="17">
        <v>412.20100000000002</v>
      </c>
      <c r="C133" s="17">
        <v>412.49200000000002</v>
      </c>
      <c r="D133" s="17">
        <v>405.38900000000001</v>
      </c>
      <c r="E133" s="17">
        <v>426.262</v>
      </c>
      <c r="F133" s="17">
        <v>400.12099999999998</v>
      </c>
      <c r="G133" s="17">
        <v>411.25599999999997</v>
      </c>
      <c r="H133" s="17">
        <v>400.39</v>
      </c>
      <c r="I133" s="17">
        <v>481.74799999999999</v>
      </c>
      <c r="J133" s="17">
        <v>409.87</v>
      </c>
      <c r="K133" s="17">
        <v>454.428</v>
      </c>
      <c r="L133" s="17">
        <v>414.38</v>
      </c>
      <c r="M133" s="17">
        <v>438.09199999999998</v>
      </c>
      <c r="N133" s="17">
        <v>411.77600000000001</v>
      </c>
      <c r="O133" s="17">
        <v>408.46800000000002</v>
      </c>
      <c r="P133" s="17">
        <v>548.14700000000005</v>
      </c>
      <c r="Q133" s="17">
        <v>416.83100000000002</v>
      </c>
      <c r="R133" s="17"/>
      <c r="S133" s="17">
        <v>466.32400000000001</v>
      </c>
      <c r="T133" s="17"/>
      <c r="U133" s="17">
        <v>403.09800000000001</v>
      </c>
      <c r="V133" s="17">
        <v>404.69099999999997</v>
      </c>
      <c r="W133" s="17"/>
      <c r="X133" s="17">
        <v>427.62799999999999</v>
      </c>
      <c r="Y133" s="17">
        <v>675.572</v>
      </c>
      <c r="Z133" s="17">
        <v>401.97699999999998</v>
      </c>
      <c r="AA133" s="17">
        <v>431.63200000000001</v>
      </c>
      <c r="AB133" s="17">
        <v>408.82900000000001</v>
      </c>
      <c r="AC133" s="17">
        <v>399.779</v>
      </c>
      <c r="AD133" s="17">
        <v>412.43299999999999</v>
      </c>
      <c r="AE133" s="17">
        <v>393.12400000000002</v>
      </c>
    </row>
    <row r="134" spans="1:31" x14ac:dyDescent="0.35">
      <c r="A134" s="3">
        <f t="shared" si="98"/>
        <v>118</v>
      </c>
      <c r="B134" s="17">
        <v>413.39299999999997</v>
      </c>
      <c r="C134" s="17">
        <v>412.46499999999997</v>
      </c>
      <c r="D134" s="17">
        <v>405.19299999999998</v>
      </c>
      <c r="E134" s="17">
        <v>426.55599999999998</v>
      </c>
      <c r="F134" s="17">
        <v>401.17500000000001</v>
      </c>
      <c r="G134" s="17">
        <v>410.82299999999998</v>
      </c>
      <c r="H134" s="17">
        <v>400.36799999999999</v>
      </c>
      <c r="I134" s="17">
        <v>482.03</v>
      </c>
      <c r="J134" s="17">
        <v>409.548</v>
      </c>
      <c r="K134" s="17">
        <v>454.05099999999999</v>
      </c>
      <c r="L134" s="17">
        <v>413.85</v>
      </c>
      <c r="M134" s="17">
        <v>437.86599999999999</v>
      </c>
      <c r="N134" s="17">
        <v>411.642</v>
      </c>
      <c r="O134" s="17">
        <v>408.67200000000003</v>
      </c>
      <c r="P134" s="17">
        <v>548.07899999999995</v>
      </c>
      <c r="Q134" s="17">
        <v>417.51600000000002</v>
      </c>
      <c r="R134" s="17"/>
      <c r="S134" s="17">
        <v>466.90800000000002</v>
      </c>
      <c r="T134" s="17"/>
      <c r="U134" s="17">
        <v>402.64299999999997</v>
      </c>
      <c r="V134" s="17">
        <v>407.37599999999998</v>
      </c>
      <c r="W134" s="17"/>
      <c r="X134" s="17">
        <v>429.923</v>
      </c>
      <c r="Y134" s="17">
        <v>676.89</v>
      </c>
      <c r="Z134" s="17">
        <v>401.92500000000001</v>
      </c>
      <c r="AA134" s="17">
        <v>431.69799999999998</v>
      </c>
      <c r="AB134" s="17">
        <v>409.16399999999999</v>
      </c>
      <c r="AC134" s="17">
        <v>399.45800000000003</v>
      </c>
      <c r="AD134" s="17">
        <v>412.53100000000001</v>
      </c>
      <c r="AE134" s="17">
        <v>400.173</v>
      </c>
    </row>
    <row r="135" spans="1:31" x14ac:dyDescent="0.35">
      <c r="A135" s="3">
        <f t="shared" si="98"/>
        <v>119</v>
      </c>
      <c r="B135" s="17">
        <v>413.03899999999999</v>
      </c>
      <c r="C135" s="17">
        <v>412.33199999999999</v>
      </c>
      <c r="D135" s="17">
        <v>405.64400000000001</v>
      </c>
      <c r="E135" s="17">
        <v>427.05799999999999</v>
      </c>
      <c r="F135" s="17">
        <v>399.82900000000001</v>
      </c>
      <c r="G135" s="17">
        <v>411.56799999999998</v>
      </c>
      <c r="H135" s="17">
        <v>400.05599999999998</v>
      </c>
      <c r="I135" s="17">
        <v>482.197</v>
      </c>
      <c r="J135" s="17">
        <v>409.12099999999998</v>
      </c>
      <c r="K135" s="17">
        <v>454.339</v>
      </c>
      <c r="L135" s="17">
        <v>413.63799999999998</v>
      </c>
      <c r="M135" s="17">
        <v>438.80099999999999</v>
      </c>
      <c r="N135" s="17">
        <v>412.55700000000002</v>
      </c>
      <c r="O135" s="17">
        <v>408.50099999999998</v>
      </c>
      <c r="P135" s="17">
        <v>548.48800000000006</v>
      </c>
      <c r="Q135" s="17">
        <v>416.15899999999999</v>
      </c>
      <c r="R135" s="17"/>
      <c r="S135" s="17">
        <v>466.08199999999999</v>
      </c>
      <c r="T135" s="17"/>
      <c r="U135" s="17">
        <v>402.60399999999998</v>
      </c>
      <c r="V135" s="17">
        <v>406.14</v>
      </c>
      <c r="W135" s="17"/>
      <c r="X135" s="17">
        <v>428.21699999999998</v>
      </c>
      <c r="Y135" s="17">
        <v>674.81600000000003</v>
      </c>
      <c r="Z135" s="17">
        <v>401.09100000000001</v>
      </c>
      <c r="AA135" s="17">
        <v>430.065</v>
      </c>
      <c r="AB135" s="17">
        <v>409.70699999999999</v>
      </c>
      <c r="AC135" s="17">
        <v>400.05</v>
      </c>
      <c r="AD135" s="17">
        <v>412.62599999999998</v>
      </c>
      <c r="AE135" s="17">
        <v>396.19400000000002</v>
      </c>
    </row>
    <row r="136" spans="1:31" x14ac:dyDescent="0.35">
      <c r="A136" s="3">
        <f t="shared" si="98"/>
        <v>120</v>
      </c>
      <c r="B136" s="17">
        <v>412.60500000000002</v>
      </c>
      <c r="C136" s="17">
        <v>411.67</v>
      </c>
      <c r="D136" s="17">
        <v>406.28300000000002</v>
      </c>
      <c r="E136" s="17">
        <v>427.19099999999997</v>
      </c>
      <c r="F136" s="17">
        <v>400.75099999999998</v>
      </c>
      <c r="G136" s="17">
        <v>411.77800000000002</v>
      </c>
      <c r="H136" s="17">
        <v>400.91500000000002</v>
      </c>
      <c r="I136" s="17">
        <v>481.87200000000001</v>
      </c>
      <c r="J136" s="17">
        <v>409.661</v>
      </c>
      <c r="K136" s="17">
        <v>453.096</v>
      </c>
      <c r="L136" s="17">
        <v>413.95600000000002</v>
      </c>
      <c r="M136" s="17">
        <v>437.33300000000003</v>
      </c>
      <c r="N136" s="17">
        <v>411.28699999999998</v>
      </c>
      <c r="O136" s="17">
        <v>408.44499999999999</v>
      </c>
      <c r="P136" s="17">
        <v>548.36500000000001</v>
      </c>
      <c r="Q136" s="17">
        <v>417.209</v>
      </c>
      <c r="R136" s="17"/>
      <c r="S136" s="17">
        <v>464.63600000000002</v>
      </c>
      <c r="T136" s="17"/>
      <c r="U136" s="17">
        <v>403.517</v>
      </c>
      <c r="V136" s="17">
        <v>406.983</v>
      </c>
      <c r="W136" s="17"/>
      <c r="X136" s="17">
        <v>428.428</v>
      </c>
      <c r="Y136" s="17">
        <v>676.15800000000002</v>
      </c>
      <c r="Z136" s="17">
        <v>400.91800000000001</v>
      </c>
      <c r="AA136" s="17">
        <v>430.36200000000002</v>
      </c>
      <c r="AB136" s="17">
        <v>409.25599999999997</v>
      </c>
      <c r="AC136" s="17">
        <v>399.04399999999998</v>
      </c>
      <c r="AD136" s="17">
        <v>411.58699999999999</v>
      </c>
      <c r="AE136" s="17">
        <v>393.50299999999999</v>
      </c>
    </row>
    <row r="137" spans="1:31" x14ac:dyDescent="0.35">
      <c r="A137" s="3">
        <f t="shared" si="98"/>
        <v>121</v>
      </c>
      <c r="B137" s="17">
        <v>412.44600000000003</v>
      </c>
      <c r="C137" s="17">
        <v>412.36900000000003</v>
      </c>
      <c r="D137" s="17">
        <v>405.69200000000001</v>
      </c>
      <c r="E137" s="17">
        <v>427.488</v>
      </c>
      <c r="F137" s="17">
        <v>401.113</v>
      </c>
      <c r="G137" s="17">
        <v>412.39400000000001</v>
      </c>
      <c r="H137" s="17">
        <v>400.84100000000001</v>
      </c>
      <c r="I137" s="17">
        <v>481.06400000000002</v>
      </c>
      <c r="J137" s="17">
        <v>408.79899999999998</v>
      </c>
      <c r="K137" s="17">
        <v>453.149</v>
      </c>
      <c r="L137" s="17">
        <v>413.18799999999999</v>
      </c>
      <c r="M137" s="17">
        <v>440.12900000000002</v>
      </c>
      <c r="N137" s="17">
        <v>411.95499999999998</v>
      </c>
      <c r="O137" s="17">
        <v>407.79500000000002</v>
      </c>
      <c r="P137" s="17">
        <v>547.548</v>
      </c>
      <c r="Q137" s="17">
        <v>416.83100000000002</v>
      </c>
      <c r="R137" s="17"/>
      <c r="S137" s="17">
        <v>465.46899999999999</v>
      </c>
      <c r="T137" s="17"/>
      <c r="U137" s="17">
        <v>401.68099999999998</v>
      </c>
      <c r="V137" s="17">
        <v>407.01600000000002</v>
      </c>
      <c r="W137" s="17"/>
      <c r="X137" s="17">
        <v>428.53399999999999</v>
      </c>
      <c r="Y137" s="17">
        <v>674.92100000000005</v>
      </c>
      <c r="Z137" s="17">
        <v>400.512</v>
      </c>
      <c r="AA137" s="17">
        <v>430.78</v>
      </c>
      <c r="AB137" s="17">
        <v>409.27199999999999</v>
      </c>
      <c r="AC137" s="17">
        <v>398.67399999999998</v>
      </c>
      <c r="AD137" s="17">
        <v>413.40699999999998</v>
      </c>
      <c r="AE137" s="17">
        <v>399.226</v>
      </c>
    </row>
    <row r="138" spans="1:31" x14ac:dyDescent="0.35">
      <c r="A138" s="3">
        <f t="shared" si="98"/>
        <v>122</v>
      </c>
      <c r="B138" s="17">
        <v>412.32600000000002</v>
      </c>
      <c r="C138" s="17">
        <v>413.32</v>
      </c>
      <c r="D138" s="17">
        <v>405.48500000000001</v>
      </c>
      <c r="E138" s="17">
        <v>426.87</v>
      </c>
      <c r="F138" s="17">
        <v>400.87099999999998</v>
      </c>
      <c r="G138" s="17">
        <v>412.66300000000001</v>
      </c>
      <c r="H138" s="17">
        <v>400.44900000000001</v>
      </c>
      <c r="I138" s="17">
        <v>480.89499999999998</v>
      </c>
      <c r="J138" s="17">
        <v>409.83600000000001</v>
      </c>
      <c r="K138" s="17">
        <v>454.85899999999998</v>
      </c>
      <c r="L138" s="17">
        <v>415.35300000000001</v>
      </c>
      <c r="M138" s="17">
        <v>438.39699999999999</v>
      </c>
      <c r="N138" s="17">
        <v>410.54899999999998</v>
      </c>
      <c r="O138" s="17">
        <v>408.34699999999998</v>
      </c>
      <c r="P138" s="17">
        <v>547.36599999999999</v>
      </c>
      <c r="Q138" s="17">
        <v>418.15899999999999</v>
      </c>
      <c r="R138" s="17"/>
      <c r="S138" s="17">
        <v>466.214</v>
      </c>
      <c r="T138" s="17"/>
      <c r="U138" s="17">
        <v>401.64800000000002</v>
      </c>
      <c r="V138" s="17">
        <v>407.61200000000002</v>
      </c>
      <c r="W138" s="17"/>
      <c r="X138" s="17">
        <v>428.65899999999999</v>
      </c>
      <c r="Y138" s="17">
        <v>675.28200000000004</v>
      </c>
      <c r="Z138" s="17">
        <v>401.673</v>
      </c>
      <c r="AA138" s="17">
        <v>431.65100000000001</v>
      </c>
      <c r="AB138" s="17">
        <v>410.42200000000003</v>
      </c>
      <c r="AC138" s="17">
        <v>397.77699999999999</v>
      </c>
      <c r="AD138" s="17">
        <v>412.59199999999998</v>
      </c>
      <c r="AE138" s="17">
        <v>402.16399999999999</v>
      </c>
    </row>
    <row r="139" spans="1:31" x14ac:dyDescent="0.35">
      <c r="A139" s="3">
        <f t="shared" si="98"/>
        <v>123</v>
      </c>
      <c r="B139" s="17">
        <v>413.46800000000002</v>
      </c>
      <c r="C139" s="17">
        <v>412.68</v>
      </c>
      <c r="D139" s="17">
        <v>405.03199999999998</v>
      </c>
      <c r="E139" s="17">
        <v>426.83800000000002</v>
      </c>
      <c r="F139" s="17">
        <v>400.815</v>
      </c>
      <c r="G139" s="17">
        <v>411.30700000000002</v>
      </c>
      <c r="H139" s="17">
        <v>400.96300000000002</v>
      </c>
      <c r="I139" s="17">
        <v>481.02499999999998</v>
      </c>
      <c r="J139" s="17">
        <v>408.86500000000001</v>
      </c>
      <c r="K139" s="17">
        <v>453.613</v>
      </c>
      <c r="L139" s="17">
        <v>414.24900000000002</v>
      </c>
      <c r="M139" s="17">
        <v>438.35500000000002</v>
      </c>
      <c r="N139" s="17">
        <v>412.22399999999999</v>
      </c>
      <c r="O139" s="17">
        <v>409.22699999999998</v>
      </c>
      <c r="P139" s="17">
        <v>548.12400000000002</v>
      </c>
      <c r="Q139" s="17">
        <v>416.86700000000002</v>
      </c>
      <c r="R139" s="17"/>
      <c r="S139" s="17">
        <v>464.38</v>
      </c>
      <c r="T139" s="17"/>
      <c r="U139" s="17">
        <v>403.54700000000003</v>
      </c>
      <c r="V139" s="17">
        <v>406.28899999999999</v>
      </c>
      <c r="W139" s="17"/>
      <c r="X139" s="17">
        <v>427.73200000000003</v>
      </c>
      <c r="Y139" s="17">
        <v>675.31500000000005</v>
      </c>
      <c r="Z139" s="17">
        <v>400.786</v>
      </c>
      <c r="AA139" s="17">
        <v>431.23</v>
      </c>
      <c r="AB139" s="17">
        <v>409.40499999999997</v>
      </c>
      <c r="AC139" s="17">
        <v>398.04599999999999</v>
      </c>
      <c r="AD139" s="17">
        <v>415.00799999999998</v>
      </c>
      <c r="AE139" s="17">
        <v>398.39400000000001</v>
      </c>
    </row>
    <row r="140" spans="1:31" x14ac:dyDescent="0.35">
      <c r="A140" s="3">
        <f t="shared" si="98"/>
        <v>124</v>
      </c>
      <c r="B140" s="17">
        <v>412.86099999999999</v>
      </c>
      <c r="C140" s="17">
        <v>412.64100000000002</v>
      </c>
      <c r="D140" s="17">
        <v>406.56400000000002</v>
      </c>
      <c r="E140" s="17">
        <v>426.54399999999998</v>
      </c>
      <c r="F140" s="17">
        <v>401.3</v>
      </c>
      <c r="G140" s="17">
        <v>411.94799999999998</v>
      </c>
      <c r="H140" s="17">
        <v>400.48</v>
      </c>
      <c r="I140" s="17">
        <v>481.35399999999998</v>
      </c>
      <c r="J140" s="17">
        <v>408.90800000000002</v>
      </c>
      <c r="K140" s="17">
        <v>454.37</v>
      </c>
      <c r="L140" s="17">
        <v>414.43099999999998</v>
      </c>
      <c r="M140" s="17">
        <v>437.899</v>
      </c>
      <c r="N140" s="17">
        <v>412.66899999999998</v>
      </c>
      <c r="O140" s="17">
        <v>409.09500000000003</v>
      </c>
      <c r="P140" s="17">
        <v>547.45500000000004</v>
      </c>
      <c r="Q140" s="17">
        <v>417.42700000000002</v>
      </c>
      <c r="R140" s="17"/>
      <c r="S140" s="17">
        <v>466.03800000000001</v>
      </c>
      <c r="T140" s="17"/>
      <c r="U140" s="17">
        <v>402.48</v>
      </c>
      <c r="V140" s="17">
        <v>405.49</v>
      </c>
      <c r="W140" s="17"/>
      <c r="X140" s="17">
        <v>428.08699999999999</v>
      </c>
      <c r="Y140" s="17">
        <v>674.94200000000001</v>
      </c>
      <c r="Z140" s="17">
        <v>401.62099999999998</v>
      </c>
      <c r="AA140" s="17">
        <v>431.459</v>
      </c>
      <c r="AB140" s="17">
        <v>411.56400000000002</v>
      </c>
      <c r="AC140" s="17">
        <v>399.39</v>
      </c>
      <c r="AD140" s="17">
        <v>413.13799999999998</v>
      </c>
      <c r="AE140" s="17">
        <v>393.43299999999999</v>
      </c>
    </row>
    <row r="141" spans="1:31" x14ac:dyDescent="0.35">
      <c r="A141" s="3">
        <f t="shared" si="98"/>
        <v>125</v>
      </c>
      <c r="B141" s="17">
        <v>412.81599999999997</v>
      </c>
      <c r="C141" s="17">
        <v>413.28800000000001</v>
      </c>
      <c r="D141" s="17">
        <v>406.17700000000002</v>
      </c>
      <c r="E141" s="17">
        <v>426.72399999999999</v>
      </c>
      <c r="F141" s="17">
        <v>401.07100000000003</v>
      </c>
      <c r="G141" s="17">
        <v>410.92</v>
      </c>
      <c r="H141" s="17">
        <v>400.74799999999999</v>
      </c>
      <c r="I141" s="17">
        <v>481.39100000000002</v>
      </c>
      <c r="J141" s="17">
        <v>409.37400000000002</v>
      </c>
      <c r="K141" s="17">
        <v>454.32299999999998</v>
      </c>
      <c r="L141" s="17">
        <v>414.79399999999998</v>
      </c>
      <c r="M141" s="17">
        <v>439.01299999999998</v>
      </c>
      <c r="N141" s="17">
        <v>412.43</v>
      </c>
      <c r="O141" s="17">
        <v>408.39499999999998</v>
      </c>
      <c r="P141" s="17">
        <v>547.61500000000001</v>
      </c>
      <c r="Q141" s="17">
        <v>417.82499999999999</v>
      </c>
      <c r="R141" s="17"/>
      <c r="S141" s="17">
        <v>465.77800000000002</v>
      </c>
      <c r="T141" s="17"/>
      <c r="U141" s="17">
        <v>403.56400000000002</v>
      </c>
      <c r="V141" s="17">
        <v>406.46899999999999</v>
      </c>
      <c r="W141" s="17"/>
      <c r="X141" s="17">
        <v>427.58100000000002</v>
      </c>
      <c r="Y141" s="17">
        <v>674.173</v>
      </c>
      <c r="Z141" s="17">
        <v>401.24599999999998</v>
      </c>
      <c r="AA141" s="17">
        <v>432.04</v>
      </c>
      <c r="AB141" s="17">
        <v>411.07299999999998</v>
      </c>
      <c r="AC141" s="17">
        <v>398.863</v>
      </c>
      <c r="AD141" s="17">
        <v>414.11900000000003</v>
      </c>
      <c r="AE141" s="17">
        <v>398.76499999999999</v>
      </c>
    </row>
    <row r="142" spans="1:31" x14ac:dyDescent="0.35">
      <c r="A142" s="3">
        <f t="shared" si="98"/>
        <v>126</v>
      </c>
      <c r="B142" s="17">
        <v>413.14400000000001</v>
      </c>
      <c r="C142" s="17">
        <v>412.7</v>
      </c>
      <c r="D142" s="17">
        <v>406.69900000000001</v>
      </c>
      <c r="E142" s="17">
        <v>426.74900000000002</v>
      </c>
      <c r="F142" s="17">
        <v>402.07799999999997</v>
      </c>
      <c r="G142" s="17">
        <v>412.113</v>
      </c>
      <c r="H142" s="17">
        <v>400.33499999999998</v>
      </c>
      <c r="I142" s="17">
        <v>480.488</v>
      </c>
      <c r="J142" s="17">
        <v>409.00400000000002</v>
      </c>
      <c r="K142" s="17">
        <v>454.11599999999999</v>
      </c>
      <c r="L142" s="17">
        <v>415.11099999999999</v>
      </c>
      <c r="M142" s="17">
        <v>438.68700000000001</v>
      </c>
      <c r="N142" s="17">
        <v>412.80799999999999</v>
      </c>
      <c r="O142" s="17">
        <v>407.98500000000001</v>
      </c>
      <c r="P142" s="17">
        <v>548.18899999999996</v>
      </c>
      <c r="Q142" s="17">
        <v>417.048</v>
      </c>
      <c r="R142" s="17"/>
      <c r="S142" s="17">
        <v>464.726</v>
      </c>
      <c r="T142" s="17"/>
      <c r="U142" s="17">
        <v>402.13900000000001</v>
      </c>
      <c r="V142" s="17">
        <v>406.58</v>
      </c>
      <c r="W142" s="17"/>
      <c r="X142" s="17">
        <v>428.37700000000001</v>
      </c>
      <c r="Y142" s="17">
        <v>676.21199999999999</v>
      </c>
      <c r="Z142" s="17">
        <v>400.517</v>
      </c>
      <c r="AA142" s="17">
        <v>431.48899999999998</v>
      </c>
      <c r="AB142" s="17">
        <v>409.60300000000001</v>
      </c>
      <c r="AC142" s="17">
        <v>397.971</v>
      </c>
      <c r="AD142" s="17">
        <v>414.60700000000003</v>
      </c>
      <c r="AE142" s="17">
        <v>399.46199999999999</v>
      </c>
    </row>
    <row r="143" spans="1:31" x14ac:dyDescent="0.35">
      <c r="A143" s="3">
        <f t="shared" si="98"/>
        <v>127</v>
      </c>
      <c r="B143" s="17">
        <v>413.46600000000001</v>
      </c>
      <c r="C143" s="17">
        <v>413.375</v>
      </c>
      <c r="D143" s="17">
        <v>405.84800000000001</v>
      </c>
      <c r="E143" s="17">
        <v>426.96499999999997</v>
      </c>
      <c r="F143" s="17">
        <v>401.39600000000002</v>
      </c>
      <c r="G143" s="17">
        <v>412.88</v>
      </c>
      <c r="H143" s="17">
        <v>400.64299999999997</v>
      </c>
      <c r="I143" s="17">
        <v>480.96600000000001</v>
      </c>
      <c r="J143" s="17">
        <v>410.33300000000003</v>
      </c>
      <c r="K143" s="17">
        <v>454.51600000000002</v>
      </c>
      <c r="L143" s="17">
        <v>414.71899999999999</v>
      </c>
      <c r="M143" s="17">
        <v>439.05399999999997</v>
      </c>
      <c r="N143" s="17">
        <v>412.66699999999997</v>
      </c>
      <c r="O143" s="17">
        <v>408.72899999999998</v>
      </c>
      <c r="P143" s="17">
        <v>547.32600000000002</v>
      </c>
      <c r="Q143" s="17">
        <v>417.90800000000002</v>
      </c>
      <c r="R143" s="17"/>
      <c r="S143" s="17">
        <v>464.541</v>
      </c>
      <c r="T143" s="17"/>
      <c r="U143" s="17">
        <v>402.13799999999998</v>
      </c>
      <c r="V143" s="17">
        <v>406.58499999999998</v>
      </c>
      <c r="W143" s="17"/>
      <c r="X143" s="17">
        <v>429.24200000000002</v>
      </c>
      <c r="Y143" s="17">
        <v>675.25900000000001</v>
      </c>
      <c r="Z143" s="17">
        <v>400.50099999999998</v>
      </c>
      <c r="AA143" s="17">
        <v>429.86799999999999</v>
      </c>
      <c r="AB143" s="17">
        <v>410.339</v>
      </c>
      <c r="AC143" s="17">
        <v>398.52699999999999</v>
      </c>
      <c r="AD143" s="17">
        <v>411.86099999999999</v>
      </c>
      <c r="AE143" s="17">
        <v>399.387</v>
      </c>
    </row>
    <row r="144" spans="1:31" x14ac:dyDescent="0.35">
      <c r="A144" s="3">
        <f t="shared" si="98"/>
        <v>128</v>
      </c>
      <c r="B144" s="17">
        <v>413.13</v>
      </c>
      <c r="C144" s="17">
        <v>413.62700000000001</v>
      </c>
      <c r="D144" s="17">
        <v>406.59800000000001</v>
      </c>
      <c r="E144" s="17">
        <v>427.27300000000002</v>
      </c>
      <c r="F144" s="17">
        <v>401.11200000000002</v>
      </c>
      <c r="G144" s="17">
        <v>412.142</v>
      </c>
      <c r="H144" s="17">
        <v>399.87299999999999</v>
      </c>
      <c r="I144" s="17">
        <v>482.40699999999998</v>
      </c>
      <c r="J144" s="17">
        <v>408.96600000000001</v>
      </c>
      <c r="K144" s="17">
        <v>455.84100000000001</v>
      </c>
      <c r="L144" s="17">
        <v>414.93299999999999</v>
      </c>
      <c r="M144" s="17">
        <v>438.79500000000002</v>
      </c>
      <c r="N144" s="17">
        <v>412.68200000000002</v>
      </c>
      <c r="O144" s="17">
        <v>408.899</v>
      </c>
      <c r="P144" s="17">
        <v>546.75699999999995</v>
      </c>
      <c r="Q144" s="17">
        <v>417.56299999999999</v>
      </c>
      <c r="R144" s="17"/>
      <c r="S144" s="17">
        <v>466.178</v>
      </c>
      <c r="T144" s="17"/>
      <c r="U144" s="17">
        <v>402.21300000000002</v>
      </c>
      <c r="V144" s="17">
        <v>406.94099999999997</v>
      </c>
      <c r="W144" s="17"/>
      <c r="X144" s="17">
        <v>428.53500000000003</v>
      </c>
      <c r="Y144" s="17">
        <v>675.78899999999999</v>
      </c>
      <c r="Z144" s="17">
        <v>401.64699999999999</v>
      </c>
      <c r="AA144" s="17">
        <v>430.24299999999999</v>
      </c>
      <c r="AB144" s="17">
        <v>411.053</v>
      </c>
      <c r="AC144" s="17">
        <v>397.488</v>
      </c>
      <c r="AD144" s="17">
        <v>412.834</v>
      </c>
      <c r="AE144" s="17">
        <v>394.85199999999998</v>
      </c>
    </row>
    <row r="145" spans="1:31" x14ac:dyDescent="0.35">
      <c r="A145" s="3">
        <f t="shared" si="98"/>
        <v>129</v>
      </c>
      <c r="B145" s="17">
        <v>412.80500000000001</v>
      </c>
      <c r="C145" s="17">
        <v>412.98200000000003</v>
      </c>
      <c r="D145" s="17">
        <v>406.90699999999998</v>
      </c>
      <c r="E145" s="17">
        <v>426.82499999999999</v>
      </c>
      <c r="F145" s="17">
        <v>402.69</v>
      </c>
      <c r="G145" s="17">
        <v>412.10399999999998</v>
      </c>
      <c r="H145" s="17">
        <v>400.99700000000001</v>
      </c>
      <c r="I145" s="17">
        <v>482.02300000000002</v>
      </c>
      <c r="J145" s="17">
        <v>410.17500000000001</v>
      </c>
      <c r="K145" s="17">
        <v>454.56799999999998</v>
      </c>
      <c r="L145" s="17">
        <v>415.12900000000002</v>
      </c>
      <c r="M145" s="17">
        <v>439.18400000000003</v>
      </c>
      <c r="N145" s="17">
        <v>412.41399999999999</v>
      </c>
      <c r="O145" s="17">
        <v>408.44799999999998</v>
      </c>
      <c r="P145" s="17">
        <v>547.49800000000005</v>
      </c>
      <c r="Q145" s="17">
        <v>417.37900000000002</v>
      </c>
      <c r="R145" s="17"/>
      <c r="S145" s="17">
        <v>466.29199999999997</v>
      </c>
      <c r="T145" s="17"/>
      <c r="U145" s="17">
        <v>402.20400000000001</v>
      </c>
      <c r="V145" s="17">
        <v>405.83499999999998</v>
      </c>
      <c r="W145" s="17"/>
      <c r="X145" s="17">
        <v>427.767</v>
      </c>
      <c r="Y145" s="17">
        <v>674.17399999999998</v>
      </c>
      <c r="Z145" s="17">
        <v>400.67700000000002</v>
      </c>
      <c r="AA145" s="17">
        <v>430.78</v>
      </c>
      <c r="AB145" s="17">
        <v>409.46100000000001</v>
      </c>
      <c r="AC145" s="17">
        <v>398.07900000000001</v>
      </c>
      <c r="AD145" s="17">
        <v>411.94900000000001</v>
      </c>
      <c r="AE145" s="17">
        <v>400.541</v>
      </c>
    </row>
    <row r="146" spans="1:31" x14ac:dyDescent="0.35">
      <c r="A146" s="3">
        <f t="shared" si="98"/>
        <v>130</v>
      </c>
      <c r="B146" s="17">
        <v>412.21100000000001</v>
      </c>
      <c r="C146" s="17">
        <v>413.15800000000002</v>
      </c>
      <c r="D146" s="17">
        <v>405.18599999999998</v>
      </c>
      <c r="E146" s="17">
        <v>427.19299999999998</v>
      </c>
      <c r="F146" s="17">
        <v>401.12400000000002</v>
      </c>
      <c r="G146" s="17">
        <v>412.553</v>
      </c>
      <c r="H146" s="17">
        <v>400.36500000000001</v>
      </c>
      <c r="I146" s="17">
        <v>481.34300000000002</v>
      </c>
      <c r="J146" s="17">
        <v>409.565</v>
      </c>
      <c r="K146" s="17">
        <v>454.815</v>
      </c>
      <c r="L146" s="17">
        <v>413.46899999999999</v>
      </c>
      <c r="M146" s="17">
        <v>437.51299999999998</v>
      </c>
      <c r="N146" s="17">
        <v>413.22800000000001</v>
      </c>
      <c r="O146" s="17">
        <v>409.55099999999999</v>
      </c>
      <c r="P146" s="17">
        <v>547.75099999999998</v>
      </c>
      <c r="Q146" s="17">
        <v>417.96499999999997</v>
      </c>
      <c r="R146" s="17"/>
      <c r="S146" s="17">
        <v>465.72899999999998</v>
      </c>
      <c r="T146" s="17"/>
      <c r="U146" s="17">
        <v>403.524</v>
      </c>
      <c r="V146" s="17">
        <v>406.66</v>
      </c>
      <c r="W146" s="17"/>
      <c r="X146" s="17">
        <v>427.84100000000001</v>
      </c>
      <c r="Y146" s="17">
        <v>675.755</v>
      </c>
      <c r="Z146" s="17">
        <v>401.68599999999998</v>
      </c>
      <c r="AA146" s="17">
        <v>431.22199999999998</v>
      </c>
      <c r="AB146" s="17">
        <v>410.43900000000002</v>
      </c>
      <c r="AC146" s="17">
        <v>399.76900000000001</v>
      </c>
      <c r="AD146" s="17">
        <v>412.28800000000001</v>
      </c>
      <c r="AE146" s="17">
        <v>401.28100000000001</v>
      </c>
    </row>
    <row r="147" spans="1:31" x14ac:dyDescent="0.35">
      <c r="A147" s="3">
        <f t="shared" si="98"/>
        <v>131</v>
      </c>
      <c r="B147" s="17">
        <v>412.13200000000001</v>
      </c>
      <c r="C147" s="17">
        <v>413.43900000000002</v>
      </c>
      <c r="D147" s="17">
        <v>406.56</v>
      </c>
      <c r="E147" s="17">
        <v>426.50200000000001</v>
      </c>
      <c r="F147" s="17">
        <v>402.06799999999998</v>
      </c>
      <c r="G147" s="17">
        <v>411.91500000000002</v>
      </c>
      <c r="H147" s="17">
        <v>400.78</v>
      </c>
      <c r="I147" s="17">
        <v>480.76900000000001</v>
      </c>
      <c r="J147" s="17">
        <v>409.99900000000002</v>
      </c>
      <c r="K147" s="17">
        <v>453.31099999999998</v>
      </c>
      <c r="L147" s="17">
        <v>414.18799999999999</v>
      </c>
      <c r="M147" s="17">
        <v>439.25700000000001</v>
      </c>
      <c r="N147" s="17">
        <v>410.94799999999998</v>
      </c>
      <c r="O147" s="17">
        <v>408.33</v>
      </c>
      <c r="P147" s="17">
        <v>547.20699999999999</v>
      </c>
      <c r="Q147" s="17">
        <v>417.42599999999999</v>
      </c>
      <c r="R147" s="17"/>
      <c r="S147" s="17">
        <v>464.339</v>
      </c>
      <c r="T147" s="17"/>
      <c r="U147" s="17">
        <v>403.15100000000001</v>
      </c>
      <c r="V147" s="17">
        <v>408.363</v>
      </c>
      <c r="W147" s="17"/>
      <c r="X147" s="17">
        <v>428.69</v>
      </c>
      <c r="Y147" s="17">
        <v>673.13699999999994</v>
      </c>
      <c r="Z147" s="17">
        <v>401.34800000000001</v>
      </c>
      <c r="AA147" s="17">
        <v>429.73</v>
      </c>
      <c r="AB147" s="17">
        <v>409.97399999999999</v>
      </c>
      <c r="AC147" s="17">
        <v>398.387</v>
      </c>
      <c r="AD147" s="17">
        <v>412.23200000000003</v>
      </c>
      <c r="AE147" s="17">
        <v>395.19600000000003</v>
      </c>
    </row>
    <row r="148" spans="1:31" x14ac:dyDescent="0.35">
      <c r="A148" s="3">
        <f t="shared" si="98"/>
        <v>132</v>
      </c>
      <c r="B148" s="17">
        <v>412.77800000000002</v>
      </c>
      <c r="C148" s="17">
        <v>412.572</v>
      </c>
      <c r="D148" s="17">
        <v>406.827</v>
      </c>
      <c r="E148" s="17">
        <v>426.71</v>
      </c>
      <c r="F148" s="17">
        <v>401.90699999999998</v>
      </c>
      <c r="G148" s="17">
        <v>412.13600000000002</v>
      </c>
      <c r="H148" s="17">
        <v>400.798</v>
      </c>
      <c r="I148" s="17">
        <v>480.96800000000002</v>
      </c>
      <c r="J148" s="17">
        <v>410.38</v>
      </c>
      <c r="K148" s="17">
        <v>454.27</v>
      </c>
      <c r="L148" s="17">
        <v>414.43799999999999</v>
      </c>
      <c r="M148" s="17">
        <v>439.51</v>
      </c>
      <c r="N148" s="17">
        <v>413.01100000000002</v>
      </c>
      <c r="O148" s="17">
        <v>408.66699999999997</v>
      </c>
      <c r="P148" s="17">
        <v>546.74599999999998</v>
      </c>
      <c r="Q148" s="17">
        <v>417.60500000000002</v>
      </c>
      <c r="R148" s="17"/>
      <c r="S148" s="17">
        <v>464.94900000000001</v>
      </c>
      <c r="T148" s="17"/>
      <c r="U148" s="17">
        <v>401.57299999999998</v>
      </c>
      <c r="V148" s="17">
        <v>405.58199999999999</v>
      </c>
      <c r="W148" s="17"/>
      <c r="X148" s="17">
        <v>429.5</v>
      </c>
      <c r="Y148" s="17">
        <v>673.27700000000004</v>
      </c>
      <c r="Z148" s="17">
        <v>402.05099999999999</v>
      </c>
      <c r="AA148" s="17">
        <v>431.45800000000003</v>
      </c>
      <c r="AB148" s="17">
        <v>410.24900000000002</v>
      </c>
      <c r="AC148" s="17">
        <v>399.37</v>
      </c>
      <c r="AD148" s="17">
        <v>411.28</v>
      </c>
      <c r="AE148" s="17">
        <v>399.78699999999998</v>
      </c>
    </row>
    <row r="149" spans="1:31" x14ac:dyDescent="0.35">
      <c r="A149" s="3">
        <f t="shared" si="98"/>
        <v>133</v>
      </c>
      <c r="B149" s="17">
        <v>412.68</v>
      </c>
      <c r="C149" s="17">
        <v>412.88799999999998</v>
      </c>
      <c r="D149" s="17">
        <v>406.38600000000002</v>
      </c>
      <c r="E149" s="17">
        <v>427.13</v>
      </c>
      <c r="F149" s="17">
        <v>402.25900000000001</v>
      </c>
      <c r="G149" s="17">
        <v>411.851</v>
      </c>
      <c r="H149" s="17">
        <v>401.15899999999999</v>
      </c>
      <c r="I149" s="17">
        <v>481.93900000000002</v>
      </c>
      <c r="J149" s="17">
        <v>409.60500000000002</v>
      </c>
      <c r="K149" s="17">
        <v>454.48599999999999</v>
      </c>
      <c r="L149" s="17">
        <v>415.68900000000002</v>
      </c>
      <c r="M149" s="17">
        <v>439.005</v>
      </c>
      <c r="N149" s="17">
        <v>411.53100000000001</v>
      </c>
      <c r="O149" s="17">
        <v>410.02499999999998</v>
      </c>
      <c r="P149" s="17">
        <v>547.54100000000005</v>
      </c>
      <c r="Q149" s="17">
        <v>416.92899999999997</v>
      </c>
      <c r="R149" s="17"/>
      <c r="S149" s="17">
        <v>464.66699999999997</v>
      </c>
      <c r="T149" s="17"/>
      <c r="U149" s="17">
        <v>403.69299999999998</v>
      </c>
      <c r="V149" s="17">
        <v>405.07600000000002</v>
      </c>
      <c r="W149" s="17"/>
      <c r="X149" s="17">
        <v>427.74</v>
      </c>
      <c r="Y149" s="17">
        <v>673.08100000000002</v>
      </c>
      <c r="Z149" s="17">
        <v>401.84500000000003</v>
      </c>
      <c r="AA149" s="17">
        <v>431.435</v>
      </c>
      <c r="AB149" s="17">
        <v>410.23099999999999</v>
      </c>
      <c r="AC149" s="17">
        <v>400.13</v>
      </c>
      <c r="AD149" s="17">
        <v>412.75099999999998</v>
      </c>
      <c r="AE149" s="17">
        <v>403.221</v>
      </c>
    </row>
    <row r="150" spans="1:31" x14ac:dyDescent="0.35">
      <c r="A150" s="3">
        <f t="shared" si="98"/>
        <v>134</v>
      </c>
      <c r="B150" s="17">
        <v>412.73500000000001</v>
      </c>
      <c r="C150" s="17">
        <v>413.173</v>
      </c>
      <c r="D150" s="17">
        <v>406.24799999999999</v>
      </c>
      <c r="E150" s="17">
        <v>427.95499999999998</v>
      </c>
      <c r="F150" s="17">
        <v>402.053</v>
      </c>
      <c r="G150" s="17">
        <v>412.01</v>
      </c>
      <c r="H150" s="17">
        <v>400.88900000000001</v>
      </c>
      <c r="I150" s="17">
        <v>481.053</v>
      </c>
      <c r="J150" s="17">
        <v>410.06900000000002</v>
      </c>
      <c r="K150" s="17">
        <v>456.62799999999999</v>
      </c>
      <c r="L150" s="17">
        <v>415.37099999999998</v>
      </c>
      <c r="M150" s="17">
        <v>439.11500000000001</v>
      </c>
      <c r="N150" s="17">
        <v>412.53800000000001</v>
      </c>
      <c r="O150" s="17">
        <v>409.44400000000002</v>
      </c>
      <c r="P150" s="17">
        <v>547.98500000000001</v>
      </c>
      <c r="Q150" s="17">
        <v>418.88600000000002</v>
      </c>
      <c r="R150" s="17"/>
      <c r="S150" s="17">
        <v>463.863</v>
      </c>
      <c r="T150" s="17"/>
      <c r="U150" s="17">
        <v>402.58300000000003</v>
      </c>
      <c r="V150" s="17">
        <v>405.40800000000002</v>
      </c>
      <c r="W150" s="17"/>
      <c r="X150" s="17">
        <v>429.01900000000001</v>
      </c>
      <c r="Y150" s="17">
        <v>673.64599999999996</v>
      </c>
      <c r="Z150" s="17">
        <v>402.62</v>
      </c>
      <c r="AA150" s="17">
        <v>430.887</v>
      </c>
      <c r="AB150" s="17">
        <v>409.18900000000002</v>
      </c>
      <c r="AC150" s="17">
        <v>400.322</v>
      </c>
      <c r="AD150" s="17">
        <v>412.64100000000002</v>
      </c>
      <c r="AE150" s="17">
        <v>397.87599999999998</v>
      </c>
    </row>
    <row r="151" spans="1:31" x14ac:dyDescent="0.35">
      <c r="A151" s="3">
        <f t="shared" si="98"/>
        <v>135</v>
      </c>
      <c r="B151" s="17">
        <v>413.45699999999999</v>
      </c>
      <c r="C151" s="17">
        <v>412.65800000000002</v>
      </c>
      <c r="D151" s="17">
        <v>407.91800000000001</v>
      </c>
      <c r="E151" s="17">
        <v>427.40600000000001</v>
      </c>
      <c r="F151" s="17">
        <v>400.73</v>
      </c>
      <c r="G151" s="17">
        <v>411.952</v>
      </c>
      <c r="H151" s="17">
        <v>400.79899999999998</v>
      </c>
      <c r="I151" s="17">
        <v>480.97300000000001</v>
      </c>
      <c r="J151" s="17">
        <v>409.16199999999998</v>
      </c>
      <c r="K151" s="17">
        <v>454.85199999999998</v>
      </c>
      <c r="L151" s="17">
        <v>415.13</v>
      </c>
      <c r="M151" s="17">
        <v>439.60500000000002</v>
      </c>
      <c r="N151" s="17">
        <v>412.38099999999997</v>
      </c>
      <c r="O151" s="17">
        <v>408.947</v>
      </c>
      <c r="P151" s="17">
        <v>548.02499999999998</v>
      </c>
      <c r="Q151" s="17">
        <v>418.036</v>
      </c>
      <c r="R151" s="17"/>
      <c r="S151" s="17">
        <v>464.21300000000002</v>
      </c>
      <c r="T151" s="17"/>
      <c r="U151" s="17">
        <v>402.387</v>
      </c>
      <c r="V151" s="17">
        <v>407.06</v>
      </c>
      <c r="W151" s="17"/>
      <c r="X151" s="17">
        <v>429.13400000000001</v>
      </c>
      <c r="Y151" s="17">
        <v>674.029</v>
      </c>
      <c r="Z151" s="17">
        <v>402.142</v>
      </c>
      <c r="AA151" s="17">
        <v>430.12</v>
      </c>
      <c r="AB151" s="17">
        <v>410.74599999999998</v>
      </c>
      <c r="AC151" s="17">
        <v>400.8</v>
      </c>
      <c r="AD151" s="17">
        <v>412.56400000000002</v>
      </c>
      <c r="AE151" s="17">
        <v>396.726</v>
      </c>
    </row>
    <row r="152" spans="1:31" x14ac:dyDescent="0.35">
      <c r="A152" s="3">
        <f t="shared" si="98"/>
        <v>136</v>
      </c>
      <c r="B152" s="17">
        <v>412.26100000000002</v>
      </c>
      <c r="C152" s="17">
        <v>413.38</v>
      </c>
      <c r="D152" s="17">
        <v>405.37</v>
      </c>
      <c r="E152" s="17">
        <v>427.78199999999998</v>
      </c>
      <c r="F152" s="17">
        <v>401.67099999999999</v>
      </c>
      <c r="G152" s="17">
        <v>411.81400000000002</v>
      </c>
      <c r="H152" s="17">
        <v>400.83</v>
      </c>
      <c r="I152" s="17">
        <v>481.04</v>
      </c>
      <c r="J152" s="17">
        <v>409.04500000000002</v>
      </c>
      <c r="K152" s="17">
        <v>453.44400000000002</v>
      </c>
      <c r="L152" s="17">
        <v>414.81</v>
      </c>
      <c r="M152" s="17">
        <v>439.98200000000003</v>
      </c>
      <c r="N152" s="17">
        <v>412.13200000000001</v>
      </c>
      <c r="O152" s="17">
        <v>409.74900000000002</v>
      </c>
      <c r="P152" s="17">
        <v>547.66700000000003</v>
      </c>
      <c r="Q152" s="17">
        <v>417.81299999999999</v>
      </c>
      <c r="R152" s="17"/>
      <c r="S152" s="17">
        <v>464.34100000000001</v>
      </c>
      <c r="T152" s="17"/>
      <c r="U152" s="17">
        <v>402.565</v>
      </c>
      <c r="V152" s="17">
        <v>405.53300000000002</v>
      </c>
      <c r="W152" s="17"/>
      <c r="X152" s="17">
        <v>428.68299999999999</v>
      </c>
      <c r="Y152" s="17">
        <v>673.976</v>
      </c>
      <c r="Z152" s="17">
        <v>402.98599999999999</v>
      </c>
      <c r="AA152" s="17">
        <v>431.05</v>
      </c>
      <c r="AB152" s="17">
        <v>410.09399999999999</v>
      </c>
      <c r="AC152" s="17">
        <v>401.03699999999998</v>
      </c>
      <c r="AD152" s="17">
        <v>411.392</v>
      </c>
      <c r="AE152" s="17">
        <v>400.88099999999997</v>
      </c>
    </row>
    <row r="153" spans="1:31" x14ac:dyDescent="0.35">
      <c r="A153" s="3">
        <f t="shared" si="98"/>
        <v>137</v>
      </c>
      <c r="B153" s="17">
        <v>413.053</v>
      </c>
      <c r="C153" s="17">
        <v>412.68400000000003</v>
      </c>
      <c r="D153" s="17">
        <v>406.22399999999999</v>
      </c>
      <c r="E153" s="17">
        <v>427.226</v>
      </c>
      <c r="F153" s="17">
        <v>402.33199999999999</v>
      </c>
      <c r="G153" s="17">
        <v>411.96199999999999</v>
      </c>
      <c r="H153" s="17">
        <v>400.26900000000001</v>
      </c>
      <c r="I153" s="17">
        <v>481.69299999999998</v>
      </c>
      <c r="J153" s="17">
        <v>410.05799999999999</v>
      </c>
      <c r="K153" s="17">
        <v>455.65499999999997</v>
      </c>
      <c r="L153" s="17">
        <v>414.63499999999999</v>
      </c>
      <c r="M153" s="17">
        <v>440.27</v>
      </c>
      <c r="N153" s="17">
        <v>412.58499999999998</v>
      </c>
      <c r="O153" s="17">
        <v>408.52699999999999</v>
      </c>
      <c r="P153" s="17">
        <v>547.03099999999995</v>
      </c>
      <c r="Q153" s="17">
        <v>418.21899999999999</v>
      </c>
      <c r="R153" s="17"/>
      <c r="S153" s="17">
        <v>464.31400000000002</v>
      </c>
      <c r="T153" s="17"/>
      <c r="U153" s="17">
        <v>402.36900000000003</v>
      </c>
      <c r="V153" s="17">
        <v>406.66</v>
      </c>
      <c r="W153" s="17"/>
      <c r="X153" s="17">
        <v>430.089</v>
      </c>
      <c r="Y153" s="17">
        <v>674.875</v>
      </c>
      <c r="Z153" s="17">
        <v>402.02199999999999</v>
      </c>
      <c r="AA153" s="17">
        <v>430.83100000000002</v>
      </c>
      <c r="AB153" s="17">
        <v>409.97500000000002</v>
      </c>
      <c r="AC153" s="17">
        <v>402.34699999999998</v>
      </c>
      <c r="AD153" s="17">
        <v>412.06599999999997</v>
      </c>
      <c r="AE153" s="17">
        <v>396.34199999999998</v>
      </c>
    </row>
    <row r="154" spans="1:31" x14ac:dyDescent="0.35">
      <c r="A154" s="3">
        <f t="shared" si="98"/>
        <v>138</v>
      </c>
      <c r="B154" s="17">
        <v>412.81900000000002</v>
      </c>
      <c r="C154" s="17">
        <v>413.20400000000001</v>
      </c>
      <c r="D154" s="17">
        <v>405.72699999999998</v>
      </c>
      <c r="E154" s="17">
        <v>427.72300000000001</v>
      </c>
      <c r="F154" s="17">
        <v>402.45699999999999</v>
      </c>
      <c r="G154" s="17">
        <v>411.90800000000002</v>
      </c>
      <c r="H154" s="17">
        <v>399.79899999999998</v>
      </c>
      <c r="I154" s="17">
        <v>481.43799999999999</v>
      </c>
      <c r="J154" s="17">
        <v>410.51299999999998</v>
      </c>
      <c r="K154" s="17">
        <v>454.21899999999999</v>
      </c>
      <c r="L154" s="17">
        <v>414.29899999999998</v>
      </c>
      <c r="M154" s="17">
        <v>440.209</v>
      </c>
      <c r="N154" s="17">
        <v>412.78800000000001</v>
      </c>
      <c r="O154" s="17">
        <v>409.06599999999997</v>
      </c>
      <c r="P154" s="17">
        <v>548.17499999999995</v>
      </c>
      <c r="Q154" s="17">
        <v>417.9</v>
      </c>
      <c r="R154" s="17"/>
      <c r="S154" s="17">
        <v>463.37599999999998</v>
      </c>
      <c r="T154" s="17"/>
      <c r="U154" s="17">
        <v>403.06900000000002</v>
      </c>
      <c r="V154" s="17">
        <v>407.053</v>
      </c>
      <c r="W154" s="17"/>
      <c r="X154" s="17">
        <v>430.51600000000002</v>
      </c>
      <c r="Y154" s="17">
        <v>673.42499999999995</v>
      </c>
      <c r="Z154" s="17">
        <v>402.57400000000001</v>
      </c>
      <c r="AA154" s="17">
        <v>431.77499999999998</v>
      </c>
      <c r="AB154" s="17">
        <v>409.62299999999999</v>
      </c>
      <c r="AC154" s="17">
        <v>400.66800000000001</v>
      </c>
      <c r="AD154" s="17">
        <v>415.40899999999999</v>
      </c>
      <c r="AE154" s="17">
        <v>398.66199999999998</v>
      </c>
    </row>
    <row r="155" spans="1:31" x14ac:dyDescent="0.35">
      <c r="A155" s="3">
        <f t="shared" si="98"/>
        <v>139</v>
      </c>
      <c r="B155" s="17">
        <v>412.61099999999999</v>
      </c>
      <c r="C155" s="17">
        <v>413.99299999999999</v>
      </c>
      <c r="D155" s="17">
        <v>405.96300000000002</v>
      </c>
      <c r="E155" s="17">
        <v>427.61</v>
      </c>
      <c r="F155" s="17">
        <v>400.77800000000002</v>
      </c>
      <c r="G155" s="17">
        <v>412.77100000000002</v>
      </c>
      <c r="H155" s="17">
        <v>401.488</v>
      </c>
      <c r="I155" s="17">
        <v>481.25299999999999</v>
      </c>
      <c r="J155" s="17">
        <v>410.404</v>
      </c>
      <c r="K155" s="17">
        <v>455.17700000000002</v>
      </c>
      <c r="L155" s="17">
        <v>414.39699999999999</v>
      </c>
      <c r="M155" s="17">
        <v>439.43099999999998</v>
      </c>
      <c r="N155" s="17">
        <v>412.25200000000001</v>
      </c>
      <c r="O155" s="17">
        <v>409.62799999999999</v>
      </c>
      <c r="P155" s="17">
        <v>548.45100000000002</v>
      </c>
      <c r="Q155" s="17">
        <v>417.71499999999997</v>
      </c>
      <c r="R155" s="17"/>
      <c r="S155" s="17">
        <v>465.17</v>
      </c>
      <c r="T155" s="17"/>
      <c r="U155" s="17">
        <v>402.37099999999998</v>
      </c>
      <c r="V155" s="17">
        <v>407.77</v>
      </c>
      <c r="W155" s="17"/>
      <c r="X155" s="17">
        <v>428.54899999999998</v>
      </c>
      <c r="Y155" s="17">
        <v>673.50599999999997</v>
      </c>
      <c r="Z155" s="17">
        <v>401.56900000000002</v>
      </c>
      <c r="AA155" s="17">
        <v>430.36599999999999</v>
      </c>
      <c r="AB155" s="17">
        <v>410.274</v>
      </c>
      <c r="AC155" s="17">
        <v>399.26900000000001</v>
      </c>
      <c r="AD155" s="17">
        <v>415.10399999999998</v>
      </c>
      <c r="AE155" s="17">
        <v>398.98500000000001</v>
      </c>
    </row>
    <row r="156" spans="1:31" x14ac:dyDescent="0.35">
      <c r="A156" s="3">
        <f t="shared" si="98"/>
        <v>140</v>
      </c>
      <c r="B156" s="17">
        <v>413.28100000000001</v>
      </c>
      <c r="C156" s="17">
        <v>414.57900000000001</v>
      </c>
      <c r="D156" s="17">
        <v>407.2</v>
      </c>
      <c r="E156" s="17">
        <v>428.35199999999998</v>
      </c>
      <c r="F156" s="17">
        <v>402.67099999999999</v>
      </c>
      <c r="G156" s="17">
        <v>410.68599999999998</v>
      </c>
      <c r="H156" s="17">
        <v>400.63499999999999</v>
      </c>
      <c r="I156" s="17">
        <v>480.29899999999998</v>
      </c>
      <c r="J156" s="17">
        <v>410.54199999999997</v>
      </c>
      <c r="K156" s="17">
        <v>454.053</v>
      </c>
      <c r="L156" s="17">
        <v>414.68599999999998</v>
      </c>
      <c r="M156" s="17">
        <v>440.73500000000001</v>
      </c>
      <c r="N156" s="17">
        <v>412.75200000000001</v>
      </c>
      <c r="O156" s="17">
        <v>409.64800000000002</v>
      </c>
      <c r="P156" s="17">
        <v>546.94100000000003</v>
      </c>
      <c r="Q156" s="17">
        <v>418.85</v>
      </c>
      <c r="R156" s="17"/>
      <c r="S156" s="17">
        <v>464.14400000000001</v>
      </c>
      <c r="T156" s="17"/>
      <c r="U156" s="17">
        <v>402.04599999999999</v>
      </c>
      <c r="V156" s="17">
        <v>407.56900000000002</v>
      </c>
      <c r="W156" s="17"/>
      <c r="X156" s="17">
        <v>429.07799999999997</v>
      </c>
      <c r="Y156" s="17">
        <v>671.88499999999999</v>
      </c>
      <c r="Z156" s="17">
        <v>401.11399999999998</v>
      </c>
      <c r="AA156" s="17">
        <v>430.976</v>
      </c>
      <c r="AB156" s="17">
        <v>411.98200000000003</v>
      </c>
      <c r="AC156" s="17">
        <v>400.47399999999999</v>
      </c>
      <c r="AD156" s="17">
        <v>413.78199999999998</v>
      </c>
      <c r="AE156" s="17">
        <v>395.55200000000002</v>
      </c>
    </row>
    <row r="157" spans="1:31" x14ac:dyDescent="0.35">
      <c r="A157" s="3">
        <f t="shared" si="98"/>
        <v>141</v>
      </c>
      <c r="B157" s="17">
        <v>413.18700000000001</v>
      </c>
      <c r="C157" s="17">
        <v>414.09899999999999</v>
      </c>
      <c r="D157" s="17">
        <v>406.851</v>
      </c>
      <c r="E157" s="17">
        <v>428.02100000000002</v>
      </c>
      <c r="F157" s="17">
        <v>403.31</v>
      </c>
      <c r="G157" s="17">
        <v>411.82100000000003</v>
      </c>
      <c r="H157" s="17">
        <v>400.49</v>
      </c>
      <c r="I157" s="17">
        <v>481.476</v>
      </c>
      <c r="J157" s="17">
        <v>410.27699999999999</v>
      </c>
      <c r="K157" s="17">
        <v>454.666</v>
      </c>
      <c r="L157" s="17">
        <v>415.16899999999998</v>
      </c>
      <c r="M157" s="17">
        <v>439.41800000000001</v>
      </c>
      <c r="N157" s="17">
        <v>413.47399999999999</v>
      </c>
      <c r="O157" s="17">
        <v>409.48</v>
      </c>
      <c r="P157" s="17">
        <v>548.01499999999999</v>
      </c>
      <c r="Q157" s="17">
        <v>418.447</v>
      </c>
      <c r="R157" s="17"/>
      <c r="S157" s="17">
        <v>464.25900000000001</v>
      </c>
      <c r="T157" s="17"/>
      <c r="U157" s="17">
        <v>403.47300000000001</v>
      </c>
      <c r="V157" s="17">
        <v>406.82</v>
      </c>
      <c r="W157" s="17"/>
      <c r="X157" s="17">
        <v>430.56099999999998</v>
      </c>
      <c r="Y157" s="17">
        <v>672.52</v>
      </c>
      <c r="Z157" s="17">
        <v>401.60399999999998</v>
      </c>
      <c r="AA157" s="17">
        <v>430.2</v>
      </c>
      <c r="AB157" s="17">
        <v>410.43900000000002</v>
      </c>
      <c r="AC157" s="17">
        <v>398.43700000000001</v>
      </c>
      <c r="AD157" s="17">
        <v>414.959</v>
      </c>
      <c r="AE157" s="17">
        <v>400.33100000000002</v>
      </c>
    </row>
    <row r="158" spans="1:31" x14ac:dyDescent="0.35">
      <c r="A158" s="3">
        <f t="shared" si="98"/>
        <v>142</v>
      </c>
      <c r="B158" s="17">
        <v>413.15300000000002</v>
      </c>
      <c r="C158" s="17">
        <v>413.86099999999999</v>
      </c>
      <c r="D158" s="17">
        <v>406.327</v>
      </c>
      <c r="E158" s="17">
        <v>427.6</v>
      </c>
      <c r="F158" s="17">
        <v>401.46899999999999</v>
      </c>
      <c r="G158" s="17">
        <v>411.46800000000002</v>
      </c>
      <c r="H158" s="17">
        <v>400.43299999999999</v>
      </c>
      <c r="I158" s="17">
        <v>480.92500000000001</v>
      </c>
      <c r="J158" s="17">
        <v>409.17599999999999</v>
      </c>
      <c r="K158" s="17">
        <v>454.72399999999999</v>
      </c>
      <c r="L158" s="17">
        <v>414.44</v>
      </c>
      <c r="M158" s="17">
        <v>438.76600000000002</v>
      </c>
      <c r="N158" s="17">
        <v>412.71199999999999</v>
      </c>
      <c r="O158" s="17">
        <v>409.471</v>
      </c>
      <c r="P158" s="17">
        <v>546.98699999999997</v>
      </c>
      <c r="Q158" s="17">
        <v>417.25400000000002</v>
      </c>
      <c r="R158" s="17"/>
      <c r="S158" s="17">
        <v>463.87299999999999</v>
      </c>
      <c r="T158" s="17"/>
      <c r="U158" s="17">
        <v>403.33800000000002</v>
      </c>
      <c r="V158" s="17">
        <v>407.108</v>
      </c>
      <c r="W158" s="17"/>
      <c r="X158" s="17">
        <v>430.18299999999999</v>
      </c>
      <c r="Y158" s="17">
        <v>673.947</v>
      </c>
      <c r="Z158" s="17">
        <v>401.46100000000001</v>
      </c>
      <c r="AA158" s="17">
        <v>429.56599999999997</v>
      </c>
      <c r="AB158" s="17">
        <v>410.06200000000001</v>
      </c>
      <c r="AC158" s="17">
        <v>400.459</v>
      </c>
      <c r="AD158" s="17">
        <v>414.02100000000002</v>
      </c>
      <c r="AE158" s="17">
        <v>397.31799999999998</v>
      </c>
    </row>
    <row r="159" spans="1:31" x14ac:dyDescent="0.35">
      <c r="A159" s="3">
        <f t="shared" si="98"/>
        <v>143</v>
      </c>
      <c r="B159" s="17">
        <v>413.12900000000002</v>
      </c>
      <c r="C159" s="17">
        <v>413.64400000000001</v>
      </c>
      <c r="D159" s="17">
        <v>406.10599999999999</v>
      </c>
      <c r="E159" s="17">
        <v>427.601</v>
      </c>
      <c r="F159" s="17">
        <v>402.79899999999998</v>
      </c>
      <c r="G159" s="17">
        <v>411.38</v>
      </c>
      <c r="H159" s="17">
        <v>400.036</v>
      </c>
      <c r="I159" s="17">
        <v>480.755</v>
      </c>
      <c r="J159" s="17">
        <v>409.48500000000001</v>
      </c>
      <c r="K159" s="17">
        <v>456.89499999999998</v>
      </c>
      <c r="L159" s="17">
        <v>414.92</v>
      </c>
      <c r="M159" s="17">
        <v>440.476</v>
      </c>
      <c r="N159" s="17">
        <v>413</v>
      </c>
      <c r="O159" s="17">
        <v>409.50799999999998</v>
      </c>
      <c r="P159" s="17">
        <v>548.577</v>
      </c>
      <c r="Q159" s="17">
        <v>420.12900000000002</v>
      </c>
      <c r="R159" s="17"/>
      <c r="S159" s="17">
        <v>463.82600000000002</v>
      </c>
      <c r="T159" s="17"/>
      <c r="U159" s="17">
        <v>403.25099999999998</v>
      </c>
      <c r="V159" s="17">
        <v>406.90499999999997</v>
      </c>
      <c r="W159" s="17"/>
      <c r="X159" s="17">
        <v>430.69799999999998</v>
      </c>
      <c r="Y159" s="17">
        <v>673.25400000000002</v>
      </c>
      <c r="Z159" s="17">
        <v>402.08</v>
      </c>
      <c r="AA159" s="17">
        <v>430.06700000000001</v>
      </c>
      <c r="AB159" s="17">
        <v>411.84300000000002</v>
      </c>
      <c r="AC159" s="17">
        <v>400.37200000000001</v>
      </c>
      <c r="AD159" s="17">
        <v>414.23899999999998</v>
      </c>
      <c r="AE159" s="17">
        <v>398.62799999999999</v>
      </c>
    </row>
    <row r="160" spans="1:31" x14ac:dyDescent="0.35">
      <c r="A160" s="3">
        <f t="shared" si="98"/>
        <v>144</v>
      </c>
      <c r="B160" s="17">
        <v>412.721</v>
      </c>
      <c r="C160" s="17">
        <v>412.97300000000001</v>
      </c>
      <c r="D160" s="17">
        <v>406.09800000000001</v>
      </c>
      <c r="E160" s="17">
        <v>426.52499999999998</v>
      </c>
      <c r="F160" s="17">
        <v>402.62700000000001</v>
      </c>
      <c r="G160" s="17">
        <v>412.27800000000002</v>
      </c>
      <c r="H160" s="17">
        <v>400.70299999999997</v>
      </c>
      <c r="I160" s="17">
        <v>481.53300000000002</v>
      </c>
      <c r="J160" s="17">
        <v>410.71</v>
      </c>
      <c r="K160" s="17">
        <v>455.726</v>
      </c>
      <c r="L160" s="17">
        <v>416.41</v>
      </c>
      <c r="M160" s="17">
        <v>440.149</v>
      </c>
      <c r="N160" s="17">
        <v>413.22399999999999</v>
      </c>
      <c r="O160" s="17">
        <v>408.28300000000002</v>
      </c>
      <c r="P160" s="17">
        <v>547.51599999999996</v>
      </c>
      <c r="Q160" s="17">
        <v>420.10199999999998</v>
      </c>
      <c r="R160" s="17"/>
      <c r="S160" s="17">
        <v>463.48599999999999</v>
      </c>
      <c r="T160" s="17"/>
      <c r="U160" s="17">
        <v>402.35</v>
      </c>
      <c r="V160" s="17">
        <v>408.084</v>
      </c>
      <c r="W160" s="17"/>
      <c r="X160" s="17">
        <v>430.31200000000001</v>
      </c>
      <c r="Y160" s="17">
        <v>673.36</v>
      </c>
      <c r="Z160" s="17">
        <v>402.471</v>
      </c>
      <c r="AA160" s="17">
        <v>429.39</v>
      </c>
      <c r="AB160" s="17">
        <v>411.83199999999999</v>
      </c>
      <c r="AC160" s="17">
        <v>397.339</v>
      </c>
      <c r="AD160" s="17">
        <v>413.57</v>
      </c>
      <c r="AE160" s="17">
        <v>401.21699999999998</v>
      </c>
    </row>
    <row r="161" spans="1:31" x14ac:dyDescent="0.35">
      <c r="A161" s="3">
        <f t="shared" si="98"/>
        <v>145</v>
      </c>
      <c r="B161" s="17">
        <v>413.49900000000002</v>
      </c>
      <c r="C161" s="17">
        <v>413.60199999999998</v>
      </c>
      <c r="D161" s="17">
        <v>406.49700000000001</v>
      </c>
      <c r="E161" s="17">
        <v>428.375</v>
      </c>
      <c r="F161" s="17">
        <v>403.428</v>
      </c>
      <c r="G161" s="17">
        <v>412.20699999999999</v>
      </c>
      <c r="H161" s="17">
        <v>401.44499999999999</v>
      </c>
      <c r="I161" s="17">
        <v>480.23500000000001</v>
      </c>
      <c r="J161" s="17">
        <v>410.70100000000002</v>
      </c>
      <c r="K161" s="17">
        <v>453.654</v>
      </c>
      <c r="L161" s="17">
        <v>414.74700000000001</v>
      </c>
      <c r="M161" s="17">
        <v>439.02</v>
      </c>
      <c r="N161" s="17">
        <v>412.11399999999998</v>
      </c>
      <c r="O161" s="17">
        <v>408.91899999999998</v>
      </c>
      <c r="P161" s="17">
        <v>547.55499999999995</v>
      </c>
      <c r="Q161" s="17">
        <v>420.00099999999998</v>
      </c>
      <c r="R161" s="17"/>
      <c r="S161" s="17">
        <v>463.339</v>
      </c>
      <c r="T161" s="17"/>
      <c r="U161" s="17">
        <v>402.60700000000003</v>
      </c>
      <c r="V161" s="17">
        <v>407.73399999999998</v>
      </c>
      <c r="W161" s="17"/>
      <c r="X161" s="17">
        <v>430.03699999999998</v>
      </c>
      <c r="Y161" s="17">
        <v>671.77700000000004</v>
      </c>
      <c r="Z161" s="17">
        <v>402.28199999999998</v>
      </c>
      <c r="AA161" s="17">
        <v>428.93299999999999</v>
      </c>
      <c r="AB161" s="17">
        <v>410.90300000000002</v>
      </c>
      <c r="AC161" s="17">
        <v>399.73599999999999</v>
      </c>
      <c r="AD161" s="17">
        <v>413.89499999999998</v>
      </c>
      <c r="AE161" s="17">
        <v>396.42200000000003</v>
      </c>
    </row>
    <row r="162" spans="1:31" x14ac:dyDescent="0.35">
      <c r="A162" s="3">
        <f t="shared" si="98"/>
        <v>146</v>
      </c>
      <c r="B162" s="17">
        <v>412.96899999999999</v>
      </c>
      <c r="C162" s="17">
        <v>414.18400000000003</v>
      </c>
      <c r="D162" s="17">
        <v>405.995</v>
      </c>
      <c r="E162" s="17">
        <v>428.27600000000001</v>
      </c>
      <c r="F162" s="17">
        <v>401.94400000000002</v>
      </c>
      <c r="G162" s="17">
        <v>412.56</v>
      </c>
      <c r="H162" s="17">
        <v>401.13499999999999</v>
      </c>
      <c r="I162" s="17">
        <v>481.11200000000002</v>
      </c>
      <c r="J162" s="17">
        <v>410.92099999999999</v>
      </c>
      <c r="K162" s="17">
        <v>453.39100000000002</v>
      </c>
      <c r="L162" s="17">
        <v>414.44499999999999</v>
      </c>
      <c r="M162" s="17">
        <v>440.41399999999999</v>
      </c>
      <c r="N162" s="17">
        <v>412.19499999999999</v>
      </c>
      <c r="O162" s="17">
        <v>409.17500000000001</v>
      </c>
      <c r="P162" s="17">
        <v>547.279</v>
      </c>
      <c r="Q162" s="17">
        <v>419.38</v>
      </c>
      <c r="R162" s="17"/>
      <c r="S162" s="17">
        <v>463.31</v>
      </c>
      <c r="T162" s="17"/>
      <c r="U162" s="17">
        <v>402.096</v>
      </c>
      <c r="V162" s="17">
        <v>408.43900000000002</v>
      </c>
      <c r="W162" s="17"/>
      <c r="X162" s="17">
        <v>429.90899999999999</v>
      </c>
      <c r="Y162" s="17">
        <v>672.17</v>
      </c>
      <c r="Z162" s="17">
        <v>402.41500000000002</v>
      </c>
      <c r="AA162" s="17">
        <v>430.10399999999998</v>
      </c>
      <c r="AB162" s="17">
        <v>412.935</v>
      </c>
      <c r="AC162" s="17">
        <v>400.27600000000001</v>
      </c>
      <c r="AD162" s="17">
        <v>413.41800000000001</v>
      </c>
      <c r="AE162" s="17">
        <v>400.42</v>
      </c>
    </row>
    <row r="163" spans="1:31" x14ac:dyDescent="0.35">
      <c r="A163" s="3">
        <f t="shared" si="98"/>
        <v>147</v>
      </c>
      <c r="B163" s="17">
        <v>413.13499999999999</v>
      </c>
      <c r="C163" s="17">
        <v>413.98099999999999</v>
      </c>
      <c r="D163" s="17">
        <v>407.17</v>
      </c>
      <c r="E163" s="17">
        <v>427.95299999999997</v>
      </c>
      <c r="F163" s="17">
        <v>403.49299999999999</v>
      </c>
      <c r="G163" s="17">
        <v>412.21800000000002</v>
      </c>
      <c r="H163" s="17">
        <v>401.23899999999998</v>
      </c>
      <c r="I163" s="17">
        <v>481.10899999999998</v>
      </c>
      <c r="J163" s="17">
        <v>410.66199999999998</v>
      </c>
      <c r="K163" s="17">
        <v>455.18700000000001</v>
      </c>
      <c r="L163" s="17">
        <v>415.29500000000002</v>
      </c>
      <c r="M163" s="17">
        <v>439.68799999999999</v>
      </c>
      <c r="N163" s="17">
        <v>412.22399999999999</v>
      </c>
      <c r="O163" s="17">
        <v>408.76100000000002</v>
      </c>
      <c r="P163" s="17">
        <v>547.27499999999998</v>
      </c>
      <c r="Q163" s="17">
        <v>420.06099999999998</v>
      </c>
      <c r="R163" s="17"/>
      <c r="S163" s="17">
        <v>463.49900000000002</v>
      </c>
      <c r="T163" s="17"/>
      <c r="U163" s="17">
        <v>403.19</v>
      </c>
      <c r="V163" s="17">
        <v>408.09100000000001</v>
      </c>
      <c r="W163" s="17"/>
      <c r="X163" s="17">
        <v>429.86099999999999</v>
      </c>
      <c r="Y163" s="17">
        <v>672.86</v>
      </c>
      <c r="Z163" s="17">
        <v>402.11099999999999</v>
      </c>
      <c r="AA163" s="17">
        <v>431.32100000000003</v>
      </c>
      <c r="AB163" s="17">
        <v>410.09699999999998</v>
      </c>
      <c r="AC163" s="17">
        <v>401.03500000000003</v>
      </c>
      <c r="AD163" s="17">
        <v>412.86099999999999</v>
      </c>
      <c r="AE163" s="17">
        <v>402.803</v>
      </c>
    </row>
    <row r="164" spans="1:31" x14ac:dyDescent="0.35">
      <c r="A164" s="3">
        <f t="shared" si="98"/>
        <v>148</v>
      </c>
      <c r="B164" s="17">
        <v>412.988</v>
      </c>
      <c r="C164" s="17">
        <v>415.11</v>
      </c>
      <c r="D164" s="17">
        <v>407.09399999999999</v>
      </c>
      <c r="E164" s="17">
        <v>428.154</v>
      </c>
      <c r="F164" s="17">
        <v>403.66699999999997</v>
      </c>
      <c r="G164" s="17">
        <v>411.95299999999997</v>
      </c>
      <c r="H164" s="17">
        <v>400.36099999999999</v>
      </c>
      <c r="I164" s="17">
        <v>480.42899999999997</v>
      </c>
      <c r="J164" s="17">
        <v>410.25099999999998</v>
      </c>
      <c r="K164" s="17">
        <v>453.464</v>
      </c>
      <c r="L164" s="17">
        <v>415.291</v>
      </c>
      <c r="M164" s="17">
        <v>440.36500000000001</v>
      </c>
      <c r="N164" s="17">
        <v>412.90699999999998</v>
      </c>
      <c r="O164" s="17">
        <v>410.18900000000002</v>
      </c>
      <c r="P164" s="17">
        <v>547.38900000000001</v>
      </c>
      <c r="Q164" s="17">
        <v>420.25</v>
      </c>
      <c r="R164" s="17"/>
      <c r="S164" s="17">
        <v>464.69499999999999</v>
      </c>
      <c r="T164" s="17"/>
      <c r="U164" s="17">
        <v>403.46600000000001</v>
      </c>
      <c r="V164" s="17">
        <v>408.02800000000002</v>
      </c>
      <c r="W164" s="17"/>
      <c r="X164" s="17">
        <v>430.39</v>
      </c>
      <c r="Y164" s="17">
        <v>670.83900000000006</v>
      </c>
      <c r="Z164" s="17">
        <v>402.49299999999999</v>
      </c>
      <c r="AA164" s="17">
        <v>430.62599999999998</v>
      </c>
      <c r="AB164" s="17">
        <v>411.64100000000002</v>
      </c>
      <c r="AC164" s="17">
        <v>400.07499999999999</v>
      </c>
      <c r="AD164" s="17">
        <v>412.18099999999998</v>
      </c>
      <c r="AE164" s="17">
        <v>398.46899999999999</v>
      </c>
    </row>
    <row r="165" spans="1:31" x14ac:dyDescent="0.35">
      <c r="A165" s="3">
        <f t="shared" si="98"/>
        <v>149</v>
      </c>
      <c r="B165" s="17">
        <v>412.899</v>
      </c>
      <c r="C165" s="17">
        <v>414.13200000000001</v>
      </c>
      <c r="D165" s="17">
        <v>407.125</v>
      </c>
      <c r="E165" s="17">
        <v>428.12700000000001</v>
      </c>
      <c r="F165" s="17">
        <v>402.74799999999999</v>
      </c>
      <c r="G165" s="17">
        <v>412.33699999999999</v>
      </c>
      <c r="H165" s="17">
        <v>400.779</v>
      </c>
      <c r="I165" s="17">
        <v>480.56299999999999</v>
      </c>
      <c r="J165" s="17">
        <v>411.18</v>
      </c>
      <c r="K165" s="17">
        <v>453.57299999999998</v>
      </c>
      <c r="L165" s="17">
        <v>415.58</v>
      </c>
      <c r="M165" s="17">
        <v>440.05500000000001</v>
      </c>
      <c r="N165" s="17">
        <v>412.44400000000002</v>
      </c>
      <c r="O165" s="17">
        <v>410.06799999999998</v>
      </c>
      <c r="P165" s="17">
        <v>547.97</v>
      </c>
      <c r="Q165" s="17">
        <v>420.36599999999999</v>
      </c>
      <c r="R165" s="17"/>
      <c r="S165" s="17">
        <v>463.267</v>
      </c>
      <c r="T165" s="17"/>
      <c r="U165" s="17">
        <v>403.34500000000003</v>
      </c>
      <c r="V165" s="17">
        <v>407.71499999999997</v>
      </c>
      <c r="W165" s="17"/>
      <c r="X165" s="17">
        <v>430.04300000000001</v>
      </c>
      <c r="Y165" s="17">
        <v>672.89800000000002</v>
      </c>
      <c r="Z165" s="17">
        <v>402.83600000000001</v>
      </c>
      <c r="AA165" s="17">
        <v>429.93200000000002</v>
      </c>
      <c r="AB165" s="17">
        <v>411.99200000000002</v>
      </c>
      <c r="AC165" s="17">
        <v>399.34199999999998</v>
      </c>
      <c r="AD165" s="17">
        <v>413.15600000000001</v>
      </c>
      <c r="AE165" s="17">
        <v>396.22699999999998</v>
      </c>
    </row>
    <row r="166" spans="1:31" x14ac:dyDescent="0.35">
      <c r="A166" s="3">
        <f t="shared" si="98"/>
        <v>150</v>
      </c>
      <c r="B166" s="17">
        <v>413.14600000000002</v>
      </c>
      <c r="C166" s="17">
        <v>414.66399999999999</v>
      </c>
      <c r="D166" s="17">
        <v>407.21800000000002</v>
      </c>
      <c r="E166" s="17">
        <v>428.98500000000001</v>
      </c>
      <c r="F166" s="17">
        <v>401.47800000000001</v>
      </c>
      <c r="G166" s="17">
        <v>412.541</v>
      </c>
      <c r="H166" s="17">
        <v>400.41399999999999</v>
      </c>
      <c r="I166" s="17">
        <v>481.76400000000001</v>
      </c>
      <c r="J166" s="17">
        <v>410.76799999999997</v>
      </c>
      <c r="K166" s="17">
        <v>454.01799999999997</v>
      </c>
      <c r="L166" s="17">
        <v>415.572</v>
      </c>
      <c r="M166" s="17">
        <v>440.15100000000001</v>
      </c>
      <c r="N166" s="17">
        <v>412.60500000000002</v>
      </c>
      <c r="O166" s="17">
        <v>410.053</v>
      </c>
      <c r="P166" s="17">
        <v>548.33399999999995</v>
      </c>
      <c r="Q166" s="17">
        <v>420.21499999999997</v>
      </c>
      <c r="R166" s="17"/>
      <c r="S166" s="17">
        <v>464.28100000000001</v>
      </c>
      <c r="T166" s="17"/>
      <c r="U166" s="17">
        <v>401.78100000000001</v>
      </c>
      <c r="V166" s="17">
        <v>407.64600000000002</v>
      </c>
      <c r="W166" s="17"/>
      <c r="X166" s="17">
        <v>430.71</v>
      </c>
      <c r="Y166" s="17">
        <v>672.44</v>
      </c>
      <c r="Z166" s="17">
        <v>402.93099999999998</v>
      </c>
      <c r="AA166" s="17">
        <v>430.904</v>
      </c>
      <c r="AB166" s="17">
        <v>410.96600000000001</v>
      </c>
      <c r="AC166" s="17">
        <v>401.73500000000001</v>
      </c>
      <c r="AD166" s="17">
        <v>412.47699999999998</v>
      </c>
      <c r="AE166" s="17">
        <v>400.14499999999998</v>
      </c>
    </row>
    <row r="167" spans="1:31" x14ac:dyDescent="0.35">
      <c r="A167" s="3">
        <f t="shared" si="98"/>
        <v>151</v>
      </c>
      <c r="B167" s="17">
        <v>411.85599999999999</v>
      </c>
      <c r="C167" s="17">
        <v>414.04</v>
      </c>
      <c r="D167" s="17">
        <v>406.47399999999999</v>
      </c>
      <c r="E167" s="17">
        <v>427.863</v>
      </c>
      <c r="F167" s="17">
        <v>402.71600000000001</v>
      </c>
      <c r="G167" s="17">
        <v>412.47899999999998</v>
      </c>
      <c r="H167" s="17">
        <v>401.07400000000001</v>
      </c>
      <c r="I167" s="17">
        <v>481.21899999999999</v>
      </c>
      <c r="J167" s="17">
        <v>409.72699999999998</v>
      </c>
      <c r="K167" s="17">
        <v>454.03500000000003</v>
      </c>
      <c r="L167" s="17">
        <v>415.15699999999998</v>
      </c>
      <c r="M167" s="17">
        <v>438.99299999999999</v>
      </c>
      <c r="N167" s="17">
        <v>413.34399999999999</v>
      </c>
      <c r="O167" s="17">
        <v>410.82600000000002</v>
      </c>
      <c r="P167" s="17">
        <v>547.81899999999996</v>
      </c>
      <c r="Q167" s="17">
        <v>421.03399999999999</v>
      </c>
      <c r="R167" s="17"/>
      <c r="S167" s="17">
        <v>463.96100000000001</v>
      </c>
      <c r="T167" s="17"/>
      <c r="U167" s="17">
        <v>403.14100000000002</v>
      </c>
      <c r="V167" s="17">
        <v>407.96100000000001</v>
      </c>
      <c r="W167" s="17"/>
      <c r="X167" s="17">
        <v>431.40800000000002</v>
      </c>
      <c r="Y167" s="17">
        <v>671.78300000000002</v>
      </c>
      <c r="Z167" s="17">
        <v>403.54700000000003</v>
      </c>
      <c r="AA167" s="17">
        <v>431.37</v>
      </c>
      <c r="AB167" s="17">
        <v>413.20800000000003</v>
      </c>
      <c r="AC167" s="17">
        <v>401.58699999999999</v>
      </c>
      <c r="AD167" s="17">
        <v>414.23500000000001</v>
      </c>
      <c r="AE167" s="17">
        <v>401.137</v>
      </c>
    </row>
    <row r="168" spans="1:31" x14ac:dyDescent="0.35">
      <c r="A168" s="3">
        <f t="shared" si="98"/>
        <v>152</v>
      </c>
      <c r="B168" s="17">
        <v>413.52600000000001</v>
      </c>
      <c r="C168" s="17">
        <v>415.017</v>
      </c>
      <c r="D168" s="17">
        <v>407.12700000000001</v>
      </c>
      <c r="E168" s="17">
        <v>427.77</v>
      </c>
      <c r="F168" s="17">
        <v>403.32499999999999</v>
      </c>
      <c r="G168" s="17">
        <v>413.23700000000002</v>
      </c>
      <c r="H168" s="17">
        <v>400.39699999999999</v>
      </c>
      <c r="I168" s="17">
        <v>480.71199999999999</v>
      </c>
      <c r="J168" s="17">
        <v>410.03300000000002</v>
      </c>
      <c r="K168" s="17">
        <v>454.23500000000001</v>
      </c>
      <c r="L168" s="17">
        <v>415.63299999999998</v>
      </c>
      <c r="M168" s="17">
        <v>439.84199999999998</v>
      </c>
      <c r="N168" s="17">
        <v>412.47899999999998</v>
      </c>
      <c r="O168" s="17">
        <v>409.98200000000003</v>
      </c>
      <c r="P168" s="17">
        <v>548.37800000000004</v>
      </c>
      <c r="Q168" s="17">
        <v>421.27100000000002</v>
      </c>
      <c r="R168" s="17"/>
      <c r="S168" s="17">
        <v>463.86099999999999</v>
      </c>
      <c r="T168" s="17"/>
      <c r="U168" s="17">
        <v>402.63900000000001</v>
      </c>
      <c r="V168" s="17">
        <v>408.36</v>
      </c>
      <c r="W168" s="17"/>
      <c r="X168" s="17">
        <v>430.26400000000001</v>
      </c>
      <c r="Y168" s="17">
        <v>672.55200000000002</v>
      </c>
      <c r="Z168" s="17">
        <v>403.17399999999998</v>
      </c>
      <c r="AA168" s="17">
        <v>429.17399999999998</v>
      </c>
      <c r="AB168" s="17">
        <v>412.05</v>
      </c>
      <c r="AC168" s="17">
        <v>402.36599999999999</v>
      </c>
      <c r="AD168" s="17">
        <v>413.45699999999999</v>
      </c>
      <c r="AE168" s="17">
        <v>403.59</v>
      </c>
    </row>
    <row r="169" spans="1:31" x14ac:dyDescent="0.35">
      <c r="A169" s="3">
        <f t="shared" si="98"/>
        <v>153</v>
      </c>
      <c r="B169" s="17">
        <v>413.18700000000001</v>
      </c>
      <c r="C169" s="17">
        <v>414.447</v>
      </c>
      <c r="D169" s="17">
        <v>405.80599999999998</v>
      </c>
      <c r="E169" s="17">
        <v>428.23599999999999</v>
      </c>
      <c r="F169" s="17">
        <v>404.07400000000001</v>
      </c>
      <c r="G169" s="17">
        <v>412.25599999999997</v>
      </c>
      <c r="H169" s="17">
        <v>402.05799999999999</v>
      </c>
      <c r="I169" s="17">
        <v>481.87200000000001</v>
      </c>
      <c r="J169" s="17">
        <v>410.4</v>
      </c>
      <c r="K169" s="17">
        <v>454.80700000000002</v>
      </c>
      <c r="L169" s="17">
        <v>416.23200000000003</v>
      </c>
      <c r="M169" s="17">
        <v>438.81</v>
      </c>
      <c r="N169" s="17">
        <v>412.98899999999998</v>
      </c>
      <c r="O169" s="17">
        <v>410.72300000000001</v>
      </c>
      <c r="P169" s="17">
        <v>547.928</v>
      </c>
      <c r="Q169" s="17">
        <v>420.67500000000001</v>
      </c>
      <c r="R169" s="17"/>
      <c r="S169" s="17">
        <v>463.51400000000001</v>
      </c>
      <c r="T169" s="17"/>
      <c r="U169" s="17">
        <v>403.36900000000003</v>
      </c>
      <c r="V169" s="17">
        <v>408.46699999999998</v>
      </c>
      <c r="W169" s="17"/>
      <c r="X169" s="17">
        <v>430.53100000000001</v>
      </c>
      <c r="Y169" s="17">
        <v>672.10599999999999</v>
      </c>
      <c r="Z169" s="17">
        <v>403.27600000000001</v>
      </c>
      <c r="AA169" s="17">
        <v>428.99799999999999</v>
      </c>
      <c r="AB169" s="17">
        <v>413.22500000000002</v>
      </c>
      <c r="AC169" s="17">
        <v>401.04899999999998</v>
      </c>
      <c r="AD169" s="17">
        <v>414.79399999999998</v>
      </c>
      <c r="AE169" s="17">
        <v>403.66</v>
      </c>
    </row>
    <row r="170" spans="1:31" x14ac:dyDescent="0.35">
      <c r="A170" s="3">
        <f t="shared" si="98"/>
        <v>154</v>
      </c>
      <c r="B170" s="17">
        <v>413.839</v>
      </c>
      <c r="C170" s="17">
        <v>413.815</v>
      </c>
      <c r="D170" s="17">
        <v>406.46199999999999</v>
      </c>
      <c r="E170" s="17">
        <v>428.65199999999999</v>
      </c>
      <c r="F170" s="17">
        <v>402.51900000000001</v>
      </c>
      <c r="G170" s="17">
        <v>412.279</v>
      </c>
      <c r="H170" s="17">
        <v>399.90699999999998</v>
      </c>
      <c r="I170" s="17">
        <v>481.63799999999998</v>
      </c>
      <c r="J170" s="17">
        <v>410.24299999999999</v>
      </c>
      <c r="K170" s="17">
        <v>452.358</v>
      </c>
      <c r="L170" s="17">
        <v>415.24400000000003</v>
      </c>
      <c r="M170" s="17">
        <v>439.75900000000001</v>
      </c>
      <c r="N170" s="17">
        <v>411.60500000000002</v>
      </c>
      <c r="O170" s="17">
        <v>410.649</v>
      </c>
      <c r="P170" s="17">
        <v>548.53899999999999</v>
      </c>
      <c r="Q170" s="17">
        <v>420.75099999999998</v>
      </c>
      <c r="R170" s="17"/>
      <c r="S170" s="17">
        <v>463.45600000000002</v>
      </c>
      <c r="T170" s="17"/>
      <c r="U170" s="17">
        <v>401.93</v>
      </c>
      <c r="V170" s="17">
        <v>408.46300000000002</v>
      </c>
      <c r="W170" s="17"/>
      <c r="X170" s="17">
        <v>429.18599999999998</v>
      </c>
      <c r="Y170" s="17">
        <v>672.07299999999998</v>
      </c>
      <c r="Z170" s="17">
        <v>402.93</v>
      </c>
      <c r="AA170" s="17">
        <v>430.56599999999997</v>
      </c>
      <c r="AB170" s="17">
        <v>412.012</v>
      </c>
      <c r="AC170" s="17">
        <v>401.80399999999997</v>
      </c>
      <c r="AD170" s="17">
        <v>413.88299999999998</v>
      </c>
      <c r="AE170" s="17">
        <v>400.58199999999999</v>
      </c>
    </row>
    <row r="171" spans="1:31" x14ac:dyDescent="0.35">
      <c r="A171" s="3">
        <f t="shared" si="98"/>
        <v>155</v>
      </c>
      <c r="B171" s="17">
        <v>411.89600000000002</v>
      </c>
      <c r="C171" s="17">
        <v>414.75400000000002</v>
      </c>
      <c r="D171" s="17">
        <v>406.12200000000001</v>
      </c>
      <c r="E171" s="17">
        <v>428.24099999999999</v>
      </c>
      <c r="F171" s="17">
        <v>403.03300000000002</v>
      </c>
      <c r="G171" s="17">
        <v>412.04399999999998</v>
      </c>
      <c r="H171" s="17">
        <v>400.84300000000002</v>
      </c>
      <c r="I171" s="17">
        <v>480.83300000000003</v>
      </c>
      <c r="J171" s="17">
        <v>410.88900000000001</v>
      </c>
      <c r="K171" s="17">
        <v>454.18200000000002</v>
      </c>
      <c r="L171" s="17">
        <v>416.09500000000003</v>
      </c>
      <c r="M171" s="17">
        <v>440.089</v>
      </c>
      <c r="N171" s="17">
        <v>412.65100000000001</v>
      </c>
      <c r="O171" s="17">
        <v>410.93299999999999</v>
      </c>
      <c r="P171" s="17">
        <v>548.98699999999997</v>
      </c>
      <c r="Q171" s="17">
        <v>420.69499999999999</v>
      </c>
      <c r="R171" s="17"/>
      <c r="S171" s="17">
        <v>463.48399999999998</v>
      </c>
      <c r="T171" s="17"/>
      <c r="U171" s="17">
        <v>403.33600000000001</v>
      </c>
      <c r="V171" s="17">
        <v>410.47699999999998</v>
      </c>
      <c r="W171" s="17"/>
      <c r="X171" s="17">
        <v>431.15</v>
      </c>
      <c r="Y171" s="17">
        <v>670.74</v>
      </c>
      <c r="Z171" s="17">
        <v>403.90499999999997</v>
      </c>
      <c r="AA171" s="17">
        <v>429.81700000000001</v>
      </c>
      <c r="AB171" s="17">
        <v>412.70400000000001</v>
      </c>
      <c r="AC171" s="17">
        <v>402.03199999999998</v>
      </c>
      <c r="AD171" s="17">
        <v>414.36399999999998</v>
      </c>
      <c r="AE171" s="17">
        <v>401.49599999999998</v>
      </c>
    </row>
    <row r="172" spans="1:31" x14ac:dyDescent="0.35">
      <c r="A172" s="3">
        <f t="shared" si="98"/>
        <v>156</v>
      </c>
      <c r="B172" s="17">
        <v>412.85500000000002</v>
      </c>
      <c r="C172" s="17">
        <v>414.40800000000002</v>
      </c>
      <c r="D172" s="17">
        <v>407.00400000000002</v>
      </c>
      <c r="E172" s="17">
        <v>428.90699999999998</v>
      </c>
      <c r="F172" s="17">
        <v>402.55799999999999</v>
      </c>
      <c r="G172" s="17">
        <v>412.721</v>
      </c>
      <c r="H172" s="17">
        <v>401.64</v>
      </c>
      <c r="I172" s="17">
        <v>481.27800000000002</v>
      </c>
      <c r="J172" s="17">
        <v>411.74299999999999</v>
      </c>
      <c r="K172" s="17">
        <v>454.26100000000002</v>
      </c>
      <c r="L172" s="17">
        <v>416.42899999999997</v>
      </c>
      <c r="M172" s="17">
        <v>440.17</v>
      </c>
      <c r="N172" s="17">
        <v>410.94900000000001</v>
      </c>
      <c r="O172" s="17">
        <v>410.20600000000002</v>
      </c>
      <c r="P172" s="17">
        <v>548.10500000000002</v>
      </c>
      <c r="Q172" s="17">
        <v>420.75599999999997</v>
      </c>
      <c r="R172" s="17"/>
      <c r="S172" s="17">
        <v>462.49099999999999</v>
      </c>
      <c r="T172" s="17"/>
      <c r="U172" s="17">
        <v>402.00400000000002</v>
      </c>
      <c r="V172" s="17">
        <v>409.93099999999998</v>
      </c>
      <c r="W172" s="17"/>
      <c r="X172" s="17">
        <v>429.6</v>
      </c>
      <c r="Y172" s="17">
        <v>672.529</v>
      </c>
      <c r="Z172" s="17">
        <v>403.48</v>
      </c>
      <c r="AA172" s="17">
        <v>430.15199999999999</v>
      </c>
      <c r="AB172" s="17">
        <v>411.779</v>
      </c>
      <c r="AC172" s="17">
        <v>400.512</v>
      </c>
      <c r="AD172" s="17">
        <v>414.17200000000003</v>
      </c>
      <c r="AE172" s="17">
        <v>400.09899999999999</v>
      </c>
    </row>
    <row r="173" spans="1:31" x14ac:dyDescent="0.35">
      <c r="A173" s="3">
        <f t="shared" si="98"/>
        <v>157</v>
      </c>
      <c r="B173" s="17">
        <v>413.08</v>
      </c>
      <c r="C173" s="17">
        <v>414.84399999999999</v>
      </c>
      <c r="D173" s="17">
        <v>406.06799999999998</v>
      </c>
      <c r="E173" s="17">
        <v>429.26400000000001</v>
      </c>
      <c r="F173" s="17">
        <v>403.072</v>
      </c>
      <c r="G173" s="17">
        <v>412.803</v>
      </c>
      <c r="H173" s="17">
        <v>401.48399999999998</v>
      </c>
      <c r="I173" s="17">
        <v>481.45299999999997</v>
      </c>
      <c r="J173" s="17">
        <v>410.779</v>
      </c>
      <c r="K173" s="17">
        <v>454.745</v>
      </c>
      <c r="L173" s="17">
        <v>415.39800000000002</v>
      </c>
      <c r="M173" s="17">
        <v>441.11500000000001</v>
      </c>
      <c r="N173" s="17">
        <v>412.28</v>
      </c>
      <c r="O173" s="17">
        <v>410.18700000000001</v>
      </c>
      <c r="P173" s="17">
        <v>549.10599999999999</v>
      </c>
      <c r="Q173" s="17">
        <v>421.762</v>
      </c>
      <c r="R173" s="17"/>
      <c r="S173" s="17">
        <v>462.25400000000002</v>
      </c>
      <c r="T173" s="17"/>
      <c r="U173" s="17">
        <v>401.95499999999998</v>
      </c>
      <c r="V173" s="17">
        <v>408.56</v>
      </c>
      <c r="W173" s="17"/>
      <c r="X173" s="17">
        <v>430.79300000000001</v>
      </c>
      <c r="Y173" s="17">
        <v>671.827</v>
      </c>
      <c r="Z173" s="17">
        <v>403.15100000000001</v>
      </c>
      <c r="AA173" s="17">
        <v>428.44400000000002</v>
      </c>
      <c r="AB173" s="17">
        <v>411.19299999999998</v>
      </c>
      <c r="AC173" s="17">
        <v>401.37099999999998</v>
      </c>
      <c r="AD173" s="17">
        <v>413.58600000000001</v>
      </c>
      <c r="AE173" s="17">
        <v>399.238</v>
      </c>
    </row>
    <row r="174" spans="1:31" x14ac:dyDescent="0.35">
      <c r="A174" s="3">
        <f t="shared" si="98"/>
        <v>158</v>
      </c>
      <c r="B174" s="17">
        <v>412.96699999999998</v>
      </c>
      <c r="C174" s="17">
        <v>414.24400000000003</v>
      </c>
      <c r="D174" s="17">
        <v>405.59199999999998</v>
      </c>
      <c r="E174" s="17">
        <v>429.024</v>
      </c>
      <c r="F174" s="17">
        <v>402.87</v>
      </c>
      <c r="G174" s="17">
        <v>412.779</v>
      </c>
      <c r="H174" s="17">
        <v>401.50200000000001</v>
      </c>
      <c r="I174" s="17">
        <v>481.41899999999998</v>
      </c>
      <c r="J174" s="17">
        <v>411.541</v>
      </c>
      <c r="K174" s="17">
        <v>454.88400000000001</v>
      </c>
      <c r="L174" s="17">
        <v>416.07799999999997</v>
      </c>
      <c r="M174" s="17">
        <v>440.19299999999998</v>
      </c>
      <c r="N174" s="17">
        <v>412.20100000000002</v>
      </c>
      <c r="O174" s="17">
        <v>409.81099999999998</v>
      </c>
      <c r="P174" s="17">
        <v>548.82799999999997</v>
      </c>
      <c r="Q174" s="17">
        <v>420.77499999999998</v>
      </c>
      <c r="R174" s="17"/>
      <c r="S174" s="17">
        <v>464.06099999999998</v>
      </c>
      <c r="T174" s="17"/>
      <c r="U174" s="17">
        <v>402.69200000000001</v>
      </c>
      <c r="V174" s="17">
        <v>407.44400000000002</v>
      </c>
      <c r="W174" s="17"/>
      <c r="X174" s="17">
        <v>431.274</v>
      </c>
      <c r="Y174" s="17">
        <v>671.39099999999996</v>
      </c>
      <c r="Z174" s="17">
        <v>403.077</v>
      </c>
      <c r="AA174" s="17">
        <v>430.24099999999999</v>
      </c>
      <c r="AB174" s="17">
        <v>413.17700000000002</v>
      </c>
      <c r="AC174" s="17">
        <v>401.33100000000002</v>
      </c>
      <c r="AD174" s="17">
        <v>413.923</v>
      </c>
      <c r="AE174" s="17">
        <v>396.91899999999998</v>
      </c>
    </row>
    <row r="175" spans="1:31" x14ac:dyDescent="0.35">
      <c r="A175" s="3">
        <f t="shared" si="98"/>
        <v>159</v>
      </c>
      <c r="B175" s="17">
        <v>412.95499999999998</v>
      </c>
      <c r="C175" s="17">
        <v>415.20499999999998</v>
      </c>
      <c r="D175" s="17">
        <v>407.25</v>
      </c>
      <c r="E175" s="17">
        <v>428.20400000000001</v>
      </c>
      <c r="F175" s="17">
        <v>402.23899999999998</v>
      </c>
      <c r="G175" s="17">
        <v>412.02100000000002</v>
      </c>
      <c r="H175" s="17">
        <v>401.31099999999998</v>
      </c>
      <c r="I175" s="17">
        <v>481.024</v>
      </c>
      <c r="J175" s="17">
        <v>411.95800000000003</v>
      </c>
      <c r="K175" s="17">
        <v>454.64</v>
      </c>
      <c r="L175" s="17">
        <v>415.709</v>
      </c>
      <c r="M175" s="17">
        <v>440.12599999999998</v>
      </c>
      <c r="N175" s="17">
        <v>412.44600000000003</v>
      </c>
      <c r="O175" s="17">
        <v>411.51799999999997</v>
      </c>
      <c r="P175" s="17">
        <v>548.69200000000001</v>
      </c>
      <c r="Q175" s="17">
        <v>421.10599999999999</v>
      </c>
      <c r="R175" s="17"/>
      <c r="S175" s="17">
        <v>462.99900000000002</v>
      </c>
      <c r="T175" s="17"/>
      <c r="U175" s="17">
        <v>403.08100000000002</v>
      </c>
      <c r="V175" s="17">
        <v>408.53199999999998</v>
      </c>
      <c r="W175" s="17"/>
      <c r="X175" s="17">
        <v>430.34500000000003</v>
      </c>
      <c r="Y175" s="17">
        <v>673.76400000000001</v>
      </c>
      <c r="Z175" s="17">
        <v>403.512</v>
      </c>
      <c r="AA175" s="17">
        <v>429.87599999999998</v>
      </c>
      <c r="AB175" s="17">
        <v>412.28399999999999</v>
      </c>
      <c r="AC175" s="17">
        <v>400.45299999999997</v>
      </c>
      <c r="AD175" s="17">
        <v>413.95800000000003</v>
      </c>
      <c r="AE175" s="17">
        <v>398.11</v>
      </c>
    </row>
    <row r="176" spans="1:31" x14ac:dyDescent="0.35">
      <c r="A176" s="3">
        <f t="shared" si="98"/>
        <v>160</v>
      </c>
      <c r="B176" s="17">
        <v>412.73200000000003</v>
      </c>
      <c r="C176" s="17">
        <v>416.09399999999999</v>
      </c>
      <c r="D176" s="17">
        <v>407.90300000000002</v>
      </c>
      <c r="E176" s="17">
        <v>428.48099999999999</v>
      </c>
      <c r="F176" s="17">
        <v>404.084</v>
      </c>
      <c r="G176" s="17">
        <v>412.34</v>
      </c>
      <c r="H176" s="17">
        <v>400.88099999999997</v>
      </c>
      <c r="I176" s="17">
        <v>481.923</v>
      </c>
      <c r="J176" s="17">
        <v>410.88799999999998</v>
      </c>
      <c r="K176" s="17">
        <v>455.39400000000001</v>
      </c>
      <c r="L176" s="17">
        <v>415.23899999999998</v>
      </c>
      <c r="M176" s="17">
        <v>440.70299999999997</v>
      </c>
      <c r="N176" s="17">
        <v>412.93700000000001</v>
      </c>
      <c r="O176" s="17">
        <v>412.20100000000002</v>
      </c>
      <c r="P176" s="17">
        <v>549.38800000000003</v>
      </c>
      <c r="Q176" s="17">
        <v>420.52300000000002</v>
      </c>
      <c r="R176" s="17"/>
      <c r="S176" s="17">
        <v>464.36500000000001</v>
      </c>
      <c r="T176" s="17"/>
      <c r="U176" s="17">
        <v>404.09199999999998</v>
      </c>
      <c r="V176" s="17">
        <v>409.71100000000001</v>
      </c>
      <c r="W176" s="17"/>
      <c r="X176" s="17">
        <v>431.15600000000001</v>
      </c>
      <c r="Y176" s="17">
        <v>671.69100000000003</v>
      </c>
      <c r="Z176" s="17">
        <v>403.52499999999998</v>
      </c>
      <c r="AA176" s="17">
        <v>429.32600000000002</v>
      </c>
      <c r="AB176" s="17">
        <v>411.95600000000002</v>
      </c>
      <c r="AC176" s="17">
        <v>402.02499999999998</v>
      </c>
      <c r="AD176" s="17">
        <v>412.14400000000001</v>
      </c>
      <c r="AE176" s="17">
        <v>400.096</v>
      </c>
    </row>
    <row r="177" spans="1:31" x14ac:dyDescent="0.35">
      <c r="A177" s="3">
        <f t="shared" si="98"/>
        <v>161</v>
      </c>
      <c r="B177" s="17">
        <v>412.77</v>
      </c>
      <c r="C177" s="17">
        <v>414.74200000000002</v>
      </c>
      <c r="D177" s="17">
        <v>406.36799999999999</v>
      </c>
      <c r="E177" s="17">
        <v>428.81799999999998</v>
      </c>
      <c r="F177" s="17">
        <v>402.69799999999998</v>
      </c>
      <c r="G177" s="17">
        <v>412.964</v>
      </c>
      <c r="H177" s="17">
        <v>401.85599999999999</v>
      </c>
      <c r="I177" s="17">
        <v>480.35899999999998</v>
      </c>
      <c r="J177" s="17">
        <v>410.952</v>
      </c>
      <c r="K177" s="17">
        <v>454.90100000000001</v>
      </c>
      <c r="L177" s="17">
        <v>415.77699999999999</v>
      </c>
      <c r="M177" s="17">
        <v>440.81</v>
      </c>
      <c r="N177" s="17">
        <v>412.911</v>
      </c>
      <c r="O177" s="17">
        <v>410.75</v>
      </c>
      <c r="P177" s="17">
        <v>549.07299999999998</v>
      </c>
      <c r="Q177" s="17">
        <v>422.41699999999997</v>
      </c>
      <c r="R177" s="17"/>
      <c r="S177" s="17">
        <v>463.625</v>
      </c>
      <c r="T177" s="17"/>
      <c r="U177" s="17">
        <v>402.363</v>
      </c>
      <c r="V177" s="17">
        <v>408.70600000000002</v>
      </c>
      <c r="W177" s="17"/>
      <c r="X177" s="17">
        <v>432.04700000000003</v>
      </c>
      <c r="Y177" s="17">
        <v>671.63400000000001</v>
      </c>
      <c r="Z177" s="17">
        <v>403.767</v>
      </c>
      <c r="AA177" s="17">
        <v>430.19499999999999</v>
      </c>
      <c r="AB177" s="17">
        <v>412.83800000000002</v>
      </c>
      <c r="AC177" s="17">
        <v>400.072</v>
      </c>
      <c r="AD177" s="17">
        <v>413.03899999999999</v>
      </c>
      <c r="AE177" s="17">
        <v>401.74799999999999</v>
      </c>
    </row>
    <row r="178" spans="1:31" x14ac:dyDescent="0.35">
      <c r="A178" s="3">
        <f t="shared" ref="A178:A241" si="99">A177+1</f>
        <v>162</v>
      </c>
      <c r="B178" s="17">
        <v>413.13499999999999</v>
      </c>
      <c r="C178" s="17">
        <v>414.56</v>
      </c>
      <c r="D178" s="17">
        <v>405.47399999999999</v>
      </c>
      <c r="E178" s="17">
        <v>428.54300000000001</v>
      </c>
      <c r="F178" s="17">
        <v>403.62299999999999</v>
      </c>
      <c r="G178" s="17">
        <v>412.13400000000001</v>
      </c>
      <c r="H178" s="17">
        <v>400.75299999999999</v>
      </c>
      <c r="I178" s="17">
        <v>481.14100000000002</v>
      </c>
      <c r="J178" s="17">
        <v>411.36700000000002</v>
      </c>
      <c r="K178" s="17">
        <v>455.197</v>
      </c>
      <c r="L178" s="17">
        <v>415.36799999999999</v>
      </c>
      <c r="M178" s="17">
        <v>440.22899999999998</v>
      </c>
      <c r="N178" s="17">
        <v>412.53899999999999</v>
      </c>
      <c r="O178" s="17">
        <v>411.21699999999998</v>
      </c>
      <c r="P178" s="17">
        <v>548.87199999999996</v>
      </c>
      <c r="Q178" s="17">
        <v>421.93799999999999</v>
      </c>
      <c r="R178" s="17"/>
      <c r="S178" s="17">
        <v>463.54300000000001</v>
      </c>
      <c r="T178" s="17"/>
      <c r="U178" s="17">
        <v>402.541</v>
      </c>
      <c r="V178" s="17">
        <v>409.28199999999998</v>
      </c>
      <c r="W178" s="17"/>
      <c r="X178" s="17">
        <v>431.20100000000002</v>
      </c>
      <c r="Y178" s="17">
        <v>671.43499999999995</v>
      </c>
      <c r="Z178" s="17">
        <v>404.322</v>
      </c>
      <c r="AA178" s="17">
        <v>432.38099999999997</v>
      </c>
      <c r="AB178" s="17">
        <v>412.38200000000001</v>
      </c>
      <c r="AC178" s="17">
        <v>400.87099999999998</v>
      </c>
      <c r="AD178" s="17">
        <v>413.69499999999999</v>
      </c>
      <c r="AE178" s="17">
        <v>403.18400000000003</v>
      </c>
    </row>
    <row r="179" spans="1:31" x14ac:dyDescent="0.35">
      <c r="A179" s="3">
        <f t="shared" si="99"/>
        <v>163</v>
      </c>
      <c r="B179" s="17">
        <v>413.60700000000003</v>
      </c>
      <c r="C179" s="17">
        <v>415.90699999999998</v>
      </c>
      <c r="D179" s="17">
        <v>407.43900000000002</v>
      </c>
      <c r="E179" s="17">
        <v>427.97300000000001</v>
      </c>
      <c r="F179" s="17">
        <v>403.74200000000002</v>
      </c>
      <c r="G179" s="17">
        <v>412.47699999999998</v>
      </c>
      <c r="H179" s="17">
        <v>400.68</v>
      </c>
      <c r="I179" s="17">
        <v>481.56099999999998</v>
      </c>
      <c r="J179" s="17">
        <v>411.18400000000003</v>
      </c>
      <c r="K179" s="17">
        <v>454.78800000000001</v>
      </c>
      <c r="L179" s="17">
        <v>415.11799999999999</v>
      </c>
      <c r="M179" s="17">
        <v>442.029</v>
      </c>
      <c r="N179" s="17">
        <v>412.351</v>
      </c>
      <c r="O179" s="17">
        <v>411.27699999999999</v>
      </c>
      <c r="P179" s="17">
        <v>549.30200000000002</v>
      </c>
      <c r="Q179" s="17">
        <v>422.25299999999999</v>
      </c>
      <c r="R179" s="17"/>
      <c r="S179" s="17">
        <v>462.67099999999999</v>
      </c>
      <c r="T179" s="17"/>
      <c r="U179" s="17">
        <v>402.69099999999997</v>
      </c>
      <c r="V179" s="17">
        <v>408.714</v>
      </c>
      <c r="W179" s="17"/>
      <c r="X179" s="17">
        <v>432.291</v>
      </c>
      <c r="Y179" s="17">
        <v>671.03700000000003</v>
      </c>
      <c r="Z179" s="17">
        <v>404.517</v>
      </c>
      <c r="AA179" s="17">
        <v>432.27199999999999</v>
      </c>
      <c r="AB179" s="17">
        <v>413.57799999999997</v>
      </c>
      <c r="AC179" s="17">
        <v>400.89100000000002</v>
      </c>
      <c r="AD179" s="17">
        <v>413.88900000000001</v>
      </c>
      <c r="AE179" s="17">
        <v>399.66300000000001</v>
      </c>
    </row>
    <row r="180" spans="1:31" x14ac:dyDescent="0.35">
      <c r="A180" s="3">
        <f t="shared" si="99"/>
        <v>164</v>
      </c>
      <c r="B180" s="17">
        <v>413.49299999999999</v>
      </c>
      <c r="C180" s="17">
        <v>415.74</v>
      </c>
      <c r="D180" s="17">
        <v>406.34199999999998</v>
      </c>
      <c r="E180" s="17">
        <v>428.43400000000003</v>
      </c>
      <c r="F180" s="17">
        <v>403.49400000000003</v>
      </c>
      <c r="G180" s="17">
        <v>412.12900000000002</v>
      </c>
      <c r="H180" s="17">
        <v>401.79300000000001</v>
      </c>
      <c r="I180" s="17">
        <v>481.12599999999998</v>
      </c>
      <c r="J180" s="17">
        <v>411.15699999999998</v>
      </c>
      <c r="K180" s="17">
        <v>455.08300000000003</v>
      </c>
      <c r="L180" s="17">
        <v>415.52199999999999</v>
      </c>
      <c r="M180" s="17">
        <v>439.83800000000002</v>
      </c>
      <c r="N180" s="17">
        <v>413.50099999999998</v>
      </c>
      <c r="O180" s="17">
        <v>411.04599999999999</v>
      </c>
      <c r="P180" s="17">
        <v>549.37</v>
      </c>
      <c r="Q180" s="17">
        <v>423.26100000000002</v>
      </c>
      <c r="R180" s="17"/>
      <c r="S180" s="17">
        <v>462.84100000000001</v>
      </c>
      <c r="T180" s="17"/>
      <c r="U180" s="17">
        <v>403.673</v>
      </c>
      <c r="V180" s="17">
        <v>410.13600000000002</v>
      </c>
      <c r="W180" s="17"/>
      <c r="X180" s="17">
        <v>431.38900000000001</v>
      </c>
      <c r="Y180" s="17">
        <v>671.59900000000005</v>
      </c>
      <c r="Z180" s="17">
        <v>403.803</v>
      </c>
      <c r="AA180" s="17">
        <v>431.34199999999998</v>
      </c>
      <c r="AB180" s="17">
        <v>411.55900000000003</v>
      </c>
      <c r="AC180" s="17">
        <v>400.48200000000003</v>
      </c>
      <c r="AD180" s="17">
        <v>413.62299999999999</v>
      </c>
      <c r="AE180" s="17">
        <v>397.39499999999998</v>
      </c>
    </row>
    <row r="181" spans="1:31" x14ac:dyDescent="0.35">
      <c r="A181" s="3">
        <f t="shared" si="99"/>
        <v>165</v>
      </c>
      <c r="B181" s="17">
        <v>413.935</v>
      </c>
      <c r="C181" s="17">
        <v>416.28699999999998</v>
      </c>
      <c r="D181" s="17">
        <v>405.89400000000001</v>
      </c>
      <c r="E181" s="17">
        <v>429.57900000000001</v>
      </c>
      <c r="F181" s="17">
        <v>403.6</v>
      </c>
      <c r="G181" s="17">
        <v>412.69299999999998</v>
      </c>
      <c r="H181" s="17">
        <v>400.92700000000002</v>
      </c>
      <c r="I181" s="17">
        <v>480.41899999999998</v>
      </c>
      <c r="J181" s="17">
        <v>410.78800000000001</v>
      </c>
      <c r="K181" s="17">
        <v>454.63400000000001</v>
      </c>
      <c r="L181" s="17">
        <v>416.101</v>
      </c>
      <c r="M181" s="17">
        <v>440.46</v>
      </c>
      <c r="N181" s="17">
        <v>412.45600000000002</v>
      </c>
      <c r="O181" s="17">
        <v>412.52</v>
      </c>
      <c r="P181" s="17">
        <v>548.322</v>
      </c>
      <c r="Q181" s="17">
        <v>423.08100000000002</v>
      </c>
      <c r="R181" s="17"/>
      <c r="S181" s="17">
        <v>463.56099999999998</v>
      </c>
      <c r="T181" s="17"/>
      <c r="U181" s="17">
        <v>402.238</v>
      </c>
      <c r="V181" s="17">
        <v>410.84899999999999</v>
      </c>
      <c r="W181" s="17"/>
      <c r="X181" s="17">
        <v>431.11</v>
      </c>
      <c r="Y181" s="17">
        <v>671.13</v>
      </c>
      <c r="Z181" s="17">
        <v>405.31799999999998</v>
      </c>
      <c r="AA181" s="17">
        <v>430.875</v>
      </c>
      <c r="AB181" s="17">
        <v>412.04500000000002</v>
      </c>
      <c r="AC181" s="17">
        <v>399.97</v>
      </c>
      <c r="AD181" s="17">
        <v>414.09199999999998</v>
      </c>
      <c r="AE181" s="17">
        <v>396.82400000000001</v>
      </c>
    </row>
    <row r="182" spans="1:31" x14ac:dyDescent="0.35">
      <c r="A182" s="3">
        <f t="shared" si="99"/>
        <v>166</v>
      </c>
      <c r="B182" s="17">
        <v>413.82299999999998</v>
      </c>
      <c r="C182" s="17">
        <v>416.11700000000002</v>
      </c>
      <c r="D182" s="17">
        <v>406.55799999999999</v>
      </c>
      <c r="E182" s="17">
        <v>428.483</v>
      </c>
      <c r="F182" s="17">
        <v>403.94400000000002</v>
      </c>
      <c r="G182" s="17">
        <v>412.06299999999999</v>
      </c>
      <c r="H182" s="17">
        <v>401.07100000000003</v>
      </c>
      <c r="I182" s="17">
        <v>480.52300000000002</v>
      </c>
      <c r="J182" s="17">
        <v>411.34500000000003</v>
      </c>
      <c r="K182" s="17">
        <v>454.91500000000002</v>
      </c>
      <c r="L182" s="17">
        <v>414.54399999999998</v>
      </c>
      <c r="M182" s="17">
        <v>439.95400000000001</v>
      </c>
      <c r="N182" s="17">
        <v>412.55099999999999</v>
      </c>
      <c r="O182" s="17">
        <v>411.75700000000001</v>
      </c>
      <c r="P182" s="17">
        <v>548.79</v>
      </c>
      <c r="Q182" s="17">
        <v>423.61799999999999</v>
      </c>
      <c r="R182" s="17"/>
      <c r="S182" s="17">
        <v>464.17700000000002</v>
      </c>
      <c r="T182" s="17"/>
      <c r="U182" s="17">
        <v>403.8</v>
      </c>
      <c r="V182" s="17">
        <v>409.75400000000002</v>
      </c>
      <c r="W182" s="17"/>
      <c r="X182" s="17">
        <v>431.95499999999998</v>
      </c>
      <c r="Y182" s="17">
        <v>670.51700000000005</v>
      </c>
      <c r="Z182" s="17">
        <v>404.93400000000003</v>
      </c>
      <c r="AA182" s="17">
        <v>431.25</v>
      </c>
      <c r="AB182" s="17">
        <v>412.94400000000002</v>
      </c>
      <c r="AC182" s="17">
        <v>399.72500000000002</v>
      </c>
      <c r="AD182" s="17">
        <v>413.71199999999999</v>
      </c>
      <c r="AE182" s="17">
        <v>398.46899999999999</v>
      </c>
    </row>
    <row r="183" spans="1:31" x14ac:dyDescent="0.35">
      <c r="A183" s="3">
        <f t="shared" si="99"/>
        <v>167</v>
      </c>
      <c r="B183" s="17">
        <v>414.28199999999998</v>
      </c>
      <c r="C183" s="17">
        <v>415.697</v>
      </c>
      <c r="D183" s="17">
        <v>407.07</v>
      </c>
      <c r="E183" s="17">
        <v>429.35</v>
      </c>
      <c r="F183" s="17">
        <v>404.34300000000002</v>
      </c>
      <c r="G183" s="17">
        <v>413.14699999999999</v>
      </c>
      <c r="H183" s="17">
        <v>401.47500000000002</v>
      </c>
      <c r="I183" s="17">
        <v>480.93599999999998</v>
      </c>
      <c r="J183" s="17">
        <v>410.67500000000001</v>
      </c>
      <c r="K183" s="17">
        <v>454.57</v>
      </c>
      <c r="L183" s="17">
        <v>415.43799999999999</v>
      </c>
      <c r="M183" s="17">
        <v>440.709</v>
      </c>
      <c r="N183" s="17">
        <v>413.10700000000003</v>
      </c>
      <c r="O183" s="17">
        <v>411.24299999999999</v>
      </c>
      <c r="P183" s="17">
        <v>548.66800000000001</v>
      </c>
      <c r="Q183" s="17">
        <v>423.02</v>
      </c>
      <c r="R183" s="17"/>
      <c r="S183" s="17">
        <v>464.49299999999999</v>
      </c>
      <c r="T183" s="17"/>
      <c r="U183" s="17">
        <v>403.45800000000003</v>
      </c>
      <c r="V183" s="17">
        <v>409.29</v>
      </c>
      <c r="W183" s="17"/>
      <c r="X183" s="17">
        <v>431.92399999999998</v>
      </c>
      <c r="Y183" s="17">
        <v>670.44399999999996</v>
      </c>
      <c r="Z183" s="17">
        <v>404.09500000000003</v>
      </c>
      <c r="AA183" s="17">
        <v>430.84399999999999</v>
      </c>
      <c r="AB183" s="17">
        <v>412.02600000000001</v>
      </c>
      <c r="AC183" s="17">
        <v>399.28800000000001</v>
      </c>
      <c r="AD183" s="17">
        <v>415.70499999999998</v>
      </c>
      <c r="AE183" s="17">
        <v>401.69099999999997</v>
      </c>
    </row>
    <row r="184" spans="1:31" x14ac:dyDescent="0.35">
      <c r="A184" s="3">
        <f t="shared" si="99"/>
        <v>168</v>
      </c>
      <c r="B184" s="17">
        <v>412.55500000000001</v>
      </c>
      <c r="C184" s="17">
        <v>415.30900000000003</v>
      </c>
      <c r="D184" s="17">
        <v>406.52800000000002</v>
      </c>
      <c r="E184" s="17">
        <v>428.07100000000003</v>
      </c>
      <c r="F184" s="17">
        <v>404.48599999999999</v>
      </c>
      <c r="G184" s="17">
        <v>412.822</v>
      </c>
      <c r="H184" s="17">
        <v>401.60399999999998</v>
      </c>
      <c r="I184" s="17">
        <v>480.197</v>
      </c>
      <c r="J184" s="17">
        <v>411.70600000000002</v>
      </c>
      <c r="K184" s="17">
        <v>455.26600000000002</v>
      </c>
      <c r="L184" s="17">
        <v>415.34199999999998</v>
      </c>
      <c r="M184" s="17">
        <v>439.47699999999998</v>
      </c>
      <c r="N184" s="17">
        <v>413.03199999999998</v>
      </c>
      <c r="O184" s="17">
        <v>411.875</v>
      </c>
      <c r="P184" s="17">
        <v>549.35900000000004</v>
      </c>
      <c r="Q184" s="17">
        <v>422.87900000000002</v>
      </c>
      <c r="R184" s="17"/>
      <c r="S184" s="17">
        <v>463.62200000000001</v>
      </c>
      <c r="T184" s="17"/>
      <c r="U184" s="17">
        <v>403.483</v>
      </c>
      <c r="V184" s="17">
        <v>408.22300000000001</v>
      </c>
      <c r="W184" s="17"/>
      <c r="X184" s="17">
        <v>431.69099999999997</v>
      </c>
      <c r="Y184" s="17">
        <v>671.54100000000005</v>
      </c>
      <c r="Z184" s="17">
        <v>404.24900000000002</v>
      </c>
      <c r="AA184" s="17">
        <v>431.63900000000001</v>
      </c>
      <c r="AB184" s="17">
        <v>412.95699999999999</v>
      </c>
      <c r="AC184" s="17">
        <v>400.81299999999999</v>
      </c>
      <c r="AD184" s="17">
        <v>414.423</v>
      </c>
      <c r="AE184" s="17">
        <v>403.84199999999998</v>
      </c>
    </row>
    <row r="185" spans="1:31" x14ac:dyDescent="0.35">
      <c r="A185" s="3">
        <f t="shared" si="99"/>
        <v>169</v>
      </c>
      <c r="B185" s="17">
        <v>413.45</v>
      </c>
      <c r="C185" s="17">
        <v>416.28100000000001</v>
      </c>
      <c r="D185" s="17">
        <v>405.89600000000002</v>
      </c>
      <c r="E185" s="17">
        <v>428.92599999999999</v>
      </c>
      <c r="F185" s="17">
        <v>404.51100000000002</v>
      </c>
      <c r="G185" s="17">
        <v>412.18299999999999</v>
      </c>
      <c r="H185" s="17">
        <v>400.93</v>
      </c>
      <c r="I185" s="17">
        <v>480.642</v>
      </c>
      <c r="J185" s="17">
        <v>410.67200000000003</v>
      </c>
      <c r="K185" s="17">
        <v>454.90499999999997</v>
      </c>
      <c r="L185" s="17">
        <v>416.28100000000001</v>
      </c>
      <c r="M185" s="17">
        <v>441.14699999999999</v>
      </c>
      <c r="N185" s="17">
        <v>414.13799999999998</v>
      </c>
      <c r="O185" s="17">
        <v>411.48700000000002</v>
      </c>
      <c r="P185" s="17">
        <v>549.08000000000004</v>
      </c>
      <c r="Q185" s="17">
        <v>422.33699999999999</v>
      </c>
      <c r="R185" s="17"/>
      <c r="S185" s="17">
        <v>463.56</v>
      </c>
      <c r="T185" s="17"/>
      <c r="U185" s="17">
        <v>404.18900000000002</v>
      </c>
      <c r="V185" s="17">
        <v>409.274</v>
      </c>
      <c r="W185" s="17"/>
      <c r="X185" s="17">
        <v>431.68900000000002</v>
      </c>
      <c r="Y185" s="17">
        <v>671.6</v>
      </c>
      <c r="Z185" s="17">
        <v>405.23399999999998</v>
      </c>
      <c r="AA185" s="17">
        <v>430.02499999999998</v>
      </c>
      <c r="AB185" s="17">
        <v>411.125</v>
      </c>
      <c r="AC185" s="17">
        <v>400.327</v>
      </c>
      <c r="AD185" s="17">
        <v>413.43099999999998</v>
      </c>
      <c r="AE185" s="17">
        <v>399.48200000000003</v>
      </c>
    </row>
    <row r="186" spans="1:31" x14ac:dyDescent="0.35">
      <c r="A186" s="3">
        <f t="shared" si="99"/>
        <v>170</v>
      </c>
      <c r="B186" s="17">
        <v>413.50900000000001</v>
      </c>
      <c r="C186" s="17">
        <v>414.851</v>
      </c>
      <c r="D186" s="17">
        <v>407.202</v>
      </c>
      <c r="E186" s="17">
        <v>428.54700000000003</v>
      </c>
      <c r="F186" s="17">
        <v>403.601</v>
      </c>
      <c r="G186" s="17">
        <v>412.48899999999998</v>
      </c>
      <c r="H186" s="17">
        <v>401.51499999999999</v>
      </c>
      <c r="I186" s="17">
        <v>480.58199999999999</v>
      </c>
      <c r="J186" s="17">
        <v>410.649</v>
      </c>
      <c r="K186" s="17">
        <v>454.197</v>
      </c>
      <c r="L186" s="17">
        <v>416.392</v>
      </c>
      <c r="M186" s="17">
        <v>441.16300000000001</v>
      </c>
      <c r="N186" s="17">
        <v>413.21899999999999</v>
      </c>
      <c r="O186" s="17">
        <v>412.03800000000001</v>
      </c>
      <c r="P186" s="17">
        <v>549.23199999999997</v>
      </c>
      <c r="Q186" s="17">
        <v>423.56</v>
      </c>
      <c r="R186" s="17"/>
      <c r="S186" s="17">
        <v>462.98</v>
      </c>
      <c r="T186" s="17"/>
      <c r="U186" s="17">
        <v>403.88499999999999</v>
      </c>
      <c r="V186" s="17">
        <v>408.71300000000002</v>
      </c>
      <c r="W186" s="17"/>
      <c r="X186" s="17">
        <v>431.673</v>
      </c>
      <c r="Y186" s="17">
        <v>670.36599999999999</v>
      </c>
      <c r="Z186" s="17">
        <v>404.483</v>
      </c>
      <c r="AA186" s="17">
        <v>432.779</v>
      </c>
      <c r="AB186" s="17">
        <v>413.48200000000003</v>
      </c>
      <c r="AC186" s="17">
        <v>401.142</v>
      </c>
      <c r="AD186" s="17">
        <v>414.66800000000001</v>
      </c>
      <c r="AE186" s="17">
        <v>398.76299999999998</v>
      </c>
    </row>
    <row r="187" spans="1:31" x14ac:dyDescent="0.35">
      <c r="A187" s="3">
        <f t="shared" si="99"/>
        <v>171</v>
      </c>
      <c r="B187" s="17">
        <v>413.53399999999999</v>
      </c>
      <c r="C187" s="17">
        <v>415.98399999999998</v>
      </c>
      <c r="D187" s="17">
        <v>406.41699999999997</v>
      </c>
      <c r="E187" s="17">
        <v>429.48</v>
      </c>
      <c r="F187" s="17">
        <v>403.887</v>
      </c>
      <c r="G187" s="17">
        <v>412.90699999999998</v>
      </c>
      <c r="H187" s="17">
        <v>402.54599999999999</v>
      </c>
      <c r="I187" s="17">
        <v>480.69200000000001</v>
      </c>
      <c r="J187" s="17">
        <v>410.97399999999999</v>
      </c>
      <c r="K187" s="17">
        <v>453.72300000000001</v>
      </c>
      <c r="L187" s="17">
        <v>415.18900000000002</v>
      </c>
      <c r="M187" s="17">
        <v>440.54</v>
      </c>
      <c r="N187" s="17">
        <v>412.23200000000003</v>
      </c>
      <c r="O187" s="17">
        <v>411.846</v>
      </c>
      <c r="P187" s="17">
        <v>548.67999999999995</v>
      </c>
      <c r="Q187" s="17">
        <v>423.48</v>
      </c>
      <c r="R187" s="17"/>
      <c r="S187" s="17">
        <v>463.65100000000001</v>
      </c>
      <c r="T187" s="17"/>
      <c r="U187" s="17">
        <v>404.88400000000001</v>
      </c>
      <c r="V187" s="17">
        <v>409.01499999999999</v>
      </c>
      <c r="W187" s="17"/>
      <c r="X187" s="17">
        <v>431.49099999999999</v>
      </c>
      <c r="Y187" s="17">
        <v>670.93899999999996</v>
      </c>
      <c r="Z187" s="17">
        <v>403.435</v>
      </c>
      <c r="AA187" s="17">
        <v>431.25299999999999</v>
      </c>
      <c r="AB187" s="17">
        <v>412.42200000000003</v>
      </c>
      <c r="AC187" s="17">
        <v>401.06099999999998</v>
      </c>
      <c r="AD187" s="17">
        <v>414.92399999999998</v>
      </c>
      <c r="AE187" s="17">
        <v>401.72399999999999</v>
      </c>
    </row>
    <row r="188" spans="1:31" x14ac:dyDescent="0.35">
      <c r="A188" s="3">
        <f t="shared" si="99"/>
        <v>172</v>
      </c>
      <c r="B188" s="17">
        <v>413.72699999999998</v>
      </c>
      <c r="C188" s="17">
        <v>416.84800000000001</v>
      </c>
      <c r="D188" s="17">
        <v>406.85300000000001</v>
      </c>
      <c r="E188" s="17">
        <v>428.83300000000003</v>
      </c>
      <c r="F188" s="17">
        <v>404.14</v>
      </c>
      <c r="G188" s="17">
        <v>412.72899999999998</v>
      </c>
      <c r="H188" s="17">
        <v>401.36500000000001</v>
      </c>
      <c r="I188" s="17">
        <v>481.31099999999998</v>
      </c>
      <c r="J188" s="17">
        <v>412.54300000000001</v>
      </c>
      <c r="K188" s="17">
        <v>454.44499999999999</v>
      </c>
      <c r="L188" s="17">
        <v>414.53</v>
      </c>
      <c r="M188" s="17">
        <v>440.291</v>
      </c>
      <c r="N188" s="17">
        <v>413.06700000000001</v>
      </c>
      <c r="O188" s="17">
        <v>411.38600000000002</v>
      </c>
      <c r="P188" s="17">
        <v>548.97400000000005</v>
      </c>
      <c r="Q188" s="17">
        <v>424.24900000000002</v>
      </c>
      <c r="R188" s="17"/>
      <c r="S188" s="17">
        <v>462.86900000000003</v>
      </c>
      <c r="T188" s="17"/>
      <c r="U188" s="17">
        <v>402.995</v>
      </c>
      <c r="V188" s="17">
        <v>409.12299999999999</v>
      </c>
      <c r="W188" s="17"/>
      <c r="X188" s="17">
        <v>431.755</v>
      </c>
      <c r="Y188" s="17">
        <v>670.505</v>
      </c>
      <c r="Z188" s="17">
        <v>404.56099999999998</v>
      </c>
      <c r="AA188" s="17">
        <v>430.47699999999998</v>
      </c>
      <c r="AB188" s="17">
        <v>412.29899999999998</v>
      </c>
      <c r="AC188" s="17">
        <v>401.79300000000001</v>
      </c>
      <c r="AD188" s="17">
        <v>413.68400000000003</v>
      </c>
      <c r="AE188" s="17">
        <v>404.30099999999999</v>
      </c>
    </row>
    <row r="189" spans="1:31" x14ac:dyDescent="0.35">
      <c r="A189" s="3">
        <f t="shared" si="99"/>
        <v>173</v>
      </c>
      <c r="B189" s="17">
        <v>414.09800000000001</v>
      </c>
      <c r="C189" s="17">
        <v>415.82</v>
      </c>
      <c r="D189" s="17">
        <v>407.28899999999999</v>
      </c>
      <c r="E189" s="17">
        <v>429.12299999999999</v>
      </c>
      <c r="F189" s="17">
        <v>404.68599999999998</v>
      </c>
      <c r="G189" s="17">
        <v>413.363</v>
      </c>
      <c r="H189" s="17">
        <v>400.91</v>
      </c>
      <c r="I189" s="17">
        <v>480.71899999999999</v>
      </c>
      <c r="J189" s="17">
        <v>411.63600000000002</v>
      </c>
      <c r="K189" s="17">
        <v>452.93</v>
      </c>
      <c r="L189" s="17">
        <v>414.38900000000001</v>
      </c>
      <c r="M189" s="17">
        <v>440.29500000000002</v>
      </c>
      <c r="N189" s="17">
        <v>413.92</v>
      </c>
      <c r="O189" s="17">
        <v>411.72800000000001</v>
      </c>
      <c r="P189" s="17">
        <v>549.33100000000002</v>
      </c>
      <c r="Q189" s="17">
        <v>423.16</v>
      </c>
      <c r="R189" s="17"/>
      <c r="S189" s="17">
        <v>463.66699999999997</v>
      </c>
      <c r="T189" s="17"/>
      <c r="U189" s="17">
        <v>403.23</v>
      </c>
      <c r="V189" s="17">
        <v>410.14800000000002</v>
      </c>
      <c r="W189" s="17"/>
      <c r="X189" s="17">
        <v>431.625</v>
      </c>
      <c r="Y189" s="17">
        <v>671.29100000000005</v>
      </c>
      <c r="Z189" s="17">
        <v>404.70100000000002</v>
      </c>
      <c r="AA189" s="17">
        <v>431.51100000000002</v>
      </c>
      <c r="AB189" s="17">
        <v>412.59</v>
      </c>
      <c r="AC189" s="17">
        <v>402.12200000000001</v>
      </c>
      <c r="AD189" s="17">
        <v>413.61099999999999</v>
      </c>
      <c r="AE189" s="17">
        <v>399.24900000000002</v>
      </c>
    </row>
    <row r="190" spans="1:31" x14ac:dyDescent="0.35">
      <c r="A190" s="3">
        <f t="shared" si="99"/>
        <v>174</v>
      </c>
      <c r="B190" s="17">
        <v>413.48099999999999</v>
      </c>
      <c r="C190" s="17">
        <v>415.65300000000002</v>
      </c>
      <c r="D190" s="17">
        <v>406.55799999999999</v>
      </c>
      <c r="E190" s="17">
        <v>428.83800000000002</v>
      </c>
      <c r="F190" s="17">
        <v>404.85199999999998</v>
      </c>
      <c r="G190" s="17">
        <v>413.03500000000003</v>
      </c>
      <c r="H190" s="17">
        <v>400.87799999999999</v>
      </c>
      <c r="I190" s="17">
        <v>480.57799999999997</v>
      </c>
      <c r="J190" s="17">
        <v>411.41699999999997</v>
      </c>
      <c r="K190" s="17">
        <v>454.84500000000003</v>
      </c>
      <c r="L190" s="17">
        <v>415.28300000000002</v>
      </c>
      <c r="M190" s="17">
        <v>440.98599999999999</v>
      </c>
      <c r="N190" s="17">
        <v>414.35599999999999</v>
      </c>
      <c r="O190" s="17">
        <v>412.11700000000002</v>
      </c>
      <c r="P190" s="17">
        <v>548.26300000000003</v>
      </c>
      <c r="Q190" s="17">
        <v>423.81200000000001</v>
      </c>
      <c r="R190" s="17"/>
      <c r="S190" s="17">
        <v>463.447</v>
      </c>
      <c r="T190" s="17"/>
      <c r="U190" s="17">
        <v>403.767</v>
      </c>
      <c r="V190" s="17">
        <v>410.613</v>
      </c>
      <c r="W190" s="17"/>
      <c r="X190" s="17">
        <v>431.38299999999998</v>
      </c>
      <c r="Y190" s="17">
        <v>668.99400000000003</v>
      </c>
      <c r="Z190" s="17">
        <v>405.95100000000002</v>
      </c>
      <c r="AA190" s="17">
        <v>430.93700000000001</v>
      </c>
      <c r="AB190" s="17">
        <v>411.54300000000001</v>
      </c>
      <c r="AC190" s="17">
        <v>401.48</v>
      </c>
      <c r="AD190" s="17">
        <v>413.20800000000003</v>
      </c>
      <c r="AE190" s="17">
        <v>400.28699999999998</v>
      </c>
    </row>
    <row r="191" spans="1:31" x14ac:dyDescent="0.35">
      <c r="A191" s="3">
        <f t="shared" si="99"/>
        <v>175</v>
      </c>
      <c r="B191" s="17">
        <v>412.97500000000002</v>
      </c>
      <c r="C191" s="17">
        <v>415.42700000000002</v>
      </c>
      <c r="D191" s="17">
        <v>406.62</v>
      </c>
      <c r="E191" s="17">
        <v>429.23599999999999</v>
      </c>
      <c r="F191" s="17">
        <v>404.02199999999999</v>
      </c>
      <c r="G191" s="17">
        <v>413.36799999999999</v>
      </c>
      <c r="H191" s="17">
        <v>401.39299999999997</v>
      </c>
      <c r="I191" s="17">
        <v>481</v>
      </c>
      <c r="J191" s="17">
        <v>411.50900000000001</v>
      </c>
      <c r="K191" s="17">
        <v>454.66500000000002</v>
      </c>
      <c r="L191" s="17">
        <v>414.66</v>
      </c>
      <c r="M191" s="17">
        <v>441.57</v>
      </c>
      <c r="N191" s="17">
        <v>412.346</v>
      </c>
      <c r="O191" s="17">
        <v>412.702</v>
      </c>
      <c r="P191" s="17">
        <v>549.40800000000002</v>
      </c>
      <c r="Q191" s="17">
        <v>424.26</v>
      </c>
      <c r="R191" s="17"/>
      <c r="S191" s="17">
        <v>464.089</v>
      </c>
      <c r="T191" s="17"/>
      <c r="U191" s="17">
        <v>403.01499999999999</v>
      </c>
      <c r="V191" s="17">
        <v>410.12700000000001</v>
      </c>
      <c r="W191" s="17"/>
      <c r="X191" s="17">
        <v>432.86200000000002</v>
      </c>
      <c r="Y191" s="17">
        <v>670.053</v>
      </c>
      <c r="Z191" s="17">
        <v>404.63200000000001</v>
      </c>
      <c r="AA191" s="17">
        <v>432.40199999999999</v>
      </c>
      <c r="AB191" s="17">
        <v>412.41899999999998</v>
      </c>
      <c r="AC191" s="17">
        <v>401.95100000000002</v>
      </c>
      <c r="AD191" s="17">
        <v>415.00200000000001</v>
      </c>
      <c r="AE191" s="17">
        <v>403.04599999999999</v>
      </c>
    </row>
    <row r="192" spans="1:31" x14ac:dyDescent="0.35">
      <c r="A192" s="3">
        <f t="shared" si="99"/>
        <v>176</v>
      </c>
      <c r="B192" s="17">
        <v>413.55700000000002</v>
      </c>
      <c r="C192" s="17">
        <v>415.26100000000002</v>
      </c>
      <c r="D192" s="17">
        <v>406.99700000000001</v>
      </c>
      <c r="E192" s="17">
        <v>429.346</v>
      </c>
      <c r="F192" s="17">
        <v>405.24200000000002</v>
      </c>
      <c r="G192" s="17">
        <v>412.17700000000002</v>
      </c>
      <c r="H192" s="17">
        <v>401.01600000000002</v>
      </c>
      <c r="I192" s="17">
        <v>480.98899999999998</v>
      </c>
      <c r="J192" s="17">
        <v>409.79700000000003</v>
      </c>
      <c r="K192" s="17">
        <v>452.94200000000001</v>
      </c>
      <c r="L192" s="17">
        <v>414.79899999999998</v>
      </c>
      <c r="M192" s="17">
        <v>440.73</v>
      </c>
      <c r="N192" s="17">
        <v>413.154</v>
      </c>
      <c r="O192" s="17">
        <v>412.411</v>
      </c>
      <c r="P192" s="17">
        <v>548.51300000000003</v>
      </c>
      <c r="Q192" s="17">
        <v>423.75299999999999</v>
      </c>
      <c r="R192" s="17"/>
      <c r="S192" s="17">
        <v>463.48500000000001</v>
      </c>
      <c r="T192" s="17"/>
      <c r="U192" s="17">
        <v>404.01</v>
      </c>
      <c r="V192" s="17">
        <v>409.29399999999998</v>
      </c>
      <c r="W192" s="17"/>
      <c r="X192" s="17">
        <v>433.12400000000002</v>
      </c>
      <c r="Y192" s="17">
        <v>670.26099999999997</v>
      </c>
      <c r="Z192" s="17">
        <v>405.041</v>
      </c>
      <c r="AA192" s="17">
        <v>431.45699999999999</v>
      </c>
      <c r="AB192" s="17">
        <v>413.101</v>
      </c>
      <c r="AC192" s="17">
        <v>400.66699999999997</v>
      </c>
      <c r="AD192" s="17">
        <v>413.53100000000001</v>
      </c>
      <c r="AE192" s="17">
        <v>400.40699999999998</v>
      </c>
    </row>
    <row r="193" spans="1:31" x14ac:dyDescent="0.35">
      <c r="A193" s="3">
        <f t="shared" si="99"/>
        <v>177</v>
      </c>
      <c r="B193" s="17">
        <v>413.05900000000003</v>
      </c>
      <c r="C193" s="17">
        <v>416.11200000000002</v>
      </c>
      <c r="D193" s="17">
        <v>408.20400000000001</v>
      </c>
      <c r="E193" s="17">
        <v>428.74</v>
      </c>
      <c r="F193" s="17">
        <v>403.73399999999998</v>
      </c>
      <c r="G193" s="17">
        <v>412.66300000000001</v>
      </c>
      <c r="H193" s="17">
        <v>401.12400000000002</v>
      </c>
      <c r="I193" s="17">
        <v>481.68299999999999</v>
      </c>
      <c r="J193" s="17">
        <v>410.80700000000002</v>
      </c>
      <c r="K193" s="17">
        <v>454.40199999999999</v>
      </c>
      <c r="L193" s="17">
        <v>415.48200000000003</v>
      </c>
      <c r="M193" s="17">
        <v>440.78300000000002</v>
      </c>
      <c r="N193" s="17">
        <v>413.577</v>
      </c>
      <c r="O193" s="17">
        <v>411.5</v>
      </c>
      <c r="P193" s="17">
        <v>548.54499999999996</v>
      </c>
      <c r="Q193" s="17">
        <v>424.29300000000001</v>
      </c>
      <c r="R193" s="17"/>
      <c r="S193" s="17">
        <v>462.11900000000003</v>
      </c>
      <c r="T193" s="17"/>
      <c r="U193" s="17">
        <v>403.46699999999998</v>
      </c>
      <c r="V193" s="17">
        <v>410.447</v>
      </c>
      <c r="W193" s="17"/>
      <c r="X193" s="17">
        <v>433.036</v>
      </c>
      <c r="Y193" s="17">
        <v>669.57299999999998</v>
      </c>
      <c r="Z193" s="17">
        <v>404.94299999999998</v>
      </c>
      <c r="AA193" s="17">
        <v>432.40100000000001</v>
      </c>
      <c r="AB193" s="17">
        <v>413.36599999999999</v>
      </c>
      <c r="AC193" s="17">
        <v>402.42099999999999</v>
      </c>
      <c r="AD193" s="17">
        <v>414.416</v>
      </c>
      <c r="AE193" s="17">
        <v>401.46800000000002</v>
      </c>
    </row>
    <row r="194" spans="1:31" x14ac:dyDescent="0.35">
      <c r="A194" s="3">
        <f t="shared" si="99"/>
        <v>178</v>
      </c>
      <c r="B194" s="17">
        <v>413.85700000000003</v>
      </c>
      <c r="C194" s="17">
        <v>416.22399999999999</v>
      </c>
      <c r="D194" s="17">
        <v>407.8</v>
      </c>
      <c r="E194" s="17">
        <v>429.07799999999997</v>
      </c>
      <c r="F194" s="17">
        <v>404.93</v>
      </c>
      <c r="G194" s="17">
        <v>413.00599999999997</v>
      </c>
      <c r="H194" s="17">
        <v>401.59</v>
      </c>
      <c r="I194" s="17">
        <v>481.137</v>
      </c>
      <c r="J194" s="17">
        <v>411.459</v>
      </c>
      <c r="K194" s="17">
        <v>454.39699999999999</v>
      </c>
      <c r="L194" s="17">
        <v>414.42099999999999</v>
      </c>
      <c r="M194" s="17">
        <v>441.214</v>
      </c>
      <c r="N194" s="17">
        <v>412.90499999999997</v>
      </c>
      <c r="O194" s="17">
        <v>412.423</v>
      </c>
      <c r="P194" s="17">
        <v>548.20299999999997</v>
      </c>
      <c r="Q194" s="17">
        <v>424.68400000000003</v>
      </c>
      <c r="R194" s="17"/>
      <c r="S194" s="17">
        <v>463.02800000000002</v>
      </c>
      <c r="T194" s="17"/>
      <c r="U194" s="17">
        <v>402.93599999999998</v>
      </c>
      <c r="V194" s="17">
        <v>409.15300000000002</v>
      </c>
      <c r="W194" s="17"/>
      <c r="X194" s="17">
        <v>432.08600000000001</v>
      </c>
      <c r="Y194" s="17">
        <v>669.19</v>
      </c>
      <c r="Z194" s="17">
        <v>404.66500000000002</v>
      </c>
      <c r="AA194" s="17">
        <v>432.09100000000001</v>
      </c>
      <c r="AB194" s="17">
        <v>413.601</v>
      </c>
      <c r="AC194" s="17">
        <v>398.66399999999999</v>
      </c>
      <c r="AD194" s="17">
        <v>413.46699999999998</v>
      </c>
      <c r="AE194" s="17">
        <v>403.23500000000001</v>
      </c>
    </row>
    <row r="195" spans="1:31" x14ac:dyDescent="0.35">
      <c r="A195" s="3">
        <f t="shared" si="99"/>
        <v>179</v>
      </c>
      <c r="B195" s="17">
        <v>413.39400000000001</v>
      </c>
      <c r="C195" s="17">
        <v>415.81200000000001</v>
      </c>
      <c r="D195" s="17">
        <v>406.38</v>
      </c>
      <c r="E195" s="17">
        <v>428.90899999999999</v>
      </c>
      <c r="F195" s="17">
        <v>404.60500000000002</v>
      </c>
      <c r="G195" s="17">
        <v>411.77300000000002</v>
      </c>
      <c r="H195" s="17">
        <v>401.90499999999997</v>
      </c>
      <c r="I195" s="17">
        <v>480.565</v>
      </c>
      <c r="J195" s="17">
        <v>410.47800000000001</v>
      </c>
      <c r="K195" s="17">
        <v>453.13299999999998</v>
      </c>
      <c r="L195" s="17">
        <v>415.20299999999997</v>
      </c>
      <c r="M195" s="17">
        <v>440.423</v>
      </c>
      <c r="N195" s="17">
        <v>413.27199999999999</v>
      </c>
      <c r="O195" s="17">
        <v>412.88499999999999</v>
      </c>
      <c r="P195" s="17">
        <v>548.87800000000004</v>
      </c>
      <c r="Q195" s="17">
        <v>423.495</v>
      </c>
      <c r="R195" s="17"/>
      <c r="S195" s="17">
        <v>463.50900000000001</v>
      </c>
      <c r="T195" s="17"/>
      <c r="U195" s="17">
        <v>403.67500000000001</v>
      </c>
      <c r="V195" s="17">
        <v>409.68200000000002</v>
      </c>
      <c r="W195" s="17"/>
      <c r="X195" s="17">
        <v>432.32799999999997</v>
      </c>
      <c r="Y195" s="17">
        <v>669.44100000000003</v>
      </c>
      <c r="Z195" s="17">
        <v>404.87799999999999</v>
      </c>
      <c r="AA195" s="17">
        <v>433.65699999999998</v>
      </c>
      <c r="AB195" s="17">
        <v>412.517</v>
      </c>
      <c r="AC195" s="17">
        <v>401.988</v>
      </c>
      <c r="AD195" s="17">
        <v>413.63499999999999</v>
      </c>
      <c r="AE195" s="17">
        <v>402.50900000000001</v>
      </c>
    </row>
    <row r="196" spans="1:31" x14ac:dyDescent="0.35">
      <c r="A196" s="3">
        <f t="shared" si="99"/>
        <v>180</v>
      </c>
      <c r="B196" s="17">
        <v>413.97</v>
      </c>
      <c r="C196" s="17">
        <v>416.154</v>
      </c>
      <c r="D196" s="17">
        <v>406.524</v>
      </c>
      <c r="E196" s="17">
        <v>429.911</v>
      </c>
      <c r="F196" s="17">
        <v>403.62700000000001</v>
      </c>
      <c r="G196" s="17">
        <v>412.85700000000003</v>
      </c>
      <c r="H196" s="17">
        <v>401.52800000000002</v>
      </c>
      <c r="I196" s="17">
        <v>480.52100000000002</v>
      </c>
      <c r="J196" s="17">
        <v>411.51799999999997</v>
      </c>
      <c r="K196" s="17">
        <v>454.68</v>
      </c>
      <c r="L196" s="17">
        <v>414.39400000000001</v>
      </c>
      <c r="M196" s="17">
        <v>441.089</v>
      </c>
      <c r="N196" s="17">
        <v>412.88400000000001</v>
      </c>
      <c r="O196" s="17">
        <v>411.596</v>
      </c>
      <c r="P196" s="17">
        <v>547.71100000000001</v>
      </c>
      <c r="Q196" s="17">
        <v>424.89699999999999</v>
      </c>
      <c r="R196" s="17"/>
      <c r="S196" s="17">
        <v>462.392</v>
      </c>
      <c r="T196" s="17"/>
      <c r="U196" s="17">
        <v>402.93900000000002</v>
      </c>
      <c r="V196" s="17">
        <v>409.767</v>
      </c>
      <c r="W196" s="17"/>
      <c r="X196" s="17">
        <v>432.851</v>
      </c>
      <c r="Y196" s="17">
        <v>668.59100000000001</v>
      </c>
      <c r="Z196" s="17">
        <v>405.34100000000001</v>
      </c>
      <c r="AA196" s="17">
        <v>432.71300000000002</v>
      </c>
      <c r="AB196" s="17">
        <v>413.089</v>
      </c>
      <c r="AC196" s="17">
        <v>401.06200000000001</v>
      </c>
      <c r="AD196" s="17">
        <v>414.49700000000001</v>
      </c>
      <c r="AE196" s="17">
        <v>398.67399999999998</v>
      </c>
    </row>
    <row r="197" spans="1:31" x14ac:dyDescent="0.35">
      <c r="A197" s="3">
        <f t="shared" si="99"/>
        <v>181</v>
      </c>
      <c r="B197" s="17">
        <v>414.02600000000001</v>
      </c>
      <c r="C197" s="17">
        <v>416.947</v>
      </c>
      <c r="D197" s="17">
        <v>407.303</v>
      </c>
      <c r="E197" s="17">
        <v>429.524</v>
      </c>
      <c r="F197" s="17">
        <v>404.34300000000002</v>
      </c>
      <c r="G197" s="17">
        <v>411.488</v>
      </c>
      <c r="H197" s="17">
        <v>400.87200000000001</v>
      </c>
      <c r="I197" s="17">
        <v>480.97399999999999</v>
      </c>
      <c r="J197" s="17">
        <v>410.63099999999997</v>
      </c>
      <c r="K197" s="17">
        <v>453.803</v>
      </c>
      <c r="L197" s="17">
        <v>415.35700000000003</v>
      </c>
      <c r="M197" s="17">
        <v>439.91399999999999</v>
      </c>
      <c r="N197" s="17">
        <v>412.48399999999998</v>
      </c>
      <c r="O197" s="17">
        <v>412.96800000000002</v>
      </c>
      <c r="P197" s="17">
        <v>549.36</v>
      </c>
      <c r="Q197" s="17">
        <v>423.97199999999998</v>
      </c>
      <c r="R197" s="17"/>
      <c r="S197" s="17">
        <v>464.06200000000001</v>
      </c>
      <c r="T197" s="17"/>
      <c r="U197" s="17">
        <v>403.69900000000001</v>
      </c>
      <c r="V197" s="17">
        <v>409.91399999999999</v>
      </c>
      <c r="W197" s="17"/>
      <c r="X197" s="17">
        <v>432.73099999999999</v>
      </c>
      <c r="Y197" s="17">
        <v>669.38499999999999</v>
      </c>
      <c r="Z197" s="17">
        <v>405.07499999999999</v>
      </c>
      <c r="AA197" s="17">
        <v>431.29199999999997</v>
      </c>
      <c r="AB197" s="17">
        <v>414.899</v>
      </c>
      <c r="AC197" s="17">
        <v>401.31599999999997</v>
      </c>
      <c r="AD197" s="17">
        <v>415.14600000000002</v>
      </c>
      <c r="AE197" s="17">
        <v>401.25700000000001</v>
      </c>
    </row>
    <row r="198" spans="1:31" x14ac:dyDescent="0.35">
      <c r="A198" s="3">
        <f t="shared" si="99"/>
        <v>182</v>
      </c>
      <c r="B198" s="17">
        <v>413.43599999999998</v>
      </c>
      <c r="C198" s="17">
        <v>416.05700000000002</v>
      </c>
      <c r="D198" s="17">
        <v>407.21899999999999</v>
      </c>
      <c r="E198" s="17">
        <v>428.85500000000002</v>
      </c>
      <c r="F198" s="17">
        <v>404.26799999999997</v>
      </c>
      <c r="G198" s="17">
        <v>411.97199999999998</v>
      </c>
      <c r="H198" s="17">
        <v>402.096</v>
      </c>
      <c r="I198" s="17">
        <v>481.62799999999999</v>
      </c>
      <c r="J198" s="17">
        <v>411.16800000000001</v>
      </c>
      <c r="K198" s="17">
        <v>455.24</v>
      </c>
      <c r="L198" s="17">
        <v>415.517</v>
      </c>
      <c r="M198" s="17">
        <v>440.04199999999997</v>
      </c>
      <c r="N198" s="17">
        <v>411.36099999999999</v>
      </c>
      <c r="O198" s="17">
        <v>412.25599999999997</v>
      </c>
      <c r="P198" s="17">
        <v>548.73599999999999</v>
      </c>
      <c r="Q198" s="17">
        <v>424.339</v>
      </c>
      <c r="R198" s="17"/>
      <c r="S198" s="17">
        <v>464.048</v>
      </c>
      <c r="T198" s="17"/>
      <c r="U198" s="17">
        <v>403.37099999999998</v>
      </c>
      <c r="V198" s="17">
        <v>409.24900000000002</v>
      </c>
      <c r="W198" s="17"/>
      <c r="X198" s="17">
        <v>432.89400000000001</v>
      </c>
      <c r="Y198" s="17">
        <v>668.54899999999998</v>
      </c>
      <c r="Z198" s="17">
        <v>404.52300000000002</v>
      </c>
      <c r="AA198" s="17">
        <v>431.23599999999999</v>
      </c>
      <c r="AB198" s="17">
        <v>414.03500000000003</v>
      </c>
      <c r="AC198" s="17">
        <v>400.42399999999998</v>
      </c>
      <c r="AD198" s="17">
        <v>416.2</v>
      </c>
      <c r="AE198" s="17">
        <v>402.16300000000001</v>
      </c>
    </row>
    <row r="199" spans="1:31" x14ac:dyDescent="0.35">
      <c r="A199" s="3">
        <f t="shared" si="99"/>
        <v>183</v>
      </c>
      <c r="B199" s="17">
        <v>413.613</v>
      </c>
      <c r="C199" s="17">
        <v>416.61399999999998</v>
      </c>
      <c r="D199" s="17">
        <v>406.93299999999999</v>
      </c>
      <c r="E199" s="17">
        <v>429.553</v>
      </c>
      <c r="F199" s="17">
        <v>404.12299999999999</v>
      </c>
      <c r="G199" s="17">
        <v>411.95400000000001</v>
      </c>
      <c r="H199" s="17">
        <v>402.22800000000001</v>
      </c>
      <c r="I199" s="17">
        <v>481.35300000000001</v>
      </c>
      <c r="J199" s="17">
        <v>412.608</v>
      </c>
      <c r="K199" s="17">
        <v>454.75799999999998</v>
      </c>
      <c r="L199" s="17">
        <v>415.125</v>
      </c>
      <c r="M199" s="17">
        <v>440.53399999999999</v>
      </c>
      <c r="N199" s="17">
        <v>411.99200000000002</v>
      </c>
      <c r="O199" s="17">
        <v>412.45</v>
      </c>
      <c r="P199" s="17">
        <v>548.44100000000003</v>
      </c>
      <c r="Q199" s="17">
        <v>424.50799999999998</v>
      </c>
      <c r="R199" s="17"/>
      <c r="S199" s="17">
        <v>464.86700000000002</v>
      </c>
      <c r="T199" s="17"/>
      <c r="U199" s="17">
        <v>404.46899999999999</v>
      </c>
      <c r="V199" s="17">
        <v>411.34699999999998</v>
      </c>
      <c r="W199" s="17"/>
      <c r="X199" s="17">
        <v>432.82400000000001</v>
      </c>
      <c r="Y199" s="17">
        <v>668.95100000000002</v>
      </c>
      <c r="Z199" s="17">
        <v>406.11399999999998</v>
      </c>
      <c r="AA199" s="17">
        <v>431.697</v>
      </c>
      <c r="AB199" s="17">
        <v>412.49099999999999</v>
      </c>
      <c r="AC199" s="17">
        <v>400.67599999999999</v>
      </c>
      <c r="AD199" s="17">
        <v>414.149</v>
      </c>
      <c r="AE199" s="17">
        <v>403.22899999999998</v>
      </c>
    </row>
    <row r="200" spans="1:31" x14ac:dyDescent="0.35">
      <c r="A200" s="3">
        <f t="shared" si="99"/>
        <v>184</v>
      </c>
      <c r="B200" s="17">
        <v>413.84</v>
      </c>
      <c r="C200" s="17">
        <v>416.62</v>
      </c>
      <c r="D200" s="17">
        <v>407.72699999999998</v>
      </c>
      <c r="E200" s="17">
        <v>430.22</v>
      </c>
      <c r="F200" s="17">
        <v>405.363</v>
      </c>
      <c r="G200" s="17">
        <v>413.53199999999998</v>
      </c>
      <c r="H200" s="17">
        <v>401.15499999999997</v>
      </c>
      <c r="I200" s="17">
        <v>480.827</v>
      </c>
      <c r="J200" s="17">
        <v>411.23399999999998</v>
      </c>
      <c r="K200" s="17">
        <v>454.464</v>
      </c>
      <c r="L200" s="17">
        <v>415.101</v>
      </c>
      <c r="M200" s="17">
        <v>440.298</v>
      </c>
      <c r="N200" s="17">
        <v>413.06200000000001</v>
      </c>
      <c r="O200" s="17">
        <v>413.58800000000002</v>
      </c>
      <c r="P200" s="17">
        <v>548.78</v>
      </c>
      <c r="Q200" s="17">
        <v>424.71600000000001</v>
      </c>
      <c r="R200" s="17"/>
      <c r="S200" s="17">
        <v>464.096</v>
      </c>
      <c r="T200" s="17"/>
      <c r="U200" s="17">
        <v>404.255</v>
      </c>
      <c r="V200" s="17">
        <v>409.75700000000001</v>
      </c>
      <c r="W200" s="17"/>
      <c r="X200" s="17">
        <v>432.48</v>
      </c>
      <c r="Y200" s="17">
        <v>668.56500000000005</v>
      </c>
      <c r="Z200" s="17">
        <v>405.76100000000002</v>
      </c>
      <c r="AA200" s="17">
        <v>433.03399999999999</v>
      </c>
      <c r="AB200" s="17">
        <v>413.76400000000001</v>
      </c>
      <c r="AC200" s="17">
        <v>400.28500000000003</v>
      </c>
      <c r="AD200" s="17">
        <v>414.22</v>
      </c>
      <c r="AE200" s="17">
        <v>404.89100000000002</v>
      </c>
    </row>
    <row r="201" spans="1:31" x14ac:dyDescent="0.35">
      <c r="A201" s="3">
        <f t="shared" si="99"/>
        <v>185</v>
      </c>
      <c r="B201" s="17">
        <v>414.05799999999999</v>
      </c>
      <c r="C201" s="17">
        <v>417.61799999999999</v>
      </c>
      <c r="D201" s="17">
        <v>407.30799999999999</v>
      </c>
      <c r="E201" s="17">
        <v>429.13099999999997</v>
      </c>
      <c r="F201" s="17">
        <v>404.47300000000001</v>
      </c>
      <c r="G201" s="17">
        <v>412.79899999999998</v>
      </c>
      <c r="H201" s="17">
        <v>401.07799999999997</v>
      </c>
      <c r="I201" s="17">
        <v>481.1</v>
      </c>
      <c r="J201" s="17">
        <v>410.733</v>
      </c>
      <c r="K201" s="17">
        <v>455.34300000000002</v>
      </c>
      <c r="L201" s="17">
        <v>415.06700000000001</v>
      </c>
      <c r="M201" s="17">
        <v>440.87200000000001</v>
      </c>
      <c r="N201" s="17">
        <v>412.67200000000003</v>
      </c>
      <c r="O201" s="17">
        <v>412.55399999999997</v>
      </c>
      <c r="P201" s="17">
        <v>549.08399999999995</v>
      </c>
      <c r="Q201" s="17">
        <v>424.21800000000002</v>
      </c>
      <c r="R201" s="17"/>
      <c r="S201" s="17">
        <v>464.39299999999997</v>
      </c>
      <c r="T201" s="17"/>
      <c r="U201" s="17">
        <v>403.27199999999999</v>
      </c>
      <c r="V201" s="17">
        <v>410.42899999999997</v>
      </c>
      <c r="W201" s="17"/>
      <c r="X201" s="17">
        <v>433.084</v>
      </c>
      <c r="Y201" s="17">
        <v>667.79499999999996</v>
      </c>
      <c r="Z201" s="17">
        <v>406.3</v>
      </c>
      <c r="AA201" s="17">
        <v>431.33</v>
      </c>
      <c r="AB201" s="17">
        <v>413.94099999999997</v>
      </c>
      <c r="AC201" s="17">
        <v>401.72399999999999</v>
      </c>
      <c r="AD201" s="17">
        <v>415.05099999999999</v>
      </c>
      <c r="AE201" s="17">
        <v>402.24900000000002</v>
      </c>
    </row>
    <row r="202" spans="1:31" x14ac:dyDescent="0.35">
      <c r="A202" s="3">
        <f t="shared" si="99"/>
        <v>186</v>
      </c>
      <c r="B202" s="17">
        <v>413.416</v>
      </c>
      <c r="C202" s="17">
        <v>417.19200000000001</v>
      </c>
      <c r="D202" s="17">
        <v>407.26900000000001</v>
      </c>
      <c r="E202" s="17">
        <v>429.21899999999999</v>
      </c>
      <c r="F202" s="17">
        <v>404.40199999999999</v>
      </c>
      <c r="G202" s="17">
        <v>412.51600000000002</v>
      </c>
      <c r="H202" s="17">
        <v>401.18400000000003</v>
      </c>
      <c r="I202" s="17">
        <v>481.03</v>
      </c>
      <c r="J202" s="17">
        <v>411.13299999999998</v>
      </c>
      <c r="K202" s="17">
        <v>453.78500000000003</v>
      </c>
      <c r="L202" s="17">
        <v>414.71199999999999</v>
      </c>
      <c r="M202" s="17">
        <v>439.96199999999999</v>
      </c>
      <c r="N202" s="17">
        <v>412.86900000000003</v>
      </c>
      <c r="O202" s="17">
        <v>413.35399999999998</v>
      </c>
      <c r="P202" s="17">
        <v>548.32600000000002</v>
      </c>
      <c r="Q202" s="17">
        <v>423.91300000000001</v>
      </c>
      <c r="R202" s="17"/>
      <c r="S202" s="17">
        <v>463.62299999999999</v>
      </c>
      <c r="T202" s="17"/>
      <c r="U202" s="17">
        <v>403.72500000000002</v>
      </c>
      <c r="V202" s="17">
        <v>409.75200000000001</v>
      </c>
      <c r="W202" s="17"/>
      <c r="X202" s="17">
        <v>433.745</v>
      </c>
      <c r="Y202" s="17">
        <v>668.18600000000004</v>
      </c>
      <c r="Z202" s="17">
        <v>405.33800000000002</v>
      </c>
      <c r="AA202" s="17">
        <v>431.69</v>
      </c>
      <c r="AB202" s="17">
        <v>414.63</v>
      </c>
      <c r="AC202" s="17">
        <v>399.31200000000001</v>
      </c>
      <c r="AD202" s="17">
        <v>414.10899999999998</v>
      </c>
      <c r="AE202" s="17">
        <v>400.06</v>
      </c>
    </row>
    <row r="203" spans="1:31" x14ac:dyDescent="0.35">
      <c r="A203" s="3">
        <f t="shared" si="99"/>
        <v>187</v>
      </c>
      <c r="B203" s="17">
        <v>414.03100000000001</v>
      </c>
      <c r="C203" s="17">
        <v>417.339</v>
      </c>
      <c r="D203" s="17">
        <v>407.76400000000001</v>
      </c>
      <c r="E203" s="17">
        <v>430.47</v>
      </c>
      <c r="F203" s="17">
        <v>406.14299999999997</v>
      </c>
      <c r="G203" s="17">
        <v>413.36599999999999</v>
      </c>
      <c r="H203" s="17">
        <v>402.31599999999997</v>
      </c>
      <c r="I203" s="17">
        <v>481.38900000000001</v>
      </c>
      <c r="J203" s="17">
        <v>411.79</v>
      </c>
      <c r="K203" s="17">
        <v>454.22899999999998</v>
      </c>
      <c r="L203" s="17">
        <v>415.62</v>
      </c>
      <c r="M203" s="17">
        <v>439.94400000000002</v>
      </c>
      <c r="N203" s="17">
        <v>413.983</v>
      </c>
      <c r="O203" s="17">
        <v>412.92500000000001</v>
      </c>
      <c r="P203" s="17">
        <v>548.76800000000003</v>
      </c>
      <c r="Q203" s="17">
        <v>425.46100000000001</v>
      </c>
      <c r="R203" s="17"/>
      <c r="S203" s="17">
        <v>462.92700000000002</v>
      </c>
      <c r="T203" s="17"/>
      <c r="U203" s="17">
        <v>403.59399999999999</v>
      </c>
      <c r="V203" s="17">
        <v>409.95699999999999</v>
      </c>
      <c r="W203" s="17"/>
      <c r="X203" s="17">
        <v>432.666</v>
      </c>
      <c r="Y203" s="17">
        <v>667.79200000000003</v>
      </c>
      <c r="Z203" s="17">
        <v>405.15499999999997</v>
      </c>
      <c r="AA203" s="17">
        <v>432.274</v>
      </c>
      <c r="AB203" s="17">
        <v>413.50599999999997</v>
      </c>
      <c r="AC203" s="17">
        <v>402.49299999999999</v>
      </c>
      <c r="AD203" s="17">
        <v>414.09399999999999</v>
      </c>
      <c r="AE203" s="17">
        <v>399.75799999999998</v>
      </c>
    </row>
    <row r="204" spans="1:31" x14ac:dyDescent="0.35">
      <c r="A204" s="3">
        <f t="shared" si="99"/>
        <v>188</v>
      </c>
      <c r="B204" s="17">
        <v>414.45100000000002</v>
      </c>
      <c r="C204" s="17">
        <v>417.81599999999997</v>
      </c>
      <c r="D204" s="17">
        <v>408.56599999999997</v>
      </c>
      <c r="E204" s="17">
        <v>430.41199999999998</v>
      </c>
      <c r="F204" s="17">
        <v>403.505</v>
      </c>
      <c r="G204" s="17">
        <v>412.81400000000002</v>
      </c>
      <c r="H204" s="17">
        <v>401.22699999999998</v>
      </c>
      <c r="I204" s="17">
        <v>480.78800000000001</v>
      </c>
      <c r="J204" s="17">
        <v>410.80599999999998</v>
      </c>
      <c r="K204" s="17">
        <v>453.34500000000003</v>
      </c>
      <c r="L204" s="17">
        <v>414.61799999999999</v>
      </c>
      <c r="M204" s="17">
        <v>439.94299999999998</v>
      </c>
      <c r="N204" s="17">
        <v>413.68299999999999</v>
      </c>
      <c r="O204" s="17">
        <v>412.87299999999999</v>
      </c>
      <c r="P204" s="17">
        <v>548.20100000000002</v>
      </c>
      <c r="Q204" s="17">
        <v>424.375</v>
      </c>
      <c r="R204" s="17"/>
      <c r="S204" s="17">
        <v>463.89499999999998</v>
      </c>
      <c r="T204" s="17"/>
      <c r="U204" s="17">
        <v>404.81700000000001</v>
      </c>
      <c r="V204" s="17">
        <v>408.82900000000001</v>
      </c>
      <c r="W204" s="17"/>
      <c r="X204" s="17">
        <v>432.34500000000003</v>
      </c>
      <c r="Y204" s="17">
        <v>667.70500000000004</v>
      </c>
      <c r="Z204" s="17">
        <v>406.09100000000001</v>
      </c>
      <c r="AA204" s="17">
        <v>431.06099999999998</v>
      </c>
      <c r="AB204" s="17">
        <v>412.56799999999998</v>
      </c>
      <c r="AC204" s="17">
        <v>403.18299999999999</v>
      </c>
      <c r="AD204" s="17">
        <v>414.78699999999998</v>
      </c>
      <c r="AE204" s="17">
        <v>399.06299999999999</v>
      </c>
    </row>
    <row r="205" spans="1:31" x14ac:dyDescent="0.35">
      <c r="A205" s="3">
        <f t="shared" si="99"/>
        <v>189</v>
      </c>
      <c r="B205" s="17">
        <v>414.37700000000001</v>
      </c>
      <c r="C205" s="17">
        <v>416.34100000000001</v>
      </c>
      <c r="D205" s="17">
        <v>408.36799999999999</v>
      </c>
      <c r="E205" s="17">
        <v>430.27199999999999</v>
      </c>
      <c r="F205" s="17">
        <v>405.8</v>
      </c>
      <c r="G205" s="17">
        <v>412.125</v>
      </c>
      <c r="H205" s="17">
        <v>401.25</v>
      </c>
      <c r="I205" s="17">
        <v>480.815</v>
      </c>
      <c r="J205" s="17">
        <v>412.43799999999999</v>
      </c>
      <c r="K205" s="17">
        <v>454.24900000000002</v>
      </c>
      <c r="L205" s="17">
        <v>414.00599999999997</v>
      </c>
      <c r="M205" s="17">
        <v>439.952</v>
      </c>
      <c r="N205" s="17">
        <v>412.71699999999998</v>
      </c>
      <c r="O205" s="17">
        <v>413.50099999999998</v>
      </c>
      <c r="P205" s="17">
        <v>548.08000000000004</v>
      </c>
      <c r="Q205" s="17">
        <v>424.20100000000002</v>
      </c>
      <c r="R205" s="17"/>
      <c r="S205" s="17">
        <v>463.03500000000003</v>
      </c>
      <c r="T205" s="17"/>
      <c r="U205" s="17">
        <v>404.41500000000002</v>
      </c>
      <c r="V205" s="17">
        <v>411.08600000000001</v>
      </c>
      <c r="W205" s="17"/>
      <c r="X205" s="17">
        <v>432.9</v>
      </c>
      <c r="Y205" s="17">
        <v>667.25300000000004</v>
      </c>
      <c r="Z205" s="17">
        <v>405.608</v>
      </c>
      <c r="AA205" s="17">
        <v>431.82100000000003</v>
      </c>
      <c r="AB205" s="17">
        <v>414.51900000000001</v>
      </c>
      <c r="AC205" s="17">
        <v>401.06799999999998</v>
      </c>
      <c r="AD205" s="17">
        <v>414.72</v>
      </c>
      <c r="AE205" s="17">
        <v>398.31299999999999</v>
      </c>
    </row>
    <row r="206" spans="1:31" x14ac:dyDescent="0.35">
      <c r="A206" s="3">
        <f t="shared" si="99"/>
        <v>190</v>
      </c>
      <c r="B206" s="17">
        <v>414.77600000000001</v>
      </c>
      <c r="C206" s="17">
        <v>417.06599999999997</v>
      </c>
      <c r="D206" s="17">
        <v>407.36399999999998</v>
      </c>
      <c r="E206" s="17">
        <v>429.65499999999997</v>
      </c>
      <c r="F206" s="17">
        <v>405.053</v>
      </c>
      <c r="G206" s="17">
        <v>412.79700000000003</v>
      </c>
      <c r="H206" s="17">
        <v>402.274</v>
      </c>
      <c r="I206" s="17">
        <v>480.91899999999998</v>
      </c>
      <c r="J206" s="17">
        <v>411.09899999999999</v>
      </c>
      <c r="K206" s="17">
        <v>453.35500000000002</v>
      </c>
      <c r="L206" s="17">
        <v>415.40600000000001</v>
      </c>
      <c r="M206" s="17">
        <v>439.90300000000002</v>
      </c>
      <c r="N206" s="17">
        <v>413.95</v>
      </c>
      <c r="O206" s="17">
        <v>413.08699999999999</v>
      </c>
      <c r="P206" s="17">
        <v>548.84500000000003</v>
      </c>
      <c r="Q206" s="17">
        <v>426.08800000000002</v>
      </c>
      <c r="R206" s="17"/>
      <c r="S206" s="17">
        <v>462.92500000000001</v>
      </c>
      <c r="T206" s="17"/>
      <c r="U206" s="17">
        <v>404.279</v>
      </c>
      <c r="V206" s="17">
        <v>410.608</v>
      </c>
      <c r="W206" s="17"/>
      <c r="X206" s="17">
        <v>432.30200000000002</v>
      </c>
      <c r="Y206" s="17">
        <v>668.44799999999998</v>
      </c>
      <c r="Z206" s="17">
        <v>405.76600000000002</v>
      </c>
      <c r="AA206" s="17">
        <v>433.79199999999997</v>
      </c>
      <c r="AB206" s="17">
        <v>412.846</v>
      </c>
      <c r="AC206" s="17">
        <v>402.97699999999998</v>
      </c>
      <c r="AD206" s="17">
        <v>413.90899999999999</v>
      </c>
      <c r="AE206" s="17">
        <v>400.81200000000001</v>
      </c>
    </row>
    <row r="207" spans="1:31" x14ac:dyDescent="0.35">
      <c r="A207" s="3">
        <f t="shared" si="99"/>
        <v>191</v>
      </c>
      <c r="B207" s="17">
        <v>414.47300000000001</v>
      </c>
      <c r="C207" s="17">
        <v>417.01600000000002</v>
      </c>
      <c r="D207" s="17">
        <v>407.54199999999997</v>
      </c>
      <c r="E207" s="17">
        <v>430.82400000000001</v>
      </c>
      <c r="F207" s="17">
        <v>405.74900000000002</v>
      </c>
      <c r="G207" s="17">
        <v>412.81400000000002</v>
      </c>
      <c r="H207" s="17">
        <v>402.80200000000002</v>
      </c>
      <c r="I207" s="17">
        <v>480.79</v>
      </c>
      <c r="J207" s="17">
        <v>411.27800000000002</v>
      </c>
      <c r="K207" s="17">
        <v>455.93200000000002</v>
      </c>
      <c r="L207" s="17">
        <v>414.75400000000002</v>
      </c>
      <c r="M207" s="17">
        <v>440.84399999999999</v>
      </c>
      <c r="N207" s="17">
        <v>412.97699999999998</v>
      </c>
      <c r="O207" s="17">
        <v>412.69499999999999</v>
      </c>
      <c r="P207" s="17">
        <v>548.19100000000003</v>
      </c>
      <c r="Q207" s="17">
        <v>424.221</v>
      </c>
      <c r="R207" s="17"/>
      <c r="S207" s="17">
        <v>462.63</v>
      </c>
      <c r="T207" s="17"/>
      <c r="U207" s="17">
        <v>404.78399999999999</v>
      </c>
      <c r="V207" s="17">
        <v>411.721</v>
      </c>
      <c r="W207" s="17"/>
      <c r="X207" s="17">
        <v>433.67099999999999</v>
      </c>
      <c r="Y207" s="17">
        <v>668.42600000000004</v>
      </c>
      <c r="Z207" s="17">
        <v>405.36</v>
      </c>
      <c r="AA207" s="17">
        <v>432.72800000000001</v>
      </c>
      <c r="AB207" s="17">
        <v>414.32600000000002</v>
      </c>
      <c r="AC207" s="17">
        <v>402.11200000000002</v>
      </c>
      <c r="AD207" s="17">
        <v>414.28300000000002</v>
      </c>
      <c r="AE207" s="17">
        <v>404.19400000000002</v>
      </c>
    </row>
    <row r="208" spans="1:31" x14ac:dyDescent="0.35">
      <c r="A208" s="3">
        <f t="shared" si="99"/>
        <v>192</v>
      </c>
      <c r="B208" s="17">
        <v>414.08</v>
      </c>
      <c r="C208" s="17">
        <v>417.12299999999999</v>
      </c>
      <c r="D208" s="17">
        <v>408.42399999999998</v>
      </c>
      <c r="E208" s="17">
        <v>429.875</v>
      </c>
      <c r="F208" s="17">
        <v>405.04</v>
      </c>
      <c r="G208" s="17">
        <v>412.589</v>
      </c>
      <c r="H208" s="17">
        <v>402.25599999999997</v>
      </c>
      <c r="I208" s="17">
        <v>481.572</v>
      </c>
      <c r="J208" s="17">
        <v>411.62200000000001</v>
      </c>
      <c r="K208" s="17">
        <v>453.38799999999998</v>
      </c>
      <c r="L208" s="17">
        <v>414.041</v>
      </c>
      <c r="M208" s="17">
        <v>440.24599999999998</v>
      </c>
      <c r="N208" s="17">
        <v>412.79599999999999</v>
      </c>
      <c r="O208" s="17">
        <v>413.74299999999999</v>
      </c>
      <c r="P208" s="17">
        <v>548.17499999999995</v>
      </c>
      <c r="Q208" s="17">
        <v>424.92200000000003</v>
      </c>
      <c r="R208" s="17"/>
      <c r="S208" s="17">
        <v>463.178</v>
      </c>
      <c r="T208" s="17"/>
      <c r="U208" s="17">
        <v>404.37799999999999</v>
      </c>
      <c r="V208" s="17">
        <v>409.78300000000002</v>
      </c>
      <c r="W208" s="17"/>
      <c r="X208" s="17">
        <v>433.88400000000001</v>
      </c>
      <c r="Y208" s="17">
        <v>668.46600000000001</v>
      </c>
      <c r="Z208" s="17">
        <v>405.601</v>
      </c>
      <c r="AA208" s="17">
        <v>431.09800000000001</v>
      </c>
      <c r="AB208" s="17">
        <v>413.89100000000002</v>
      </c>
      <c r="AC208" s="17">
        <v>403.65699999999998</v>
      </c>
      <c r="AD208" s="17">
        <v>414.00799999999998</v>
      </c>
      <c r="AE208" s="17">
        <v>401.87599999999998</v>
      </c>
    </row>
    <row r="209" spans="1:31" x14ac:dyDescent="0.35">
      <c r="A209" s="3">
        <f t="shared" si="99"/>
        <v>193</v>
      </c>
      <c r="B209" s="17">
        <v>413.83600000000001</v>
      </c>
      <c r="C209" s="17">
        <v>417.99900000000002</v>
      </c>
      <c r="D209" s="17">
        <v>408.08</v>
      </c>
      <c r="E209" s="17">
        <v>430.601</v>
      </c>
      <c r="F209" s="17">
        <v>405.74099999999999</v>
      </c>
      <c r="G209" s="17">
        <v>413.399</v>
      </c>
      <c r="H209" s="17">
        <v>402.08499999999998</v>
      </c>
      <c r="I209" s="17">
        <v>481.17500000000001</v>
      </c>
      <c r="J209" s="17">
        <v>411.34800000000001</v>
      </c>
      <c r="K209" s="17">
        <v>453.83199999999999</v>
      </c>
      <c r="L209" s="17">
        <v>415.65600000000001</v>
      </c>
      <c r="M209" s="17">
        <v>439.82799999999997</v>
      </c>
      <c r="N209" s="17">
        <v>414.02800000000002</v>
      </c>
      <c r="O209" s="17">
        <v>412.56799999999998</v>
      </c>
      <c r="P209" s="17">
        <v>548.25599999999997</v>
      </c>
      <c r="Q209" s="17">
        <v>426.9</v>
      </c>
      <c r="R209" s="17"/>
      <c r="S209" s="17">
        <v>463.26799999999997</v>
      </c>
      <c r="T209" s="17"/>
      <c r="U209" s="17">
        <v>404.15800000000002</v>
      </c>
      <c r="V209" s="17">
        <v>410.24200000000002</v>
      </c>
      <c r="W209" s="17"/>
      <c r="X209" s="17">
        <v>432.654</v>
      </c>
      <c r="Y209" s="17">
        <v>666.50800000000004</v>
      </c>
      <c r="Z209" s="17">
        <v>405.291</v>
      </c>
      <c r="AA209" s="17">
        <v>434.03800000000001</v>
      </c>
      <c r="AB209" s="17">
        <v>414.37900000000002</v>
      </c>
      <c r="AC209" s="17">
        <v>400.48500000000001</v>
      </c>
      <c r="AD209" s="17">
        <v>414.64499999999998</v>
      </c>
      <c r="AE209" s="17">
        <v>400.19299999999998</v>
      </c>
    </row>
    <row r="210" spans="1:31" x14ac:dyDescent="0.35">
      <c r="A210" s="3">
        <f t="shared" si="99"/>
        <v>194</v>
      </c>
      <c r="B210" s="17">
        <v>414.65100000000001</v>
      </c>
      <c r="C210" s="17">
        <v>417.66899999999998</v>
      </c>
      <c r="D210" s="17">
        <v>407.93200000000002</v>
      </c>
      <c r="E210" s="17">
        <v>429.94600000000003</v>
      </c>
      <c r="F210" s="17">
        <v>405.31299999999999</v>
      </c>
      <c r="G210" s="17">
        <v>412.73500000000001</v>
      </c>
      <c r="H210" s="17">
        <v>402.39400000000001</v>
      </c>
      <c r="I210" s="17">
        <v>481.52499999999998</v>
      </c>
      <c r="J210" s="17">
        <v>411.75700000000001</v>
      </c>
      <c r="K210" s="17">
        <v>454.59199999999998</v>
      </c>
      <c r="L210" s="17">
        <v>414.64699999999999</v>
      </c>
      <c r="M210" s="17">
        <v>439.21</v>
      </c>
      <c r="N210" s="17">
        <v>412.75700000000001</v>
      </c>
      <c r="O210" s="17">
        <v>413.959</v>
      </c>
      <c r="P210" s="17">
        <v>549.09699999999998</v>
      </c>
      <c r="Q210" s="17">
        <v>426.55099999999999</v>
      </c>
      <c r="R210" s="17"/>
      <c r="S210" s="17">
        <v>463.14299999999997</v>
      </c>
      <c r="T210" s="17"/>
      <c r="U210" s="17">
        <v>402.95299999999997</v>
      </c>
      <c r="V210" s="17">
        <v>409.90499999999997</v>
      </c>
      <c r="W210" s="17"/>
      <c r="X210" s="17">
        <v>432.88099999999997</v>
      </c>
      <c r="Y210" s="17">
        <v>667.56700000000001</v>
      </c>
      <c r="Z210" s="17">
        <v>405.73099999999999</v>
      </c>
      <c r="AA210" s="17">
        <v>433.75</v>
      </c>
      <c r="AB210" s="17">
        <v>414.226</v>
      </c>
      <c r="AC210" s="17">
        <v>403.714</v>
      </c>
      <c r="AD210" s="17">
        <v>414.14600000000002</v>
      </c>
      <c r="AE210" s="17">
        <v>403.53800000000001</v>
      </c>
    </row>
    <row r="211" spans="1:31" x14ac:dyDescent="0.35">
      <c r="A211" s="3">
        <f t="shared" si="99"/>
        <v>195</v>
      </c>
      <c r="B211" s="17">
        <v>414.63200000000001</v>
      </c>
      <c r="C211" s="17">
        <v>417.233</v>
      </c>
      <c r="D211" s="17">
        <v>408.548</v>
      </c>
      <c r="E211" s="17">
        <v>430.75900000000001</v>
      </c>
      <c r="F211" s="17">
        <v>406.53699999999998</v>
      </c>
      <c r="G211" s="17">
        <v>413.54599999999999</v>
      </c>
      <c r="H211" s="17">
        <v>401.99</v>
      </c>
      <c r="I211" s="17">
        <v>481.41800000000001</v>
      </c>
      <c r="J211" s="17">
        <v>410.96600000000001</v>
      </c>
      <c r="K211" s="17">
        <v>453.80099999999999</v>
      </c>
      <c r="L211" s="17">
        <v>414.66899999999998</v>
      </c>
      <c r="M211" s="17">
        <v>439.71</v>
      </c>
      <c r="N211" s="17">
        <v>412.51900000000001</v>
      </c>
      <c r="O211" s="17">
        <v>413.983</v>
      </c>
      <c r="P211" s="17">
        <v>548.53099999999995</v>
      </c>
      <c r="Q211" s="17">
        <v>425.08800000000002</v>
      </c>
      <c r="R211" s="17"/>
      <c r="S211" s="17">
        <v>462.90800000000002</v>
      </c>
      <c r="T211" s="17"/>
      <c r="U211" s="17">
        <v>402.88799999999998</v>
      </c>
      <c r="V211" s="17">
        <v>411.54</v>
      </c>
      <c r="W211" s="17"/>
      <c r="X211" s="17">
        <v>433.69299999999998</v>
      </c>
      <c r="Y211" s="17">
        <v>667.66600000000005</v>
      </c>
      <c r="Z211" s="17">
        <v>406.42399999999998</v>
      </c>
      <c r="AA211" s="17">
        <v>432.92399999999998</v>
      </c>
      <c r="AB211" s="17">
        <v>414.375</v>
      </c>
      <c r="AC211" s="17">
        <v>402.29300000000001</v>
      </c>
      <c r="AD211" s="17">
        <v>414.82</v>
      </c>
      <c r="AE211" s="17">
        <v>401.15</v>
      </c>
    </row>
    <row r="212" spans="1:31" x14ac:dyDescent="0.35">
      <c r="A212" s="3">
        <f t="shared" si="99"/>
        <v>196</v>
      </c>
      <c r="B212" s="17">
        <v>414.30399999999997</v>
      </c>
      <c r="C212" s="17">
        <v>418.46300000000002</v>
      </c>
      <c r="D212" s="17">
        <v>408.97</v>
      </c>
      <c r="E212" s="17">
        <v>429.661</v>
      </c>
      <c r="F212" s="17">
        <v>405.95400000000001</v>
      </c>
      <c r="G212" s="17">
        <v>412.375</v>
      </c>
      <c r="H212" s="17">
        <v>401.88099999999997</v>
      </c>
      <c r="I212" s="17">
        <v>481.29500000000002</v>
      </c>
      <c r="J212" s="17">
        <v>411.24299999999999</v>
      </c>
      <c r="K212" s="17">
        <v>453.84300000000002</v>
      </c>
      <c r="L212" s="17">
        <v>414.72800000000001</v>
      </c>
      <c r="M212" s="17">
        <v>440.69</v>
      </c>
      <c r="N212" s="17">
        <v>413.61200000000002</v>
      </c>
      <c r="O212" s="17">
        <v>414.31700000000001</v>
      </c>
      <c r="P212" s="17">
        <v>548.072</v>
      </c>
      <c r="Q212" s="17">
        <v>425.53100000000001</v>
      </c>
      <c r="R212" s="17"/>
      <c r="S212" s="17">
        <v>463.92700000000002</v>
      </c>
      <c r="T212" s="17"/>
      <c r="U212" s="17">
        <v>404.41899999999998</v>
      </c>
      <c r="V212" s="17">
        <v>409.99299999999999</v>
      </c>
      <c r="W212" s="17"/>
      <c r="X212" s="17">
        <v>432.61200000000002</v>
      </c>
      <c r="Y212" s="17">
        <v>667.7</v>
      </c>
      <c r="Z212" s="17">
        <v>406.72500000000002</v>
      </c>
      <c r="AA212" s="17">
        <v>432.10599999999999</v>
      </c>
      <c r="AB212" s="17">
        <v>415.46100000000001</v>
      </c>
      <c r="AC212" s="17">
        <v>403.03800000000001</v>
      </c>
      <c r="AD212" s="17">
        <v>416.70800000000003</v>
      </c>
      <c r="AE212" s="17">
        <v>397.65800000000002</v>
      </c>
    </row>
    <row r="213" spans="1:31" x14ac:dyDescent="0.35">
      <c r="A213" s="3">
        <f t="shared" si="99"/>
        <v>197</v>
      </c>
      <c r="B213" s="17">
        <v>414.97899999999998</v>
      </c>
      <c r="C213" s="17">
        <v>418.07900000000001</v>
      </c>
      <c r="D213" s="17">
        <v>407.678</v>
      </c>
      <c r="E213" s="17">
        <v>430.82499999999999</v>
      </c>
      <c r="F213" s="17">
        <v>405.59399999999999</v>
      </c>
      <c r="G213" s="17">
        <v>412.90100000000001</v>
      </c>
      <c r="H213" s="17">
        <v>401.67399999999998</v>
      </c>
      <c r="I213" s="17">
        <v>481.15100000000001</v>
      </c>
      <c r="J213" s="17">
        <v>411.69900000000001</v>
      </c>
      <c r="K213" s="17">
        <v>454.99900000000002</v>
      </c>
      <c r="L213" s="17">
        <v>414.36200000000002</v>
      </c>
      <c r="M213" s="17">
        <v>440.66800000000001</v>
      </c>
      <c r="N213" s="17">
        <v>412.637</v>
      </c>
      <c r="O213" s="17">
        <v>413.95299999999997</v>
      </c>
      <c r="P213" s="17">
        <v>548.26300000000003</v>
      </c>
      <c r="Q213" s="17">
        <v>426.375</v>
      </c>
      <c r="R213" s="17"/>
      <c r="S213" s="17">
        <v>463.35300000000001</v>
      </c>
      <c r="T213" s="17"/>
      <c r="U213" s="17">
        <v>404.375</v>
      </c>
      <c r="V213" s="17">
        <v>409.654</v>
      </c>
      <c r="W213" s="17"/>
      <c r="X213" s="17">
        <v>432.91399999999999</v>
      </c>
      <c r="Y213" s="17">
        <v>667.851</v>
      </c>
      <c r="Z213" s="17">
        <v>406.517</v>
      </c>
      <c r="AA213" s="17">
        <v>432.30799999999999</v>
      </c>
      <c r="AB213" s="17">
        <v>413.91500000000002</v>
      </c>
      <c r="AC213" s="17">
        <v>403.04700000000003</v>
      </c>
      <c r="AD213" s="17">
        <v>416.55099999999999</v>
      </c>
      <c r="AE213" s="17">
        <v>402.36700000000002</v>
      </c>
    </row>
    <row r="214" spans="1:31" x14ac:dyDescent="0.35">
      <c r="A214" s="3">
        <f t="shared" si="99"/>
        <v>198</v>
      </c>
      <c r="B214" s="17">
        <v>414.416</v>
      </c>
      <c r="C214" s="17">
        <v>417.85899999999998</v>
      </c>
      <c r="D214" s="17">
        <v>408.916</v>
      </c>
      <c r="E214" s="17">
        <v>429.99799999999999</v>
      </c>
      <c r="F214" s="17">
        <v>405.28899999999999</v>
      </c>
      <c r="G214" s="17">
        <v>412.86599999999999</v>
      </c>
      <c r="H214" s="17">
        <v>403.26400000000001</v>
      </c>
      <c r="I214" s="17">
        <v>482.14</v>
      </c>
      <c r="J214" s="17">
        <v>411.66699999999997</v>
      </c>
      <c r="K214" s="17">
        <v>454.19600000000003</v>
      </c>
      <c r="L214" s="17">
        <v>415.33600000000001</v>
      </c>
      <c r="M214" s="17">
        <v>440.28100000000001</v>
      </c>
      <c r="N214" s="17">
        <v>413.49299999999999</v>
      </c>
      <c r="O214" s="17">
        <v>414.14600000000002</v>
      </c>
      <c r="P214" s="17">
        <v>548.46299999999997</v>
      </c>
      <c r="Q214" s="17">
        <v>427.11099999999999</v>
      </c>
      <c r="R214" s="17"/>
      <c r="S214" s="17">
        <v>464.14400000000001</v>
      </c>
      <c r="T214" s="17"/>
      <c r="U214" s="17">
        <v>404.87299999999999</v>
      </c>
      <c r="V214" s="17">
        <v>411.012</v>
      </c>
      <c r="W214" s="17"/>
      <c r="X214" s="17">
        <v>433.58699999999999</v>
      </c>
      <c r="Y214" s="17">
        <v>668.30600000000004</v>
      </c>
      <c r="Z214" s="17">
        <v>406.185</v>
      </c>
      <c r="AA214" s="17">
        <v>432.06900000000002</v>
      </c>
      <c r="AB214" s="17">
        <v>415.15600000000001</v>
      </c>
      <c r="AC214" s="17">
        <v>401.22</v>
      </c>
      <c r="AD214" s="17">
        <v>415.07100000000003</v>
      </c>
      <c r="AE214" s="17">
        <v>403.98899999999998</v>
      </c>
    </row>
    <row r="215" spans="1:31" x14ac:dyDescent="0.35">
      <c r="A215" s="3">
        <f t="shared" si="99"/>
        <v>199</v>
      </c>
      <c r="B215" s="17">
        <v>414.96499999999997</v>
      </c>
      <c r="C215" s="17">
        <v>417.471</v>
      </c>
      <c r="D215" s="17">
        <v>408.2</v>
      </c>
      <c r="E215" s="17">
        <v>430.74</v>
      </c>
      <c r="F215" s="17">
        <v>405.572</v>
      </c>
      <c r="G215" s="17">
        <v>412.44900000000001</v>
      </c>
      <c r="H215" s="17">
        <v>402.38799999999998</v>
      </c>
      <c r="I215" s="17">
        <v>481.68700000000001</v>
      </c>
      <c r="J215" s="17">
        <v>412.78899999999999</v>
      </c>
      <c r="K215" s="17">
        <v>454.17</v>
      </c>
      <c r="L215" s="17">
        <v>414.37099999999998</v>
      </c>
      <c r="M215" s="17">
        <v>440.57</v>
      </c>
      <c r="N215" s="17">
        <v>412.68200000000002</v>
      </c>
      <c r="O215" s="17">
        <v>413.46699999999998</v>
      </c>
      <c r="P215" s="17">
        <v>547.87900000000002</v>
      </c>
      <c r="Q215" s="17">
        <v>426.38900000000001</v>
      </c>
      <c r="R215" s="17"/>
      <c r="S215" s="17">
        <v>462.96100000000001</v>
      </c>
      <c r="T215" s="17"/>
      <c r="U215" s="17">
        <v>403.71300000000002</v>
      </c>
      <c r="V215" s="17">
        <v>411.00400000000002</v>
      </c>
      <c r="W215" s="17"/>
      <c r="X215" s="17">
        <v>433.85399999999998</v>
      </c>
      <c r="Y215" s="17">
        <v>669.12400000000002</v>
      </c>
      <c r="Z215" s="17">
        <v>406.64100000000002</v>
      </c>
      <c r="AA215" s="17">
        <v>432.93299999999999</v>
      </c>
      <c r="AB215" s="17">
        <v>415.97800000000001</v>
      </c>
      <c r="AC215" s="17">
        <v>403.488</v>
      </c>
      <c r="AD215" s="17">
        <v>415.27199999999999</v>
      </c>
      <c r="AE215" s="17">
        <v>401.637</v>
      </c>
    </row>
    <row r="216" spans="1:31" x14ac:dyDescent="0.35">
      <c r="A216" s="3">
        <f t="shared" si="99"/>
        <v>200</v>
      </c>
      <c r="B216" s="17">
        <v>414.55799999999999</v>
      </c>
      <c r="C216" s="17">
        <v>417.72</v>
      </c>
      <c r="D216" s="17">
        <v>408.96899999999999</v>
      </c>
      <c r="E216" s="17">
        <v>430.351</v>
      </c>
      <c r="F216" s="17">
        <v>406.24200000000002</v>
      </c>
      <c r="G216" s="17">
        <v>414.154</v>
      </c>
      <c r="H216" s="17">
        <v>402.19</v>
      </c>
      <c r="I216" s="17">
        <v>482.00700000000001</v>
      </c>
      <c r="J216" s="17">
        <v>411.89600000000002</v>
      </c>
      <c r="K216" s="17">
        <v>455.02300000000002</v>
      </c>
      <c r="L216" s="17">
        <v>413.46600000000001</v>
      </c>
      <c r="M216" s="17">
        <v>440.42200000000003</v>
      </c>
      <c r="N216" s="17">
        <v>413.88200000000001</v>
      </c>
      <c r="O216" s="17">
        <v>414.065</v>
      </c>
      <c r="P216" s="17">
        <v>548.38400000000001</v>
      </c>
      <c r="Q216" s="17">
        <v>426.452</v>
      </c>
      <c r="R216" s="17"/>
      <c r="S216" s="17">
        <v>463.05200000000002</v>
      </c>
      <c r="T216" s="17"/>
      <c r="U216" s="17">
        <v>405.61900000000003</v>
      </c>
      <c r="V216" s="17">
        <v>410.38499999999999</v>
      </c>
      <c r="W216" s="17"/>
      <c r="X216" s="17">
        <v>434.09899999999999</v>
      </c>
      <c r="Y216" s="17">
        <v>668.09</v>
      </c>
      <c r="Z216" s="17">
        <v>406.57600000000002</v>
      </c>
      <c r="AA216" s="17">
        <v>432.274</v>
      </c>
      <c r="AB216" s="17">
        <v>415.15</v>
      </c>
      <c r="AC216" s="17">
        <v>401.50799999999998</v>
      </c>
      <c r="AD216" s="17">
        <v>414.7</v>
      </c>
      <c r="AE216" s="17">
        <v>400.80099999999999</v>
      </c>
    </row>
    <row r="217" spans="1:31" x14ac:dyDescent="0.35">
      <c r="A217" s="3">
        <f t="shared" si="99"/>
        <v>201</v>
      </c>
      <c r="B217" s="17">
        <v>414.43799999999999</v>
      </c>
      <c r="C217" s="17">
        <v>418.03300000000002</v>
      </c>
      <c r="D217" s="17">
        <v>409.09300000000002</v>
      </c>
      <c r="E217" s="17">
        <v>430.68</v>
      </c>
      <c r="F217" s="17">
        <v>405.43799999999999</v>
      </c>
      <c r="G217" s="17">
        <v>413.51799999999997</v>
      </c>
      <c r="H217" s="17">
        <v>402.08300000000003</v>
      </c>
      <c r="I217" s="17">
        <v>481.71699999999998</v>
      </c>
      <c r="J217" s="17">
        <v>411.08199999999999</v>
      </c>
      <c r="K217" s="17">
        <v>455.15</v>
      </c>
      <c r="L217" s="17">
        <v>414.80500000000001</v>
      </c>
      <c r="M217" s="17">
        <v>439.98700000000002</v>
      </c>
      <c r="N217" s="17">
        <v>413.52300000000002</v>
      </c>
      <c r="O217" s="17">
        <v>413.99299999999999</v>
      </c>
      <c r="P217" s="17">
        <v>548.25099999999998</v>
      </c>
      <c r="Q217" s="17">
        <v>426.37900000000002</v>
      </c>
      <c r="R217" s="17"/>
      <c r="S217" s="17">
        <v>462.49599999999998</v>
      </c>
      <c r="T217" s="17"/>
      <c r="U217" s="17">
        <v>405.22800000000001</v>
      </c>
      <c r="V217" s="17">
        <v>410.81599999999997</v>
      </c>
      <c r="W217" s="17"/>
      <c r="X217" s="17">
        <v>432.99900000000002</v>
      </c>
      <c r="Y217" s="17">
        <v>668.03</v>
      </c>
      <c r="Z217" s="17">
        <v>406.20499999999998</v>
      </c>
      <c r="AA217" s="17">
        <v>432.18799999999999</v>
      </c>
      <c r="AB217" s="17">
        <v>416.57400000000001</v>
      </c>
      <c r="AC217" s="17">
        <v>402.28699999999998</v>
      </c>
      <c r="AD217" s="17">
        <v>413.69400000000002</v>
      </c>
      <c r="AE217" s="17">
        <v>401.61399999999998</v>
      </c>
    </row>
    <row r="218" spans="1:31" x14ac:dyDescent="0.35">
      <c r="A218" s="3">
        <f t="shared" si="99"/>
        <v>202</v>
      </c>
      <c r="B218" s="17">
        <v>414.637</v>
      </c>
      <c r="C218" s="17">
        <v>418.09500000000003</v>
      </c>
      <c r="D218" s="17">
        <v>408.42599999999999</v>
      </c>
      <c r="E218" s="17">
        <v>431.35399999999998</v>
      </c>
      <c r="F218" s="17">
        <v>406.35199999999998</v>
      </c>
      <c r="G218" s="17">
        <v>413.87</v>
      </c>
      <c r="H218" s="17">
        <v>401.36</v>
      </c>
      <c r="I218" s="17">
        <v>482.12200000000001</v>
      </c>
      <c r="J218" s="17">
        <v>411.721</v>
      </c>
      <c r="K218" s="17">
        <v>453.803</v>
      </c>
      <c r="L218" s="17">
        <v>415.35399999999998</v>
      </c>
      <c r="M218" s="17">
        <v>441.08100000000002</v>
      </c>
      <c r="N218" s="17">
        <v>413.41399999999999</v>
      </c>
      <c r="O218" s="17">
        <v>414.23099999999999</v>
      </c>
      <c r="P218" s="17">
        <v>547.75</v>
      </c>
      <c r="Q218" s="17">
        <v>426.59699999999998</v>
      </c>
      <c r="R218" s="17"/>
      <c r="S218" s="17">
        <v>462.072</v>
      </c>
      <c r="T218" s="17"/>
      <c r="U218" s="17">
        <v>404.17899999999997</v>
      </c>
      <c r="V218" s="17">
        <v>411.15</v>
      </c>
      <c r="W218" s="17"/>
      <c r="X218" s="17">
        <v>432.80599999999998</v>
      </c>
      <c r="Y218" s="17">
        <v>666.57600000000002</v>
      </c>
      <c r="Z218" s="17">
        <v>407.666</v>
      </c>
      <c r="AA218" s="17">
        <v>432.76</v>
      </c>
      <c r="AB218" s="17">
        <v>415.87900000000002</v>
      </c>
      <c r="AC218" s="17">
        <v>400.39100000000002</v>
      </c>
      <c r="AD218" s="17">
        <v>416.25299999999999</v>
      </c>
      <c r="AE218" s="17">
        <v>400.63099999999997</v>
      </c>
    </row>
    <row r="219" spans="1:31" x14ac:dyDescent="0.35">
      <c r="A219" s="3">
        <f t="shared" si="99"/>
        <v>203</v>
      </c>
      <c r="B219" s="17">
        <v>415.10700000000003</v>
      </c>
      <c r="C219" s="17">
        <v>419.24</v>
      </c>
      <c r="D219" s="17">
        <v>409.37099999999998</v>
      </c>
      <c r="E219" s="17">
        <v>430.64100000000002</v>
      </c>
      <c r="F219" s="17">
        <v>405.33</v>
      </c>
      <c r="G219" s="17">
        <v>412.726</v>
      </c>
      <c r="H219" s="17">
        <v>401.90499999999997</v>
      </c>
      <c r="I219" s="17">
        <v>481.49400000000003</v>
      </c>
      <c r="J219" s="17">
        <v>412.16399999999999</v>
      </c>
      <c r="K219" s="17">
        <v>454.529</v>
      </c>
      <c r="L219" s="17">
        <v>415.03500000000003</v>
      </c>
      <c r="M219" s="17">
        <v>440.44299999999998</v>
      </c>
      <c r="N219" s="17">
        <v>414.13600000000002</v>
      </c>
      <c r="O219" s="17">
        <v>413.99099999999999</v>
      </c>
      <c r="P219" s="17">
        <v>549.30999999999995</v>
      </c>
      <c r="Q219" s="17">
        <v>427.71100000000001</v>
      </c>
      <c r="R219" s="17"/>
      <c r="S219" s="17">
        <v>463.24099999999999</v>
      </c>
      <c r="T219" s="17"/>
      <c r="U219" s="17">
        <v>405.37299999999999</v>
      </c>
      <c r="V219" s="17">
        <v>410.89</v>
      </c>
      <c r="W219" s="17"/>
      <c r="X219" s="17">
        <v>433.63600000000002</v>
      </c>
      <c r="Y219" s="17">
        <v>667.53599999999994</v>
      </c>
      <c r="Z219" s="17">
        <v>406.96100000000001</v>
      </c>
      <c r="AA219" s="17">
        <v>432.43200000000002</v>
      </c>
      <c r="AB219" s="17">
        <v>415.041</v>
      </c>
      <c r="AC219" s="17">
        <v>403.40300000000002</v>
      </c>
      <c r="AD219" s="17">
        <v>415.80700000000002</v>
      </c>
      <c r="AE219" s="17">
        <v>401.55500000000001</v>
      </c>
    </row>
    <row r="220" spans="1:31" x14ac:dyDescent="0.35">
      <c r="A220" s="3">
        <f t="shared" si="99"/>
        <v>204</v>
      </c>
      <c r="B220" s="17">
        <v>413.791</v>
      </c>
      <c r="C220" s="17">
        <v>419.21600000000001</v>
      </c>
      <c r="D220" s="17">
        <v>409.98500000000001</v>
      </c>
      <c r="E220" s="17">
        <v>429.83499999999998</v>
      </c>
      <c r="F220" s="17">
        <v>407.12099999999998</v>
      </c>
      <c r="G220" s="17">
        <v>414.84500000000003</v>
      </c>
      <c r="H220" s="17">
        <v>402.28899999999999</v>
      </c>
      <c r="I220" s="17">
        <v>481.08499999999998</v>
      </c>
      <c r="J220" s="17">
        <v>412.34899999999999</v>
      </c>
      <c r="K220" s="17">
        <v>454.78100000000001</v>
      </c>
      <c r="L220" s="17">
        <v>415.99200000000002</v>
      </c>
      <c r="M220" s="17">
        <v>440.79</v>
      </c>
      <c r="N220" s="17">
        <v>413.18400000000003</v>
      </c>
      <c r="O220" s="17">
        <v>414.84500000000003</v>
      </c>
      <c r="P220" s="17">
        <v>548.47299999999996</v>
      </c>
      <c r="Q220" s="17">
        <v>427.42599999999999</v>
      </c>
      <c r="R220" s="17"/>
      <c r="S220" s="17">
        <v>463.18200000000002</v>
      </c>
      <c r="T220" s="17"/>
      <c r="U220" s="17">
        <v>405.20699999999999</v>
      </c>
      <c r="V220" s="17">
        <v>409.548</v>
      </c>
      <c r="W220" s="17"/>
      <c r="X220" s="17">
        <v>433.19799999999998</v>
      </c>
      <c r="Y220" s="17">
        <v>667.93700000000001</v>
      </c>
      <c r="Z220" s="17">
        <v>406.399</v>
      </c>
      <c r="AA220" s="17">
        <v>434.39400000000001</v>
      </c>
      <c r="AB220" s="17">
        <v>413.94400000000002</v>
      </c>
      <c r="AC220" s="17">
        <v>403.36399999999998</v>
      </c>
      <c r="AD220" s="17">
        <v>414.38400000000001</v>
      </c>
      <c r="AE220" s="17">
        <v>404.73500000000001</v>
      </c>
    </row>
    <row r="221" spans="1:31" x14ac:dyDescent="0.35">
      <c r="A221" s="3">
        <f t="shared" si="99"/>
        <v>205</v>
      </c>
      <c r="B221" s="17">
        <v>414.41899999999998</v>
      </c>
      <c r="C221" s="17">
        <v>418.108</v>
      </c>
      <c r="D221" s="17">
        <v>410.17899999999997</v>
      </c>
      <c r="E221" s="17">
        <v>430.517</v>
      </c>
      <c r="F221" s="17">
        <v>407.03</v>
      </c>
      <c r="G221" s="17">
        <v>413.58800000000002</v>
      </c>
      <c r="H221" s="17">
        <v>400.8</v>
      </c>
      <c r="I221" s="17">
        <v>481.65300000000002</v>
      </c>
      <c r="J221" s="17">
        <v>411.72399999999999</v>
      </c>
      <c r="K221" s="17">
        <v>454.02800000000002</v>
      </c>
      <c r="L221" s="17">
        <v>415.101</v>
      </c>
      <c r="M221" s="17">
        <v>441.15699999999998</v>
      </c>
      <c r="N221" s="17">
        <v>414.96199999999999</v>
      </c>
      <c r="O221" s="17">
        <v>413.68400000000003</v>
      </c>
      <c r="P221" s="17">
        <v>548.04499999999996</v>
      </c>
      <c r="Q221" s="17">
        <v>427.60599999999999</v>
      </c>
      <c r="R221" s="17"/>
      <c r="S221" s="17">
        <v>462.09100000000001</v>
      </c>
      <c r="T221" s="17"/>
      <c r="U221" s="17">
        <v>404.298</v>
      </c>
      <c r="V221" s="17">
        <v>411.60599999999999</v>
      </c>
      <c r="W221" s="17"/>
      <c r="X221" s="17">
        <v>433.649</v>
      </c>
      <c r="Y221" s="17">
        <v>668.31200000000001</v>
      </c>
      <c r="Z221" s="17">
        <v>405.98500000000001</v>
      </c>
      <c r="AA221" s="17">
        <v>433.37900000000002</v>
      </c>
      <c r="AB221" s="17">
        <v>415.32799999999997</v>
      </c>
      <c r="AC221" s="17">
        <v>401.49900000000002</v>
      </c>
      <c r="AD221" s="17">
        <v>415.61399999999998</v>
      </c>
      <c r="AE221" s="17">
        <v>405.83499999999998</v>
      </c>
    </row>
    <row r="222" spans="1:31" x14ac:dyDescent="0.35">
      <c r="A222" s="3">
        <f t="shared" si="99"/>
        <v>206</v>
      </c>
      <c r="B222" s="17">
        <v>415.392</v>
      </c>
      <c r="C222" s="17">
        <v>418.77600000000001</v>
      </c>
      <c r="D222" s="17">
        <v>409.05900000000003</v>
      </c>
      <c r="E222" s="17">
        <v>430.41500000000002</v>
      </c>
      <c r="F222" s="17">
        <v>406.52499999999998</v>
      </c>
      <c r="G222" s="17">
        <v>414.77300000000002</v>
      </c>
      <c r="H222" s="17">
        <v>402.39800000000002</v>
      </c>
      <c r="I222" s="17">
        <v>481.01499999999999</v>
      </c>
      <c r="J222" s="17">
        <v>412.25900000000001</v>
      </c>
      <c r="K222" s="17">
        <v>453.33699999999999</v>
      </c>
      <c r="L222" s="17">
        <v>415.53399999999999</v>
      </c>
      <c r="M222" s="17">
        <v>441.096</v>
      </c>
      <c r="N222" s="17">
        <v>414.96</v>
      </c>
      <c r="O222" s="17">
        <v>414.029</v>
      </c>
      <c r="P222" s="17">
        <v>547.68100000000004</v>
      </c>
      <c r="Q222" s="17">
        <v>427.214</v>
      </c>
      <c r="R222" s="17"/>
      <c r="S222" s="17">
        <v>463.10599999999999</v>
      </c>
      <c r="T222" s="17"/>
      <c r="U222" s="17">
        <v>406.08</v>
      </c>
      <c r="V222" s="17">
        <v>412.10500000000002</v>
      </c>
      <c r="W222" s="17"/>
      <c r="X222" s="17">
        <v>433.48399999999998</v>
      </c>
      <c r="Y222" s="17">
        <v>667.06399999999996</v>
      </c>
      <c r="Z222" s="17">
        <v>405.54199999999997</v>
      </c>
      <c r="AA222" s="17">
        <v>432.505</v>
      </c>
      <c r="AB222" s="17">
        <v>415.59399999999999</v>
      </c>
      <c r="AC222" s="17">
        <v>403.46199999999999</v>
      </c>
      <c r="AD222" s="17">
        <v>413.48399999999998</v>
      </c>
      <c r="AE222" s="17">
        <v>407.21</v>
      </c>
    </row>
    <row r="223" spans="1:31" x14ac:dyDescent="0.35">
      <c r="A223" s="3">
        <f t="shared" si="99"/>
        <v>207</v>
      </c>
      <c r="B223" s="17">
        <v>415.00200000000001</v>
      </c>
      <c r="C223" s="17">
        <v>418.63200000000001</v>
      </c>
      <c r="D223" s="17">
        <v>408.86</v>
      </c>
      <c r="E223" s="17">
        <v>431.83800000000002</v>
      </c>
      <c r="F223" s="17">
        <v>406.86</v>
      </c>
      <c r="G223" s="17">
        <v>414.37099999999998</v>
      </c>
      <c r="H223" s="17">
        <v>401.7</v>
      </c>
      <c r="I223" s="17">
        <v>482.303</v>
      </c>
      <c r="J223" s="17">
        <v>412.09500000000003</v>
      </c>
      <c r="K223" s="17">
        <v>454.79599999999999</v>
      </c>
      <c r="L223" s="17">
        <v>415.35399999999998</v>
      </c>
      <c r="M223" s="17">
        <v>440.851</v>
      </c>
      <c r="N223" s="17">
        <v>413.39600000000002</v>
      </c>
      <c r="O223" s="17">
        <v>414.62700000000001</v>
      </c>
      <c r="P223" s="17">
        <v>547.94399999999996</v>
      </c>
      <c r="Q223" s="17">
        <v>426.60599999999999</v>
      </c>
      <c r="R223" s="17"/>
      <c r="S223" s="17">
        <v>462.88900000000001</v>
      </c>
      <c r="T223" s="17"/>
      <c r="U223" s="17">
        <v>405.29399999999998</v>
      </c>
      <c r="V223" s="17">
        <v>411.78</v>
      </c>
      <c r="W223" s="17"/>
      <c r="X223" s="17">
        <v>433.65699999999998</v>
      </c>
      <c r="Y223" s="17">
        <v>667.50599999999997</v>
      </c>
      <c r="Z223" s="17">
        <v>406.399</v>
      </c>
      <c r="AA223" s="17">
        <v>433.29500000000002</v>
      </c>
      <c r="AB223" s="17">
        <v>414.69</v>
      </c>
      <c r="AC223" s="17">
        <v>402.10599999999999</v>
      </c>
      <c r="AD223" s="17">
        <v>415.24900000000002</v>
      </c>
      <c r="AE223" s="17">
        <v>405.12</v>
      </c>
    </row>
    <row r="224" spans="1:31" x14ac:dyDescent="0.35">
      <c r="A224" s="3">
        <f t="shared" si="99"/>
        <v>208</v>
      </c>
      <c r="B224" s="17">
        <v>414.96499999999997</v>
      </c>
      <c r="C224" s="17">
        <v>418.81900000000002</v>
      </c>
      <c r="D224" s="17">
        <v>409.803</v>
      </c>
      <c r="E224" s="17">
        <v>431.48500000000001</v>
      </c>
      <c r="F224" s="17">
        <v>405.36200000000002</v>
      </c>
      <c r="G224" s="17">
        <v>413.964</v>
      </c>
      <c r="H224" s="17">
        <v>401.49900000000002</v>
      </c>
      <c r="I224" s="17">
        <v>480.95699999999999</v>
      </c>
      <c r="J224" s="17">
        <v>412.66399999999999</v>
      </c>
      <c r="K224" s="17">
        <v>453.34899999999999</v>
      </c>
      <c r="L224" s="17">
        <v>414.6</v>
      </c>
      <c r="M224" s="17">
        <v>441.08100000000002</v>
      </c>
      <c r="N224" s="17">
        <v>414.23099999999999</v>
      </c>
      <c r="O224" s="17">
        <v>415.255</v>
      </c>
      <c r="P224" s="17">
        <v>548.11199999999997</v>
      </c>
      <c r="Q224" s="17">
        <v>427.92</v>
      </c>
      <c r="R224" s="17"/>
      <c r="S224" s="17">
        <v>463.036</v>
      </c>
      <c r="T224" s="17"/>
      <c r="U224" s="17">
        <v>405.72800000000001</v>
      </c>
      <c r="V224" s="17">
        <v>411.89600000000002</v>
      </c>
      <c r="W224" s="17"/>
      <c r="X224" s="17">
        <v>435.21699999999998</v>
      </c>
      <c r="Y224" s="17">
        <v>668.58799999999997</v>
      </c>
      <c r="Z224" s="17">
        <v>406.81</v>
      </c>
      <c r="AA224" s="17">
        <v>433.952</v>
      </c>
      <c r="AB224" s="17">
        <v>414.72800000000001</v>
      </c>
      <c r="AC224" s="17">
        <v>402.81599999999997</v>
      </c>
      <c r="AD224" s="17">
        <v>415.43299999999999</v>
      </c>
      <c r="AE224" s="17">
        <v>403.78199999999998</v>
      </c>
    </row>
    <row r="225" spans="1:31" x14ac:dyDescent="0.35">
      <c r="A225" s="3">
        <f t="shared" si="99"/>
        <v>209</v>
      </c>
      <c r="B225" s="17">
        <v>415.31599999999997</v>
      </c>
      <c r="C225" s="17">
        <v>418.988</v>
      </c>
      <c r="D225" s="17">
        <v>409.15600000000001</v>
      </c>
      <c r="E225" s="17">
        <v>430.78899999999999</v>
      </c>
      <c r="F225" s="17">
        <v>407.22300000000001</v>
      </c>
      <c r="G225" s="17">
        <v>413.85399999999998</v>
      </c>
      <c r="H225" s="17">
        <v>403.32900000000001</v>
      </c>
      <c r="I225" s="17">
        <v>481.55799999999999</v>
      </c>
      <c r="J225" s="17">
        <v>411.48</v>
      </c>
      <c r="K225" s="17">
        <v>453.27699999999999</v>
      </c>
      <c r="L225" s="17">
        <v>414.79199999999997</v>
      </c>
      <c r="M225" s="17">
        <v>440.86799999999999</v>
      </c>
      <c r="N225" s="17">
        <v>413.49700000000001</v>
      </c>
      <c r="O225" s="17">
        <v>414.98500000000001</v>
      </c>
      <c r="P225" s="17">
        <v>547.55799999999999</v>
      </c>
      <c r="Q225" s="17">
        <v>427.59399999999999</v>
      </c>
      <c r="R225" s="17"/>
      <c r="S225" s="17">
        <v>462.851</v>
      </c>
      <c r="T225" s="17"/>
      <c r="U225" s="17">
        <v>405.05099999999999</v>
      </c>
      <c r="V225" s="17">
        <v>411.23</v>
      </c>
      <c r="W225" s="17"/>
      <c r="X225" s="17">
        <v>434.79199999999997</v>
      </c>
      <c r="Y225" s="17">
        <v>667.41700000000003</v>
      </c>
      <c r="Z225" s="17">
        <v>407.17599999999999</v>
      </c>
      <c r="AA225" s="17">
        <v>433.834</v>
      </c>
      <c r="AB225" s="17">
        <v>415.334</v>
      </c>
      <c r="AC225" s="17">
        <v>401.66</v>
      </c>
      <c r="AD225" s="17">
        <v>414.791</v>
      </c>
      <c r="AE225" s="17">
        <v>403.44099999999997</v>
      </c>
    </row>
    <row r="226" spans="1:31" x14ac:dyDescent="0.35">
      <c r="A226" s="3">
        <f t="shared" si="99"/>
        <v>210</v>
      </c>
      <c r="B226" s="17">
        <v>415.69400000000002</v>
      </c>
      <c r="C226" s="17">
        <v>417.60599999999999</v>
      </c>
      <c r="D226" s="17">
        <v>409.42700000000002</v>
      </c>
      <c r="E226" s="17">
        <v>430.86599999999999</v>
      </c>
      <c r="F226" s="17">
        <v>405.69400000000002</v>
      </c>
      <c r="G226" s="17">
        <v>414.69299999999998</v>
      </c>
      <c r="H226" s="17">
        <v>401.42200000000003</v>
      </c>
      <c r="I226" s="17">
        <v>481.28100000000001</v>
      </c>
      <c r="J226" s="17">
        <v>412.65800000000002</v>
      </c>
      <c r="K226" s="17">
        <v>453.029</v>
      </c>
      <c r="L226" s="17">
        <v>414.88600000000002</v>
      </c>
      <c r="M226" s="17">
        <v>441.745</v>
      </c>
      <c r="N226" s="17">
        <v>413.33100000000002</v>
      </c>
      <c r="O226" s="17">
        <v>413.95</v>
      </c>
      <c r="P226" s="17">
        <v>546.94399999999996</v>
      </c>
      <c r="Q226" s="17">
        <v>427.863</v>
      </c>
      <c r="R226" s="17"/>
      <c r="S226" s="17">
        <v>463.32100000000003</v>
      </c>
      <c r="T226" s="17"/>
      <c r="U226" s="17">
        <v>405.255</v>
      </c>
      <c r="V226" s="17">
        <v>412.28300000000002</v>
      </c>
      <c r="W226" s="17"/>
      <c r="X226" s="17">
        <v>434.14299999999997</v>
      </c>
      <c r="Y226" s="17">
        <v>666.37599999999998</v>
      </c>
      <c r="Z226" s="17">
        <v>407.608</v>
      </c>
      <c r="AA226" s="17">
        <v>434.55599999999998</v>
      </c>
      <c r="AB226" s="17">
        <v>413.959</v>
      </c>
      <c r="AC226" s="17">
        <v>401.35599999999999</v>
      </c>
      <c r="AD226" s="17">
        <v>414.38099999999997</v>
      </c>
      <c r="AE226" s="17">
        <v>404.71100000000001</v>
      </c>
    </row>
    <row r="227" spans="1:31" x14ac:dyDescent="0.35">
      <c r="A227" s="3">
        <f t="shared" si="99"/>
        <v>211</v>
      </c>
      <c r="B227" s="17">
        <v>414.50200000000001</v>
      </c>
      <c r="C227" s="17">
        <v>419.65300000000002</v>
      </c>
      <c r="D227" s="17">
        <v>409.33199999999999</v>
      </c>
      <c r="E227" s="17">
        <v>431.81400000000002</v>
      </c>
      <c r="F227" s="17">
        <v>407.58699999999999</v>
      </c>
      <c r="G227" s="17">
        <v>415.00400000000002</v>
      </c>
      <c r="H227" s="17">
        <v>402.18299999999999</v>
      </c>
      <c r="I227" s="17">
        <v>481.19499999999999</v>
      </c>
      <c r="J227" s="17">
        <v>411.46100000000001</v>
      </c>
      <c r="K227" s="17">
        <v>453.53100000000001</v>
      </c>
      <c r="L227" s="17">
        <v>415.13400000000001</v>
      </c>
      <c r="M227" s="17">
        <v>441.51499999999999</v>
      </c>
      <c r="N227" s="17">
        <v>413.14</v>
      </c>
      <c r="O227" s="17">
        <v>414.738</v>
      </c>
      <c r="P227" s="17">
        <v>547.17399999999998</v>
      </c>
      <c r="Q227" s="17">
        <v>428.00799999999998</v>
      </c>
      <c r="R227" s="17"/>
      <c r="S227" s="17">
        <v>462.30099999999999</v>
      </c>
      <c r="T227" s="17"/>
      <c r="U227" s="17">
        <v>404.07299999999998</v>
      </c>
      <c r="V227" s="17">
        <v>411.58600000000001</v>
      </c>
      <c r="W227" s="17"/>
      <c r="X227" s="17">
        <v>434.142</v>
      </c>
      <c r="Y227" s="17">
        <v>667.72500000000002</v>
      </c>
      <c r="Z227" s="17">
        <v>407.62900000000002</v>
      </c>
      <c r="AA227" s="17">
        <v>434.22300000000001</v>
      </c>
      <c r="AB227" s="17">
        <v>415.25200000000001</v>
      </c>
      <c r="AC227" s="17">
        <v>402.17399999999998</v>
      </c>
      <c r="AD227" s="17">
        <v>414.10500000000002</v>
      </c>
      <c r="AE227" s="17">
        <v>399.44900000000001</v>
      </c>
    </row>
    <row r="228" spans="1:31" x14ac:dyDescent="0.35">
      <c r="A228" s="3">
        <f t="shared" si="99"/>
        <v>212</v>
      </c>
      <c r="B228" s="17">
        <v>415.26</v>
      </c>
      <c r="C228" s="17">
        <v>418.43700000000001</v>
      </c>
      <c r="D228" s="17">
        <v>409.63600000000002</v>
      </c>
      <c r="E228" s="17">
        <v>430.42599999999999</v>
      </c>
      <c r="F228" s="17">
        <v>405.80099999999999</v>
      </c>
      <c r="G228" s="17">
        <v>414.31900000000002</v>
      </c>
      <c r="H228" s="17">
        <v>402.08100000000002</v>
      </c>
      <c r="I228" s="17">
        <v>481.45699999999999</v>
      </c>
      <c r="J228" s="17">
        <v>412.59699999999998</v>
      </c>
      <c r="K228" s="17">
        <v>455.18799999999999</v>
      </c>
      <c r="L228" s="17">
        <v>414.22899999999998</v>
      </c>
      <c r="M228" s="17">
        <v>441.02699999999999</v>
      </c>
      <c r="N228" s="17">
        <v>412.714</v>
      </c>
      <c r="O228" s="17">
        <v>415.26299999999998</v>
      </c>
      <c r="P228" s="17">
        <v>548.19200000000001</v>
      </c>
      <c r="Q228" s="17">
        <v>427.59899999999999</v>
      </c>
      <c r="R228" s="17"/>
      <c r="S228" s="17">
        <v>462.05900000000003</v>
      </c>
      <c r="T228" s="17"/>
      <c r="U228" s="17">
        <v>405.37400000000002</v>
      </c>
      <c r="V228" s="17">
        <v>411.01400000000001</v>
      </c>
      <c r="W228" s="17"/>
      <c r="X228" s="17">
        <v>433.20600000000002</v>
      </c>
      <c r="Y228" s="17">
        <v>666.44399999999996</v>
      </c>
      <c r="Z228" s="17">
        <v>406.98700000000002</v>
      </c>
      <c r="AA228" s="17">
        <v>432.58100000000002</v>
      </c>
      <c r="AB228" s="17">
        <v>414.98200000000003</v>
      </c>
      <c r="AC228" s="17">
        <v>402.11900000000003</v>
      </c>
      <c r="AD228" s="17">
        <v>416.03899999999999</v>
      </c>
      <c r="AE228" s="17">
        <v>401.702</v>
      </c>
    </row>
    <row r="229" spans="1:31" x14ac:dyDescent="0.35">
      <c r="A229" s="3">
        <f t="shared" si="99"/>
        <v>213</v>
      </c>
      <c r="B229" s="17">
        <v>414.63900000000001</v>
      </c>
      <c r="C229" s="17">
        <v>418.40499999999997</v>
      </c>
      <c r="D229" s="17">
        <v>410.04700000000003</v>
      </c>
      <c r="E229" s="17">
        <v>429.97899999999998</v>
      </c>
      <c r="F229" s="17">
        <v>406.36099999999999</v>
      </c>
      <c r="G229" s="17">
        <v>414.988</v>
      </c>
      <c r="H229" s="17">
        <v>402.19</v>
      </c>
      <c r="I229" s="17">
        <v>481.57499999999999</v>
      </c>
      <c r="J229" s="17">
        <v>412.52199999999999</v>
      </c>
      <c r="K229" s="17">
        <v>453.67599999999999</v>
      </c>
      <c r="L229" s="17">
        <v>414.18599999999998</v>
      </c>
      <c r="M229" s="17">
        <v>440.86599999999999</v>
      </c>
      <c r="N229" s="17">
        <v>413.35500000000002</v>
      </c>
      <c r="O229" s="17">
        <v>414.60500000000002</v>
      </c>
      <c r="P229" s="17">
        <v>547.71199999999999</v>
      </c>
      <c r="Q229" s="17">
        <v>427.64499999999998</v>
      </c>
      <c r="R229" s="17"/>
      <c r="S229" s="17">
        <v>462.61099999999999</v>
      </c>
      <c r="T229" s="17"/>
      <c r="U229" s="17">
        <v>405.613</v>
      </c>
      <c r="V229" s="17">
        <v>412.46899999999999</v>
      </c>
      <c r="W229" s="17"/>
      <c r="X229" s="17">
        <v>434.66899999999998</v>
      </c>
      <c r="Y229" s="17">
        <v>666.02499999999998</v>
      </c>
      <c r="Z229" s="17">
        <v>408.12700000000001</v>
      </c>
      <c r="AA229" s="17">
        <v>433.2</v>
      </c>
      <c r="AB229" s="17">
        <v>415.64100000000002</v>
      </c>
      <c r="AC229" s="17">
        <v>404.01100000000002</v>
      </c>
      <c r="AD229" s="17">
        <v>416.476</v>
      </c>
      <c r="AE229" s="17">
        <v>405.25400000000002</v>
      </c>
    </row>
    <row r="230" spans="1:31" x14ac:dyDescent="0.35">
      <c r="A230" s="3">
        <f t="shared" si="99"/>
        <v>214</v>
      </c>
      <c r="B230" s="17">
        <v>415.79300000000001</v>
      </c>
      <c r="C230" s="17">
        <v>417.92399999999998</v>
      </c>
      <c r="D230" s="17">
        <v>411.05799999999999</v>
      </c>
      <c r="E230" s="17">
        <v>431.1</v>
      </c>
      <c r="F230" s="17">
        <v>406.11700000000002</v>
      </c>
      <c r="G230" s="17">
        <v>414.899</v>
      </c>
      <c r="H230" s="17">
        <v>403.22199999999998</v>
      </c>
      <c r="I230" s="17">
        <v>481.63799999999998</v>
      </c>
      <c r="J230" s="17">
        <v>412.36900000000003</v>
      </c>
      <c r="K230" s="17">
        <v>455.83800000000002</v>
      </c>
      <c r="L230" s="17">
        <v>415.928</v>
      </c>
      <c r="M230" s="17">
        <v>441.197</v>
      </c>
      <c r="N230" s="17">
        <v>414.28699999999998</v>
      </c>
      <c r="O230" s="17">
        <v>414.755</v>
      </c>
      <c r="P230" s="17">
        <v>547.16</v>
      </c>
      <c r="Q230" s="17">
        <v>428.86599999999999</v>
      </c>
      <c r="R230" s="17"/>
      <c r="S230" s="17">
        <v>461.59899999999999</v>
      </c>
      <c r="T230" s="17"/>
      <c r="U230" s="17">
        <v>404.57</v>
      </c>
      <c r="V230" s="17">
        <v>413.41</v>
      </c>
      <c r="W230" s="17"/>
      <c r="X230" s="17">
        <v>433.78</v>
      </c>
      <c r="Y230" s="17">
        <v>666.476</v>
      </c>
      <c r="Z230" s="17">
        <v>406.93099999999998</v>
      </c>
      <c r="AA230" s="17">
        <v>433.66800000000001</v>
      </c>
      <c r="AB230" s="17">
        <v>414.471</v>
      </c>
      <c r="AC230" s="17">
        <v>404.60199999999998</v>
      </c>
      <c r="AD230" s="17">
        <v>414.976</v>
      </c>
      <c r="AE230" s="17">
        <v>403.22800000000001</v>
      </c>
    </row>
    <row r="231" spans="1:31" x14ac:dyDescent="0.35">
      <c r="A231" s="3">
        <f t="shared" si="99"/>
        <v>215</v>
      </c>
      <c r="B231" s="17">
        <v>415.92599999999999</v>
      </c>
      <c r="C231" s="17">
        <v>419.39</v>
      </c>
      <c r="D231" s="17">
        <v>410.37400000000002</v>
      </c>
      <c r="E231" s="17">
        <v>431.32900000000001</v>
      </c>
      <c r="F231" s="17">
        <v>407.00599999999997</v>
      </c>
      <c r="G231" s="17">
        <v>414.41500000000002</v>
      </c>
      <c r="H231" s="17">
        <v>401.726</v>
      </c>
      <c r="I231" s="17">
        <v>482.10500000000002</v>
      </c>
      <c r="J231" s="17">
        <v>411.90899999999999</v>
      </c>
      <c r="K231" s="17">
        <v>454.12400000000002</v>
      </c>
      <c r="L231" s="17">
        <v>413.93900000000002</v>
      </c>
      <c r="M231" s="17">
        <v>441.14400000000001</v>
      </c>
      <c r="N231" s="17">
        <v>414.38499999999999</v>
      </c>
      <c r="O231" s="17">
        <v>415.072</v>
      </c>
      <c r="P231" s="17">
        <v>547.57799999999997</v>
      </c>
      <c r="Q231" s="17">
        <v>429.464</v>
      </c>
      <c r="R231" s="17"/>
      <c r="S231" s="17">
        <v>463.52300000000002</v>
      </c>
      <c r="T231" s="17"/>
      <c r="U231" s="17">
        <v>405.03100000000001</v>
      </c>
      <c r="V231" s="17">
        <v>411.608</v>
      </c>
      <c r="W231" s="17"/>
      <c r="X231" s="17">
        <v>432.61700000000002</v>
      </c>
      <c r="Y231" s="17">
        <v>666.29100000000005</v>
      </c>
      <c r="Z231" s="17">
        <v>407.38600000000002</v>
      </c>
      <c r="AA231" s="17">
        <v>433.59699999999998</v>
      </c>
      <c r="AB231" s="17">
        <v>416.01</v>
      </c>
      <c r="AC231" s="17">
        <v>403.53899999999999</v>
      </c>
      <c r="AD231" s="17">
        <v>413.92700000000002</v>
      </c>
      <c r="AE231" s="17">
        <v>405.66</v>
      </c>
    </row>
    <row r="232" spans="1:31" x14ac:dyDescent="0.35">
      <c r="A232" s="3">
        <f t="shared" si="99"/>
        <v>216</v>
      </c>
      <c r="B232" s="17">
        <v>413.88</v>
      </c>
      <c r="C232" s="17">
        <v>418.28100000000001</v>
      </c>
      <c r="D232" s="17">
        <v>409.92700000000002</v>
      </c>
      <c r="E232" s="17">
        <v>432.69499999999999</v>
      </c>
      <c r="F232" s="17">
        <v>406.28199999999998</v>
      </c>
      <c r="G232" s="17">
        <v>414.44600000000003</v>
      </c>
      <c r="H232" s="17">
        <v>402.57400000000001</v>
      </c>
      <c r="I232" s="17">
        <v>482.90899999999999</v>
      </c>
      <c r="J232" s="17">
        <v>412.06400000000002</v>
      </c>
      <c r="K232" s="17">
        <v>455.07</v>
      </c>
      <c r="L232" s="17">
        <v>414.26299999999998</v>
      </c>
      <c r="M232" s="17">
        <v>441.464</v>
      </c>
      <c r="N232" s="17">
        <v>414.04</v>
      </c>
      <c r="O232" s="17">
        <v>414.77499999999998</v>
      </c>
      <c r="P232" s="17">
        <v>547.553</v>
      </c>
      <c r="Q232" s="17">
        <v>429.18099999999998</v>
      </c>
      <c r="R232" s="17"/>
      <c r="S232" s="17">
        <v>462.27800000000002</v>
      </c>
      <c r="T232" s="17"/>
      <c r="U232" s="17">
        <v>404.62</v>
      </c>
      <c r="V232" s="17">
        <v>411.39699999999999</v>
      </c>
      <c r="W232" s="17"/>
      <c r="X232" s="17">
        <v>433.56400000000002</v>
      </c>
      <c r="Y232" s="17">
        <v>666.47199999999998</v>
      </c>
      <c r="Z232" s="17">
        <v>408.10199999999998</v>
      </c>
      <c r="AA232" s="17">
        <v>432.61399999999998</v>
      </c>
      <c r="AB232" s="17">
        <v>417.32299999999998</v>
      </c>
      <c r="AC232" s="17">
        <v>402.08600000000001</v>
      </c>
      <c r="AD232" s="17">
        <v>415.74099999999999</v>
      </c>
      <c r="AE232" s="17">
        <v>404.68099999999998</v>
      </c>
    </row>
    <row r="233" spans="1:31" x14ac:dyDescent="0.35">
      <c r="A233" s="3">
        <f t="shared" si="99"/>
        <v>217</v>
      </c>
      <c r="B233" s="17">
        <v>415.64499999999998</v>
      </c>
      <c r="C233" s="17">
        <v>419.89</v>
      </c>
      <c r="D233" s="17">
        <v>410.56099999999998</v>
      </c>
      <c r="E233" s="17">
        <v>431.82</v>
      </c>
      <c r="F233" s="17">
        <v>407.13499999999999</v>
      </c>
      <c r="G233" s="17">
        <v>414.37799999999999</v>
      </c>
      <c r="H233" s="17">
        <v>401.33300000000003</v>
      </c>
      <c r="I233" s="17">
        <v>482.23700000000002</v>
      </c>
      <c r="J233" s="17">
        <v>412.42</v>
      </c>
      <c r="K233" s="17">
        <v>453.28300000000002</v>
      </c>
      <c r="L233" s="17">
        <v>413.81</v>
      </c>
      <c r="M233" s="17">
        <v>441.09699999999998</v>
      </c>
      <c r="N233" s="17">
        <v>415.209</v>
      </c>
      <c r="O233" s="17">
        <v>415.05200000000002</v>
      </c>
      <c r="P233" s="17">
        <v>547.93899999999996</v>
      </c>
      <c r="Q233" s="17">
        <v>429.35500000000002</v>
      </c>
      <c r="R233" s="17"/>
      <c r="S233" s="17">
        <v>462.77499999999998</v>
      </c>
      <c r="T233" s="17"/>
      <c r="U233" s="17">
        <v>404.66</v>
      </c>
      <c r="V233" s="17">
        <v>412.22199999999998</v>
      </c>
      <c r="W233" s="17"/>
      <c r="X233" s="17">
        <v>433.48899999999998</v>
      </c>
      <c r="Y233" s="17">
        <v>665.74099999999999</v>
      </c>
      <c r="Z233" s="17">
        <v>407.10500000000002</v>
      </c>
      <c r="AA233" s="17">
        <v>434.69400000000002</v>
      </c>
      <c r="AB233" s="17">
        <v>416.411</v>
      </c>
      <c r="AC233" s="17">
        <v>402.32</v>
      </c>
      <c r="AD233" s="17">
        <v>415.03199999999998</v>
      </c>
      <c r="AE233" s="17">
        <v>404.286</v>
      </c>
    </row>
    <row r="234" spans="1:31" x14ac:dyDescent="0.35">
      <c r="A234" s="3">
        <f t="shared" si="99"/>
        <v>218</v>
      </c>
      <c r="B234" s="17">
        <v>415.608</v>
      </c>
      <c r="C234" s="17">
        <v>418.66800000000001</v>
      </c>
      <c r="D234" s="17">
        <v>409.54500000000002</v>
      </c>
      <c r="E234" s="17">
        <v>432.32299999999998</v>
      </c>
      <c r="F234" s="17">
        <v>407.35700000000003</v>
      </c>
      <c r="G234" s="17">
        <v>414.23200000000003</v>
      </c>
      <c r="H234" s="17">
        <v>402.911</v>
      </c>
      <c r="I234" s="17">
        <v>481.4</v>
      </c>
      <c r="J234" s="17">
        <v>412.51</v>
      </c>
      <c r="K234" s="17">
        <v>454.005</v>
      </c>
      <c r="L234" s="17">
        <v>414.07299999999998</v>
      </c>
      <c r="M234" s="17">
        <v>441.41500000000002</v>
      </c>
      <c r="N234" s="17">
        <v>414.17099999999999</v>
      </c>
      <c r="O234" s="17">
        <v>414.98700000000002</v>
      </c>
      <c r="P234" s="17">
        <v>548.19500000000005</v>
      </c>
      <c r="Q234" s="17">
        <v>428.89</v>
      </c>
      <c r="R234" s="17"/>
      <c r="S234" s="17">
        <v>461.36599999999999</v>
      </c>
      <c r="T234" s="17"/>
      <c r="U234" s="17">
        <v>404.72300000000001</v>
      </c>
      <c r="V234" s="17">
        <v>412.072</v>
      </c>
      <c r="W234" s="17"/>
      <c r="X234" s="17">
        <v>434.89</v>
      </c>
      <c r="Y234" s="17">
        <v>666.08500000000004</v>
      </c>
      <c r="Z234" s="17">
        <v>408.31700000000001</v>
      </c>
      <c r="AA234" s="17">
        <v>434.17099999999999</v>
      </c>
      <c r="AB234" s="17">
        <v>417.96800000000002</v>
      </c>
      <c r="AC234" s="17">
        <v>401.99299999999999</v>
      </c>
      <c r="AD234" s="17">
        <v>415.654</v>
      </c>
      <c r="AE234" s="17">
        <v>401.52</v>
      </c>
    </row>
    <row r="235" spans="1:31" x14ac:dyDescent="0.35">
      <c r="A235" s="3">
        <f t="shared" si="99"/>
        <v>219</v>
      </c>
      <c r="B235" s="17">
        <v>416.76299999999998</v>
      </c>
      <c r="C235" s="17">
        <v>419.68400000000003</v>
      </c>
      <c r="D235" s="17">
        <v>409.00799999999998</v>
      </c>
      <c r="E235" s="17">
        <v>431.94200000000001</v>
      </c>
      <c r="F235" s="17">
        <v>407.36700000000002</v>
      </c>
      <c r="G235" s="17">
        <v>414.78800000000001</v>
      </c>
      <c r="H235" s="17">
        <v>401.52800000000002</v>
      </c>
      <c r="I235" s="17">
        <v>482.43900000000002</v>
      </c>
      <c r="J235" s="17">
        <v>411.54</v>
      </c>
      <c r="K235" s="17">
        <v>454.51299999999998</v>
      </c>
      <c r="L235" s="17">
        <v>415.577</v>
      </c>
      <c r="M235" s="17">
        <v>441.53</v>
      </c>
      <c r="N235" s="17">
        <v>413.20800000000003</v>
      </c>
      <c r="O235" s="17">
        <v>414.96300000000002</v>
      </c>
      <c r="P235" s="17">
        <v>549.08399999999995</v>
      </c>
      <c r="Q235" s="17">
        <v>428.96499999999997</v>
      </c>
      <c r="R235" s="17"/>
      <c r="S235" s="17">
        <v>461.81799999999998</v>
      </c>
      <c r="T235" s="17"/>
      <c r="U235" s="17">
        <v>403.67599999999999</v>
      </c>
      <c r="V235" s="17">
        <v>413.00099999999998</v>
      </c>
      <c r="W235" s="17"/>
      <c r="X235" s="17">
        <v>433.88600000000002</v>
      </c>
      <c r="Y235" s="17">
        <v>666.16800000000001</v>
      </c>
      <c r="Z235" s="17">
        <v>407.94299999999998</v>
      </c>
      <c r="AA235" s="17">
        <v>435.84899999999999</v>
      </c>
      <c r="AB235" s="17">
        <v>417.42399999999998</v>
      </c>
      <c r="AC235" s="17">
        <v>403.60399999999998</v>
      </c>
      <c r="AD235" s="17">
        <v>414.714</v>
      </c>
      <c r="AE235" s="17">
        <v>404.13799999999998</v>
      </c>
    </row>
    <row r="236" spans="1:31" x14ac:dyDescent="0.35">
      <c r="A236" s="3">
        <f t="shared" si="99"/>
        <v>220</v>
      </c>
      <c r="B236" s="17">
        <v>416.30700000000002</v>
      </c>
      <c r="C236" s="17">
        <v>419.40699999999998</v>
      </c>
      <c r="D236" s="17">
        <v>410.447</v>
      </c>
      <c r="E236" s="17">
        <v>431.54899999999998</v>
      </c>
      <c r="F236" s="17">
        <v>406.76799999999997</v>
      </c>
      <c r="G236" s="17">
        <v>414.49200000000002</v>
      </c>
      <c r="H236" s="17">
        <v>402.63499999999999</v>
      </c>
      <c r="I236" s="17">
        <v>481.59500000000003</v>
      </c>
      <c r="J236" s="17">
        <v>412.99099999999999</v>
      </c>
      <c r="K236" s="17">
        <v>455.28399999999999</v>
      </c>
      <c r="L236" s="17">
        <v>415.21800000000002</v>
      </c>
      <c r="M236" s="17">
        <v>441.37799999999999</v>
      </c>
      <c r="N236" s="17">
        <v>414.55200000000002</v>
      </c>
      <c r="O236" s="17">
        <v>414.26900000000001</v>
      </c>
      <c r="P236" s="17">
        <v>547.673</v>
      </c>
      <c r="Q236" s="17">
        <v>429.11599999999999</v>
      </c>
      <c r="R236" s="17"/>
      <c r="S236" s="17">
        <v>462.495</v>
      </c>
      <c r="T236" s="17"/>
      <c r="U236" s="17">
        <v>405.69900000000001</v>
      </c>
      <c r="V236" s="17">
        <v>411.93099999999998</v>
      </c>
      <c r="W236" s="17"/>
      <c r="X236" s="17">
        <v>435.416</v>
      </c>
      <c r="Y236" s="17">
        <v>666.82399999999996</v>
      </c>
      <c r="Z236" s="17">
        <v>407.49299999999999</v>
      </c>
      <c r="AA236" s="17">
        <v>434.31</v>
      </c>
      <c r="AB236" s="17">
        <v>414.34300000000002</v>
      </c>
      <c r="AC236" s="17">
        <v>402.53800000000001</v>
      </c>
      <c r="AD236" s="17">
        <v>416.35199999999998</v>
      </c>
      <c r="AE236" s="17">
        <v>400.62400000000002</v>
      </c>
    </row>
    <row r="237" spans="1:31" x14ac:dyDescent="0.35">
      <c r="A237" s="3">
        <f t="shared" si="99"/>
        <v>221</v>
      </c>
      <c r="B237" s="17">
        <v>416.20600000000002</v>
      </c>
      <c r="C237" s="17">
        <v>419.43299999999999</v>
      </c>
      <c r="D237" s="17">
        <v>410.125</v>
      </c>
      <c r="E237" s="17">
        <v>431.39</v>
      </c>
      <c r="F237" s="17">
        <v>406.18799999999999</v>
      </c>
      <c r="G237" s="17">
        <v>414.459</v>
      </c>
      <c r="H237" s="17">
        <v>402.06099999999998</v>
      </c>
      <c r="I237" s="17">
        <v>482.23700000000002</v>
      </c>
      <c r="J237" s="17">
        <v>412.63</v>
      </c>
      <c r="K237" s="17">
        <v>454.30900000000003</v>
      </c>
      <c r="L237" s="17">
        <v>414.49700000000001</v>
      </c>
      <c r="M237" s="17">
        <v>441.26600000000002</v>
      </c>
      <c r="N237" s="17">
        <v>414.411</v>
      </c>
      <c r="O237" s="17">
        <v>415.18099999999998</v>
      </c>
      <c r="P237" s="17">
        <v>547.452</v>
      </c>
      <c r="Q237" s="17">
        <v>430.197</v>
      </c>
      <c r="R237" s="17"/>
      <c r="S237" s="17">
        <v>463.26900000000001</v>
      </c>
      <c r="T237" s="17"/>
      <c r="U237" s="17">
        <v>404.35700000000003</v>
      </c>
      <c r="V237" s="17">
        <v>413.32499999999999</v>
      </c>
      <c r="W237" s="17"/>
      <c r="X237" s="17">
        <v>434.6</v>
      </c>
      <c r="Y237" s="17">
        <v>665.81899999999996</v>
      </c>
      <c r="Z237" s="17">
        <v>408.38299999999998</v>
      </c>
      <c r="AA237" s="17">
        <v>433.19600000000003</v>
      </c>
      <c r="AB237" s="17">
        <v>417.67099999999999</v>
      </c>
      <c r="AC237" s="17">
        <v>403.23500000000001</v>
      </c>
      <c r="AD237" s="17">
        <v>415.67399999999998</v>
      </c>
      <c r="AE237" s="17">
        <v>402.21199999999999</v>
      </c>
    </row>
    <row r="238" spans="1:31" x14ac:dyDescent="0.35">
      <c r="A238" s="3">
        <f t="shared" si="99"/>
        <v>222</v>
      </c>
      <c r="B238" s="17">
        <v>415.71100000000001</v>
      </c>
      <c r="C238" s="17">
        <v>420.18400000000003</v>
      </c>
      <c r="D238" s="17">
        <v>409.673</v>
      </c>
      <c r="E238" s="17">
        <v>431.464</v>
      </c>
      <c r="F238" s="17">
        <v>407.89600000000002</v>
      </c>
      <c r="G238" s="17">
        <v>414.60599999999999</v>
      </c>
      <c r="H238" s="17">
        <v>402.834</v>
      </c>
      <c r="I238" s="17">
        <v>481.41500000000002</v>
      </c>
      <c r="J238" s="17">
        <v>412.22699999999998</v>
      </c>
      <c r="K238" s="17">
        <v>454.12099999999998</v>
      </c>
      <c r="L238" s="17">
        <v>415.41699999999997</v>
      </c>
      <c r="M238" s="17">
        <v>441.50099999999998</v>
      </c>
      <c r="N238" s="17">
        <v>414.47199999999998</v>
      </c>
      <c r="O238" s="17">
        <v>415.983</v>
      </c>
      <c r="P238" s="17">
        <v>547.69200000000001</v>
      </c>
      <c r="Q238" s="17">
        <v>429.06299999999999</v>
      </c>
      <c r="R238" s="17"/>
      <c r="S238" s="17">
        <v>461.95400000000001</v>
      </c>
      <c r="T238" s="17"/>
      <c r="U238" s="17">
        <v>404.72300000000001</v>
      </c>
      <c r="V238" s="17">
        <v>413.18900000000002</v>
      </c>
      <c r="W238" s="17"/>
      <c r="X238" s="17">
        <v>433.88900000000001</v>
      </c>
      <c r="Y238" s="17">
        <v>667.52700000000004</v>
      </c>
      <c r="Z238" s="17">
        <v>407.58800000000002</v>
      </c>
      <c r="AA238" s="17">
        <v>433.53500000000003</v>
      </c>
      <c r="AB238" s="17">
        <v>415.41</v>
      </c>
      <c r="AC238" s="17">
        <v>401.73099999999999</v>
      </c>
      <c r="AD238" s="17">
        <v>413.983</v>
      </c>
      <c r="AE238" s="17">
        <v>405.30700000000002</v>
      </c>
    </row>
    <row r="239" spans="1:31" x14ac:dyDescent="0.35">
      <c r="A239" s="3">
        <f t="shared" si="99"/>
        <v>223</v>
      </c>
      <c r="B239" s="17">
        <v>416.69200000000001</v>
      </c>
      <c r="C239" s="17">
        <v>419.37599999999998</v>
      </c>
      <c r="D239" s="17">
        <v>410.065</v>
      </c>
      <c r="E239" s="17">
        <v>431.99599999999998</v>
      </c>
      <c r="F239" s="17">
        <v>405.03</v>
      </c>
      <c r="G239" s="17">
        <v>414.57600000000002</v>
      </c>
      <c r="H239" s="17">
        <v>402.80500000000001</v>
      </c>
      <c r="I239" s="17">
        <v>481.60599999999999</v>
      </c>
      <c r="J239" s="17">
        <v>412.69</v>
      </c>
      <c r="K239" s="17">
        <v>453.73</v>
      </c>
      <c r="L239" s="17">
        <v>413.495</v>
      </c>
      <c r="M239" s="17">
        <v>441.29700000000003</v>
      </c>
      <c r="N239" s="17">
        <v>414.67599999999999</v>
      </c>
      <c r="O239" s="17">
        <v>415.51900000000001</v>
      </c>
      <c r="P239" s="17">
        <v>547.58699999999999</v>
      </c>
      <c r="Q239" s="17">
        <v>429.49</v>
      </c>
      <c r="R239" s="17"/>
      <c r="S239" s="17">
        <v>462.71699999999998</v>
      </c>
      <c r="T239" s="17"/>
      <c r="U239" s="17">
        <v>405.87799999999999</v>
      </c>
      <c r="V239" s="17">
        <v>413.68599999999998</v>
      </c>
      <c r="W239" s="17"/>
      <c r="X239" s="17">
        <v>432.68900000000002</v>
      </c>
      <c r="Y239" s="17">
        <v>666.24099999999999</v>
      </c>
      <c r="Z239" s="17">
        <v>407.88799999999998</v>
      </c>
      <c r="AA239" s="17">
        <v>434.22399999999999</v>
      </c>
      <c r="AB239" s="17">
        <v>416.27499999999998</v>
      </c>
      <c r="AC239" s="17">
        <v>402.24200000000002</v>
      </c>
      <c r="AD239" s="17">
        <v>412.74299999999999</v>
      </c>
      <c r="AE239" s="17">
        <v>404.39</v>
      </c>
    </row>
    <row r="240" spans="1:31" x14ac:dyDescent="0.35">
      <c r="A240" s="3">
        <f t="shared" si="99"/>
        <v>224</v>
      </c>
      <c r="B240" s="17">
        <v>416.976</v>
      </c>
      <c r="C240" s="17">
        <v>418.68700000000001</v>
      </c>
      <c r="D240" s="17">
        <v>409.863</v>
      </c>
      <c r="E240" s="17">
        <v>431.61700000000002</v>
      </c>
      <c r="F240" s="17">
        <v>407.74299999999999</v>
      </c>
      <c r="G240" s="17">
        <v>415.27499999999998</v>
      </c>
      <c r="H240" s="17">
        <v>401.29199999999997</v>
      </c>
      <c r="I240" s="17">
        <v>481.92200000000003</v>
      </c>
      <c r="J240" s="17">
        <v>412.89600000000002</v>
      </c>
      <c r="K240" s="17">
        <v>453.17500000000001</v>
      </c>
      <c r="L240" s="17">
        <v>414.81900000000002</v>
      </c>
      <c r="M240" s="17">
        <v>441.51400000000001</v>
      </c>
      <c r="N240" s="17">
        <v>415.82299999999998</v>
      </c>
      <c r="O240" s="17">
        <v>414.92700000000002</v>
      </c>
      <c r="P240" s="17">
        <v>547.89499999999998</v>
      </c>
      <c r="Q240" s="17">
        <v>429.32600000000002</v>
      </c>
      <c r="R240" s="17"/>
      <c r="S240" s="17">
        <v>461.52600000000001</v>
      </c>
      <c r="T240" s="17"/>
      <c r="U240" s="17">
        <v>406.16300000000001</v>
      </c>
      <c r="V240" s="17">
        <v>412.84899999999999</v>
      </c>
      <c r="W240" s="17"/>
      <c r="X240" s="17">
        <v>435.02300000000002</v>
      </c>
      <c r="Y240" s="17">
        <v>664.41499999999996</v>
      </c>
      <c r="Z240" s="17">
        <v>407.97899999999998</v>
      </c>
      <c r="AA240" s="17">
        <v>432.99</v>
      </c>
      <c r="AB240" s="17">
        <v>415.726</v>
      </c>
      <c r="AC240" s="17">
        <v>403.27800000000002</v>
      </c>
      <c r="AD240" s="17">
        <v>416.23700000000002</v>
      </c>
      <c r="AE240" s="17">
        <v>400.96300000000002</v>
      </c>
    </row>
    <row r="241" spans="1:31" x14ac:dyDescent="0.35">
      <c r="A241" s="3">
        <f t="shared" si="99"/>
        <v>225</v>
      </c>
      <c r="B241" s="17">
        <v>415.79500000000002</v>
      </c>
      <c r="C241" s="17">
        <v>419.43700000000001</v>
      </c>
      <c r="D241" s="17">
        <v>409.68799999999999</v>
      </c>
      <c r="E241" s="17">
        <v>432.185</v>
      </c>
      <c r="F241" s="17">
        <v>406.28699999999998</v>
      </c>
      <c r="G241" s="17">
        <v>413.78800000000001</v>
      </c>
      <c r="H241" s="17">
        <v>401.92399999999998</v>
      </c>
      <c r="I241" s="17">
        <v>482.02100000000002</v>
      </c>
      <c r="J241" s="17">
        <v>412.54899999999998</v>
      </c>
      <c r="K241" s="17">
        <v>453.423</v>
      </c>
      <c r="L241" s="17">
        <v>414.267</v>
      </c>
      <c r="M241" s="17">
        <v>441.44900000000001</v>
      </c>
      <c r="N241" s="17">
        <v>413.82600000000002</v>
      </c>
      <c r="O241" s="17">
        <v>415.22899999999998</v>
      </c>
      <c r="P241" s="17">
        <v>547.94200000000001</v>
      </c>
      <c r="Q241" s="17">
        <v>429.45499999999998</v>
      </c>
      <c r="R241" s="17"/>
      <c r="S241" s="17">
        <v>462.82400000000001</v>
      </c>
      <c r="T241" s="17"/>
      <c r="U241" s="17">
        <v>405.84899999999999</v>
      </c>
      <c r="V241" s="17">
        <v>413.245</v>
      </c>
      <c r="W241" s="17"/>
      <c r="X241" s="17">
        <v>433.61</v>
      </c>
      <c r="Y241" s="17">
        <v>664.78899999999999</v>
      </c>
      <c r="Z241" s="17">
        <v>408.43200000000002</v>
      </c>
      <c r="AA241" s="17">
        <v>434.41500000000002</v>
      </c>
      <c r="AB241" s="17">
        <v>414.75700000000001</v>
      </c>
      <c r="AC241" s="17">
        <v>404.30500000000001</v>
      </c>
      <c r="AD241" s="17">
        <v>415.21</v>
      </c>
      <c r="AE241" s="17">
        <v>399.15600000000001</v>
      </c>
    </row>
    <row r="242" spans="1:31" x14ac:dyDescent="0.35">
      <c r="A242" s="3">
        <f t="shared" ref="A242:A305" si="100">A241+1</f>
        <v>226</v>
      </c>
      <c r="B242" s="17">
        <v>415.83600000000001</v>
      </c>
      <c r="C242" s="17">
        <v>419.25900000000001</v>
      </c>
      <c r="D242" s="17">
        <v>409.59899999999999</v>
      </c>
      <c r="E242" s="17">
        <v>431.745</v>
      </c>
      <c r="F242" s="17">
        <v>406.572</v>
      </c>
      <c r="G242" s="17">
        <v>413.42599999999999</v>
      </c>
      <c r="H242" s="17">
        <v>402.61700000000002</v>
      </c>
      <c r="I242" s="17">
        <v>481.596</v>
      </c>
      <c r="J242" s="17">
        <v>412.49700000000001</v>
      </c>
      <c r="K242" s="17">
        <v>454.77800000000002</v>
      </c>
      <c r="L242" s="17">
        <v>415.00599999999997</v>
      </c>
      <c r="M242" s="17">
        <v>441.94299999999998</v>
      </c>
      <c r="N242" s="17">
        <v>414.12799999999999</v>
      </c>
      <c r="O242" s="17">
        <v>415.65800000000002</v>
      </c>
      <c r="P242" s="17">
        <v>547.24699999999996</v>
      </c>
      <c r="Q242" s="17">
        <v>430.15699999999998</v>
      </c>
      <c r="R242" s="17"/>
      <c r="S242" s="17">
        <v>461.69400000000002</v>
      </c>
      <c r="T242" s="17"/>
      <c r="U242" s="17">
        <v>405.44400000000002</v>
      </c>
      <c r="V242" s="17">
        <v>414.33600000000001</v>
      </c>
      <c r="W242" s="17"/>
      <c r="X242" s="17">
        <v>433.78899999999999</v>
      </c>
      <c r="Y242" s="17">
        <v>666.20699999999999</v>
      </c>
      <c r="Z242" s="17">
        <v>407.11</v>
      </c>
      <c r="AA242" s="17">
        <v>433.45100000000002</v>
      </c>
      <c r="AB242" s="17">
        <v>415.84199999999998</v>
      </c>
      <c r="AC242" s="17">
        <v>403.76</v>
      </c>
      <c r="AD242" s="17">
        <v>415.43799999999999</v>
      </c>
      <c r="AE242" s="17">
        <v>399.24900000000002</v>
      </c>
    </row>
    <row r="243" spans="1:31" x14ac:dyDescent="0.35">
      <c r="A243" s="3">
        <f t="shared" si="100"/>
        <v>227</v>
      </c>
      <c r="B243" s="17">
        <v>416.24799999999999</v>
      </c>
      <c r="C243" s="17">
        <v>418.88799999999998</v>
      </c>
      <c r="D243" s="17">
        <v>410.34199999999998</v>
      </c>
      <c r="E243" s="17">
        <v>431.77499999999998</v>
      </c>
      <c r="F243" s="17">
        <v>406.25299999999999</v>
      </c>
      <c r="G243" s="17">
        <v>415.03699999999998</v>
      </c>
      <c r="H243" s="17">
        <v>402.017</v>
      </c>
      <c r="I243" s="17">
        <v>482.05599999999998</v>
      </c>
      <c r="J243" s="17">
        <v>412.76499999999999</v>
      </c>
      <c r="K243" s="17">
        <v>454.17099999999999</v>
      </c>
      <c r="L243" s="17">
        <v>413.94600000000003</v>
      </c>
      <c r="M243" s="17">
        <v>441.29700000000003</v>
      </c>
      <c r="N243" s="17">
        <v>415.16500000000002</v>
      </c>
      <c r="O243" s="17">
        <v>415.83800000000002</v>
      </c>
      <c r="P243" s="17">
        <v>547.35699999999997</v>
      </c>
      <c r="Q243" s="17">
        <v>429.858</v>
      </c>
      <c r="R243" s="17"/>
      <c r="S243" s="17">
        <v>461.57900000000001</v>
      </c>
      <c r="T243" s="17"/>
      <c r="U243" s="17">
        <v>404.87799999999999</v>
      </c>
      <c r="V243" s="17">
        <v>412.38</v>
      </c>
      <c r="W243" s="17"/>
      <c r="X243" s="17">
        <v>434.10199999999998</v>
      </c>
      <c r="Y243" s="17">
        <v>667.08399999999995</v>
      </c>
      <c r="Z243" s="17">
        <v>407.57900000000001</v>
      </c>
      <c r="AA243" s="17">
        <v>433.88600000000002</v>
      </c>
      <c r="AB243" s="17">
        <v>416.024</v>
      </c>
      <c r="AC243" s="17">
        <v>402.851</v>
      </c>
      <c r="AD243" s="17">
        <v>414.44400000000002</v>
      </c>
      <c r="AE243" s="17">
        <v>400.57299999999998</v>
      </c>
    </row>
    <row r="244" spans="1:31" x14ac:dyDescent="0.35">
      <c r="A244" s="3">
        <f t="shared" si="100"/>
        <v>228</v>
      </c>
      <c r="B244" s="17">
        <v>415.81299999999999</v>
      </c>
      <c r="C244" s="17">
        <v>419.69499999999999</v>
      </c>
      <c r="D244" s="17">
        <v>409.63</v>
      </c>
      <c r="E244" s="17">
        <v>431.49799999999999</v>
      </c>
      <c r="F244" s="17">
        <v>406.51299999999998</v>
      </c>
      <c r="G244" s="17">
        <v>414.53399999999999</v>
      </c>
      <c r="H244" s="17">
        <v>402.089</v>
      </c>
      <c r="I244" s="17">
        <v>482.209</v>
      </c>
      <c r="J244" s="17">
        <v>413.92599999999999</v>
      </c>
      <c r="K244" s="17">
        <v>453.36099999999999</v>
      </c>
      <c r="L244" s="17">
        <v>414.78699999999998</v>
      </c>
      <c r="M244" s="17">
        <v>442.71699999999998</v>
      </c>
      <c r="N244" s="17">
        <v>414.48200000000003</v>
      </c>
      <c r="O244" s="17">
        <v>416.39400000000001</v>
      </c>
      <c r="P244" s="17">
        <v>547.21900000000005</v>
      </c>
      <c r="Q244" s="17">
        <v>430.995</v>
      </c>
      <c r="R244" s="17"/>
      <c r="S244" s="17">
        <v>461.84</v>
      </c>
      <c r="T244" s="17"/>
      <c r="U244" s="17">
        <v>406.16899999999998</v>
      </c>
      <c r="V244" s="17">
        <v>414.245</v>
      </c>
      <c r="W244" s="17"/>
      <c r="X244" s="17">
        <v>433.71600000000001</v>
      </c>
      <c r="Y244" s="17">
        <v>666.62599999999998</v>
      </c>
      <c r="Z244" s="17">
        <v>408.34</v>
      </c>
      <c r="AA244" s="17">
        <v>433.94799999999998</v>
      </c>
      <c r="AB244" s="17">
        <v>415.40600000000001</v>
      </c>
      <c r="AC244" s="17">
        <v>404.608</v>
      </c>
      <c r="AD244" s="17">
        <v>416.21499999999997</v>
      </c>
      <c r="AE244" s="17">
        <v>404.65899999999999</v>
      </c>
    </row>
    <row r="245" spans="1:31" x14ac:dyDescent="0.35">
      <c r="A245" s="3">
        <f t="shared" si="100"/>
        <v>229</v>
      </c>
      <c r="B245" s="17">
        <v>416.21699999999998</v>
      </c>
      <c r="C245" s="17">
        <v>419.62299999999999</v>
      </c>
      <c r="D245" s="17">
        <v>409.887</v>
      </c>
      <c r="E245" s="17">
        <v>431.45699999999999</v>
      </c>
      <c r="F245" s="17">
        <v>406.73500000000001</v>
      </c>
      <c r="G245" s="17">
        <v>414.95</v>
      </c>
      <c r="H245" s="17">
        <v>401.65</v>
      </c>
      <c r="I245" s="17">
        <v>481.39</v>
      </c>
      <c r="J245" s="17">
        <v>413.30799999999999</v>
      </c>
      <c r="K245" s="17">
        <v>455.00799999999998</v>
      </c>
      <c r="L245" s="17">
        <v>412.69799999999998</v>
      </c>
      <c r="M245" s="17">
        <v>441.964</v>
      </c>
      <c r="N245" s="17">
        <v>413.697</v>
      </c>
      <c r="O245" s="17">
        <v>415.80099999999999</v>
      </c>
      <c r="P245" s="17">
        <v>548.13599999999997</v>
      </c>
      <c r="Q245" s="17">
        <v>430.52600000000001</v>
      </c>
      <c r="R245" s="17"/>
      <c r="S245" s="17">
        <v>461.584</v>
      </c>
      <c r="T245" s="17"/>
      <c r="U245" s="17">
        <v>404.935</v>
      </c>
      <c r="V245" s="17">
        <v>414.97199999999998</v>
      </c>
      <c r="W245" s="17"/>
      <c r="X245" s="17">
        <v>435.13200000000001</v>
      </c>
      <c r="Y245" s="17">
        <v>667.36800000000005</v>
      </c>
      <c r="Z245" s="17">
        <v>408.94</v>
      </c>
      <c r="AA245" s="17">
        <v>433.803</v>
      </c>
      <c r="AB245" s="17">
        <v>416.358</v>
      </c>
      <c r="AC245" s="17">
        <v>403.29300000000001</v>
      </c>
      <c r="AD245" s="17">
        <v>416.67399999999998</v>
      </c>
      <c r="AE245" s="17">
        <v>401.755</v>
      </c>
    </row>
    <row r="246" spans="1:31" x14ac:dyDescent="0.35">
      <c r="A246" s="3">
        <f t="shared" si="100"/>
        <v>230</v>
      </c>
      <c r="B246" s="17">
        <v>416.10399999999998</v>
      </c>
      <c r="C246" s="17">
        <v>420.19400000000002</v>
      </c>
      <c r="D246" s="17">
        <v>409.53</v>
      </c>
      <c r="E246" s="17">
        <v>432.57900000000001</v>
      </c>
      <c r="F246" s="17">
        <v>407.72500000000002</v>
      </c>
      <c r="G246" s="17">
        <v>413.964</v>
      </c>
      <c r="H246" s="17">
        <v>402.988</v>
      </c>
      <c r="I246" s="17">
        <v>481.38299999999998</v>
      </c>
      <c r="J246" s="17">
        <v>413.51900000000001</v>
      </c>
      <c r="K246" s="17">
        <v>453.90499999999997</v>
      </c>
      <c r="L246" s="17">
        <v>415.315</v>
      </c>
      <c r="M246" s="17">
        <v>442.62299999999999</v>
      </c>
      <c r="N246" s="17">
        <v>413.53199999999998</v>
      </c>
      <c r="O246" s="17">
        <v>415.37700000000001</v>
      </c>
      <c r="P246" s="17">
        <v>548.125</v>
      </c>
      <c r="Q246" s="17">
        <v>431.00599999999997</v>
      </c>
      <c r="R246" s="17"/>
      <c r="S246" s="17">
        <v>461.95600000000002</v>
      </c>
      <c r="T246" s="17"/>
      <c r="U246" s="17">
        <v>404.99700000000001</v>
      </c>
      <c r="V246" s="17">
        <v>412.56</v>
      </c>
      <c r="W246" s="17"/>
      <c r="X246" s="17">
        <v>436.298</v>
      </c>
      <c r="Y246" s="17">
        <v>666.94299999999998</v>
      </c>
      <c r="Z246" s="17">
        <v>409.28899999999999</v>
      </c>
      <c r="AA246" s="17">
        <v>433.08</v>
      </c>
      <c r="AB246" s="17">
        <v>417.274</v>
      </c>
      <c r="AC246" s="17">
        <v>403.072</v>
      </c>
      <c r="AD246" s="17">
        <v>415.988</v>
      </c>
      <c r="AE246" s="17">
        <v>400.13099999999997</v>
      </c>
    </row>
    <row r="247" spans="1:31" x14ac:dyDescent="0.35">
      <c r="A247" s="3">
        <f t="shared" si="100"/>
        <v>231</v>
      </c>
      <c r="B247" s="17">
        <v>415.63400000000001</v>
      </c>
      <c r="C247" s="17">
        <v>420.04399999999998</v>
      </c>
      <c r="D247" s="17">
        <v>409.90199999999999</v>
      </c>
      <c r="E247" s="17">
        <v>431.61399999999998</v>
      </c>
      <c r="F247" s="17">
        <v>406.79300000000001</v>
      </c>
      <c r="G247" s="17">
        <v>413.36099999999999</v>
      </c>
      <c r="H247" s="17">
        <v>402.017</v>
      </c>
      <c r="I247" s="17">
        <v>481.92399999999998</v>
      </c>
      <c r="J247" s="17">
        <v>414.02800000000002</v>
      </c>
      <c r="K247" s="17">
        <v>453.702</v>
      </c>
      <c r="L247" s="17">
        <v>413.036</v>
      </c>
      <c r="M247" s="17">
        <v>441.58600000000001</v>
      </c>
      <c r="N247" s="17">
        <v>415.529</v>
      </c>
      <c r="O247" s="17">
        <v>415.47500000000002</v>
      </c>
      <c r="P247" s="17">
        <v>547.80100000000004</v>
      </c>
      <c r="Q247" s="17">
        <v>430.48399999999998</v>
      </c>
      <c r="R247" s="17"/>
      <c r="S247" s="17">
        <v>462.26400000000001</v>
      </c>
      <c r="T247" s="17"/>
      <c r="U247" s="17">
        <v>405.358</v>
      </c>
      <c r="V247" s="17">
        <v>413.97899999999998</v>
      </c>
      <c r="W247" s="17"/>
      <c r="X247" s="17">
        <v>436.19200000000001</v>
      </c>
      <c r="Y247" s="17">
        <v>665.93600000000004</v>
      </c>
      <c r="Z247" s="17">
        <v>408.72199999999998</v>
      </c>
      <c r="AA247" s="17">
        <v>433.35500000000002</v>
      </c>
      <c r="AB247" s="17">
        <v>415.779</v>
      </c>
      <c r="AC247" s="17">
        <v>406.07799999999997</v>
      </c>
      <c r="AD247" s="17">
        <v>416.91800000000001</v>
      </c>
      <c r="AE247" s="17">
        <v>402.053</v>
      </c>
    </row>
    <row r="248" spans="1:31" x14ac:dyDescent="0.35">
      <c r="A248" s="3">
        <f t="shared" si="100"/>
        <v>232</v>
      </c>
      <c r="B248" s="17">
        <v>416.923</v>
      </c>
      <c r="C248" s="17">
        <v>419.75799999999998</v>
      </c>
      <c r="D248" s="17">
        <v>409.839</v>
      </c>
      <c r="E248" s="17">
        <v>432.601</v>
      </c>
      <c r="F248" s="17">
        <v>408.48200000000003</v>
      </c>
      <c r="G248" s="17">
        <v>414.12799999999999</v>
      </c>
      <c r="H248" s="17">
        <v>402.48099999999999</v>
      </c>
      <c r="I248" s="17">
        <v>481.99099999999999</v>
      </c>
      <c r="J248" s="17">
        <v>413.39100000000002</v>
      </c>
      <c r="K248" s="17">
        <v>454.26499999999999</v>
      </c>
      <c r="L248" s="17">
        <v>416.49400000000003</v>
      </c>
      <c r="M248" s="17">
        <v>442.226</v>
      </c>
      <c r="N248" s="17">
        <v>413.90499999999997</v>
      </c>
      <c r="O248" s="17">
        <v>416.93400000000003</v>
      </c>
      <c r="P248" s="17">
        <v>547.70899999999995</v>
      </c>
      <c r="Q248" s="17">
        <v>429.91699999999997</v>
      </c>
      <c r="R248" s="17"/>
      <c r="S248" s="17">
        <v>461.375</v>
      </c>
      <c r="T248" s="17"/>
      <c r="U248" s="17">
        <v>405.23099999999999</v>
      </c>
      <c r="V248" s="17">
        <v>413.37799999999999</v>
      </c>
      <c r="W248" s="17"/>
      <c r="X248" s="17">
        <v>436.10399999999998</v>
      </c>
      <c r="Y248" s="17">
        <v>665.31600000000003</v>
      </c>
      <c r="Z248" s="17">
        <v>409.178</v>
      </c>
      <c r="AA248" s="17">
        <v>434.02300000000002</v>
      </c>
      <c r="AB248" s="17">
        <v>415.358</v>
      </c>
      <c r="AC248" s="17">
        <v>402.51900000000001</v>
      </c>
      <c r="AD248" s="17">
        <v>414.98</v>
      </c>
      <c r="AE248" s="17">
        <v>405.75799999999998</v>
      </c>
    </row>
    <row r="249" spans="1:31" x14ac:dyDescent="0.35">
      <c r="A249" s="3">
        <f t="shared" si="100"/>
        <v>233</v>
      </c>
      <c r="B249" s="17">
        <v>416.71899999999999</v>
      </c>
      <c r="C249" s="17">
        <v>420.02300000000002</v>
      </c>
      <c r="D249" s="17">
        <v>410.274</v>
      </c>
      <c r="E249" s="17">
        <v>432.11900000000003</v>
      </c>
      <c r="F249" s="17">
        <v>407.41899999999998</v>
      </c>
      <c r="G249" s="17">
        <v>414.25200000000001</v>
      </c>
      <c r="H249" s="17">
        <v>401.48599999999999</v>
      </c>
      <c r="I249" s="17">
        <v>481.77699999999999</v>
      </c>
      <c r="J249" s="17">
        <v>413.88400000000001</v>
      </c>
      <c r="K249" s="17">
        <v>454.44299999999998</v>
      </c>
      <c r="L249" s="17">
        <v>415.42200000000003</v>
      </c>
      <c r="M249" s="17">
        <v>441.923</v>
      </c>
      <c r="N249" s="17">
        <v>414.786</v>
      </c>
      <c r="O249" s="17">
        <v>416.21100000000001</v>
      </c>
      <c r="P249" s="17">
        <v>549.40800000000002</v>
      </c>
      <c r="Q249" s="17">
        <v>430.95800000000003</v>
      </c>
      <c r="R249" s="17"/>
      <c r="S249" s="17">
        <v>461.78699999999998</v>
      </c>
      <c r="T249" s="17"/>
      <c r="U249" s="17">
        <v>405.46600000000001</v>
      </c>
      <c r="V249" s="17">
        <v>414.85500000000002</v>
      </c>
      <c r="W249" s="17"/>
      <c r="X249" s="17">
        <v>435.18099999999998</v>
      </c>
      <c r="Y249" s="17">
        <v>666.88400000000001</v>
      </c>
      <c r="Z249" s="17">
        <v>408.36900000000003</v>
      </c>
      <c r="AA249" s="17">
        <v>435.31799999999998</v>
      </c>
      <c r="AB249" s="17">
        <v>416.392</v>
      </c>
      <c r="AC249" s="17">
        <v>404.69099999999997</v>
      </c>
      <c r="AD249" s="17">
        <v>415.68799999999999</v>
      </c>
      <c r="AE249" s="17">
        <v>403.97399999999999</v>
      </c>
    </row>
    <row r="250" spans="1:31" x14ac:dyDescent="0.35">
      <c r="A250" s="3">
        <f t="shared" si="100"/>
        <v>234</v>
      </c>
      <c r="B250" s="17">
        <v>416.30500000000001</v>
      </c>
      <c r="C250" s="17">
        <v>419.93599999999998</v>
      </c>
      <c r="D250" s="17">
        <v>410.435</v>
      </c>
      <c r="E250" s="17">
        <v>431.69299999999998</v>
      </c>
      <c r="F250" s="17">
        <v>406.83499999999998</v>
      </c>
      <c r="G250" s="17">
        <v>413.87400000000002</v>
      </c>
      <c r="H250" s="17">
        <v>403.28300000000002</v>
      </c>
      <c r="I250" s="17">
        <v>482.47500000000002</v>
      </c>
      <c r="J250" s="17">
        <v>412.63600000000002</v>
      </c>
      <c r="K250" s="17">
        <v>454.25700000000001</v>
      </c>
      <c r="L250" s="17">
        <v>415.26600000000002</v>
      </c>
      <c r="M250" s="17">
        <v>443.41500000000002</v>
      </c>
      <c r="N250" s="17">
        <v>415.108</v>
      </c>
      <c r="O250" s="17">
        <v>415.65600000000001</v>
      </c>
      <c r="P250" s="17">
        <v>549.00900000000001</v>
      </c>
      <c r="Q250" s="17">
        <v>430.70499999999998</v>
      </c>
      <c r="R250" s="17"/>
      <c r="S250" s="17">
        <v>460.97800000000001</v>
      </c>
      <c r="T250" s="17"/>
      <c r="U250" s="17">
        <v>406.77600000000001</v>
      </c>
      <c r="V250" s="17">
        <v>413.82499999999999</v>
      </c>
      <c r="W250" s="17"/>
      <c r="X250" s="17">
        <v>436.59399999999999</v>
      </c>
      <c r="Y250" s="17">
        <v>666.37</v>
      </c>
      <c r="Z250" s="17">
        <v>408.19900000000001</v>
      </c>
      <c r="AA250" s="17">
        <v>434.57299999999998</v>
      </c>
      <c r="AB250" s="17">
        <v>416.10399999999998</v>
      </c>
      <c r="AC250" s="17">
        <v>402.66500000000002</v>
      </c>
      <c r="AD250" s="17">
        <v>415.685</v>
      </c>
      <c r="AE250" s="17">
        <v>403.37299999999999</v>
      </c>
    </row>
    <row r="251" spans="1:31" x14ac:dyDescent="0.35">
      <c r="A251" s="3">
        <f t="shared" si="100"/>
        <v>235</v>
      </c>
      <c r="B251" s="17">
        <v>416.863</v>
      </c>
      <c r="C251" s="17">
        <v>418.92</v>
      </c>
      <c r="D251" s="17">
        <v>410.82100000000003</v>
      </c>
      <c r="E251" s="17">
        <v>432.78800000000001</v>
      </c>
      <c r="F251" s="17">
        <v>407.06900000000002</v>
      </c>
      <c r="G251" s="17">
        <v>414.303</v>
      </c>
      <c r="H251" s="17">
        <v>402.17599999999999</v>
      </c>
      <c r="I251" s="17">
        <v>482.13900000000001</v>
      </c>
      <c r="J251" s="17">
        <v>413.14299999999997</v>
      </c>
      <c r="K251" s="17">
        <v>453.33699999999999</v>
      </c>
      <c r="L251" s="17">
        <v>415.08100000000002</v>
      </c>
      <c r="M251" s="17">
        <v>442.334</v>
      </c>
      <c r="N251" s="17">
        <v>414.26900000000001</v>
      </c>
      <c r="O251" s="17">
        <v>415.49299999999999</v>
      </c>
      <c r="P251" s="17">
        <v>549.56899999999996</v>
      </c>
      <c r="Q251" s="17">
        <v>430.76499999999999</v>
      </c>
      <c r="R251" s="17"/>
      <c r="S251" s="17">
        <v>460.25799999999998</v>
      </c>
      <c r="T251" s="17"/>
      <c r="U251" s="17">
        <v>405.36500000000001</v>
      </c>
      <c r="V251" s="17">
        <v>413.45100000000002</v>
      </c>
      <c r="W251" s="17"/>
      <c r="X251" s="17">
        <v>436.22199999999998</v>
      </c>
      <c r="Y251" s="17">
        <v>666.30499999999995</v>
      </c>
      <c r="Z251" s="17">
        <v>409.66800000000001</v>
      </c>
      <c r="AA251" s="17">
        <v>435.33</v>
      </c>
      <c r="AB251" s="17">
        <v>416.80200000000002</v>
      </c>
      <c r="AC251" s="17">
        <v>404.428</v>
      </c>
      <c r="AD251" s="17">
        <v>414.73</v>
      </c>
      <c r="AE251" s="17">
        <v>404.25599999999997</v>
      </c>
    </row>
    <row r="252" spans="1:31" x14ac:dyDescent="0.35">
      <c r="A252" s="3">
        <f t="shared" si="100"/>
        <v>236</v>
      </c>
      <c r="B252" s="17">
        <v>415.88799999999998</v>
      </c>
      <c r="C252" s="17">
        <v>420.80599999999998</v>
      </c>
      <c r="D252" s="17">
        <v>409.61099999999999</v>
      </c>
      <c r="E252" s="17">
        <v>432.399</v>
      </c>
      <c r="F252" s="17">
        <v>408.31200000000001</v>
      </c>
      <c r="G252" s="17">
        <v>413.78</v>
      </c>
      <c r="H252" s="17">
        <v>402.351</v>
      </c>
      <c r="I252" s="17">
        <v>481.416</v>
      </c>
      <c r="J252" s="17">
        <v>413.51900000000001</v>
      </c>
      <c r="K252" s="17">
        <v>453.613</v>
      </c>
      <c r="L252" s="17">
        <v>416.37099999999998</v>
      </c>
      <c r="M252" s="17">
        <v>442.69499999999999</v>
      </c>
      <c r="N252" s="17">
        <v>414.81799999999998</v>
      </c>
      <c r="O252" s="17">
        <v>415.44900000000001</v>
      </c>
      <c r="P252" s="17">
        <v>549.00300000000004</v>
      </c>
      <c r="Q252" s="17">
        <v>431.286</v>
      </c>
      <c r="R252" s="17"/>
      <c r="S252" s="17">
        <v>460.57499999999999</v>
      </c>
      <c r="T252" s="17"/>
      <c r="U252" s="17">
        <v>406.18</v>
      </c>
      <c r="V252" s="17">
        <v>413.71300000000002</v>
      </c>
      <c r="W252" s="17"/>
      <c r="X252" s="17">
        <v>434.77300000000002</v>
      </c>
      <c r="Y252" s="17">
        <v>667.48900000000003</v>
      </c>
      <c r="Z252" s="17">
        <v>408.85300000000001</v>
      </c>
      <c r="AA252" s="17">
        <v>433.64800000000002</v>
      </c>
      <c r="AB252" s="17">
        <v>417.255</v>
      </c>
      <c r="AC252" s="17">
        <v>404.11900000000003</v>
      </c>
      <c r="AD252" s="17">
        <v>416.45600000000002</v>
      </c>
      <c r="AE252" s="17">
        <v>405.93200000000002</v>
      </c>
    </row>
    <row r="253" spans="1:31" x14ac:dyDescent="0.35">
      <c r="A253" s="3">
        <f t="shared" si="100"/>
        <v>237</v>
      </c>
      <c r="B253" s="17">
        <v>416.86099999999999</v>
      </c>
      <c r="C253" s="17">
        <v>421.04599999999999</v>
      </c>
      <c r="D253" s="17">
        <v>410.62099999999998</v>
      </c>
      <c r="E253" s="17">
        <v>432.226</v>
      </c>
      <c r="F253" s="17">
        <v>406.48599999999999</v>
      </c>
      <c r="G253" s="17">
        <v>414.48099999999999</v>
      </c>
      <c r="H253" s="17">
        <v>401.85500000000002</v>
      </c>
      <c r="I253" s="17">
        <v>483.01100000000002</v>
      </c>
      <c r="J253" s="17">
        <v>414.303</v>
      </c>
      <c r="K253" s="17">
        <v>455.28100000000001</v>
      </c>
      <c r="L253" s="17">
        <v>416.166</v>
      </c>
      <c r="M253" s="17">
        <v>442.84300000000002</v>
      </c>
      <c r="N253" s="17">
        <v>414.74799999999999</v>
      </c>
      <c r="O253" s="17">
        <v>416.67899999999997</v>
      </c>
      <c r="P253" s="17">
        <v>548.46799999999996</v>
      </c>
      <c r="Q253" s="17">
        <v>431.56299999999999</v>
      </c>
      <c r="R253" s="17"/>
      <c r="S253" s="17">
        <v>461.10199999999998</v>
      </c>
      <c r="T253" s="17"/>
      <c r="U253" s="17">
        <v>404.82100000000003</v>
      </c>
      <c r="V253" s="17">
        <v>413.74599999999998</v>
      </c>
      <c r="W253" s="17"/>
      <c r="X253" s="17">
        <v>435.69299999999998</v>
      </c>
      <c r="Y253" s="17">
        <v>666.15200000000004</v>
      </c>
      <c r="Z253" s="17">
        <v>409.63099999999997</v>
      </c>
      <c r="AA253" s="17">
        <v>433.90199999999999</v>
      </c>
      <c r="AB253" s="17">
        <v>418.51299999999998</v>
      </c>
      <c r="AC253" s="17">
        <v>403.59800000000001</v>
      </c>
      <c r="AD253" s="17">
        <v>415.59199999999998</v>
      </c>
      <c r="AE253" s="17">
        <v>404.06900000000002</v>
      </c>
    </row>
    <row r="254" spans="1:31" x14ac:dyDescent="0.35">
      <c r="A254" s="3">
        <f t="shared" si="100"/>
        <v>238</v>
      </c>
      <c r="B254" s="17">
        <v>416.625</v>
      </c>
      <c r="C254" s="17">
        <v>419.47399999999999</v>
      </c>
      <c r="D254" s="17">
        <v>410.76900000000001</v>
      </c>
      <c r="E254" s="17">
        <v>433.23700000000002</v>
      </c>
      <c r="F254" s="17">
        <v>408.34699999999998</v>
      </c>
      <c r="G254" s="17">
        <v>414.13200000000001</v>
      </c>
      <c r="H254" s="17">
        <v>402.721</v>
      </c>
      <c r="I254" s="17">
        <v>482.048</v>
      </c>
      <c r="J254" s="17">
        <v>413.803</v>
      </c>
      <c r="K254" s="17">
        <v>453.05500000000001</v>
      </c>
      <c r="L254" s="17">
        <v>414.851</v>
      </c>
      <c r="M254" s="17">
        <v>443.61</v>
      </c>
      <c r="N254" s="17">
        <v>415.23500000000001</v>
      </c>
      <c r="O254" s="17">
        <v>416.86700000000002</v>
      </c>
      <c r="P254" s="17">
        <v>549.35699999999997</v>
      </c>
      <c r="Q254" s="17">
        <v>431.41399999999999</v>
      </c>
      <c r="R254" s="17"/>
      <c r="S254" s="17">
        <v>460.72</v>
      </c>
      <c r="T254" s="17"/>
      <c r="U254" s="17">
        <v>405.22199999999998</v>
      </c>
      <c r="V254" s="17">
        <v>413.38200000000001</v>
      </c>
      <c r="W254" s="17"/>
      <c r="X254" s="17">
        <v>435.87400000000002</v>
      </c>
      <c r="Y254" s="17">
        <v>666.18600000000004</v>
      </c>
      <c r="Z254" s="17">
        <v>410.13400000000001</v>
      </c>
      <c r="AA254" s="17">
        <v>433.685</v>
      </c>
      <c r="AB254" s="17">
        <v>417.512</v>
      </c>
      <c r="AC254" s="17">
        <v>401.85700000000003</v>
      </c>
      <c r="AD254" s="17">
        <v>417.12299999999999</v>
      </c>
      <c r="AE254" s="17">
        <v>401.87099999999998</v>
      </c>
    </row>
    <row r="255" spans="1:31" x14ac:dyDescent="0.35">
      <c r="A255" s="3">
        <f t="shared" si="100"/>
        <v>239</v>
      </c>
      <c r="B255" s="17">
        <v>416.94799999999998</v>
      </c>
      <c r="C255" s="17">
        <v>420.452</v>
      </c>
      <c r="D255" s="17">
        <v>410.94</v>
      </c>
      <c r="E255" s="17">
        <v>432.54700000000003</v>
      </c>
      <c r="F255" s="17">
        <v>407.51499999999999</v>
      </c>
      <c r="G255" s="17">
        <v>412.89699999999999</v>
      </c>
      <c r="H255" s="17">
        <v>402.37400000000002</v>
      </c>
      <c r="I255" s="17">
        <v>481.67</v>
      </c>
      <c r="J255" s="17">
        <v>413.34300000000002</v>
      </c>
      <c r="K255" s="17">
        <v>452.91</v>
      </c>
      <c r="L255" s="17">
        <v>415.43700000000001</v>
      </c>
      <c r="M255" s="17">
        <v>442.27300000000002</v>
      </c>
      <c r="N255" s="17">
        <v>414.18</v>
      </c>
      <c r="O255" s="17">
        <v>416.78699999999998</v>
      </c>
      <c r="P255" s="17">
        <v>549.47199999999998</v>
      </c>
      <c r="Q255" s="17">
        <v>431.37700000000001</v>
      </c>
      <c r="R255" s="17"/>
      <c r="S255" s="17">
        <v>458.90600000000001</v>
      </c>
      <c r="T255" s="17"/>
      <c r="U255" s="17">
        <v>403.88600000000002</v>
      </c>
      <c r="V255" s="17">
        <v>413.68400000000003</v>
      </c>
      <c r="W255" s="17"/>
      <c r="X255" s="17">
        <v>436.06900000000002</v>
      </c>
      <c r="Y255" s="17">
        <v>665.59</v>
      </c>
      <c r="Z255" s="17">
        <v>409.48500000000001</v>
      </c>
      <c r="AA255" s="17">
        <v>434.97</v>
      </c>
      <c r="AB255" s="17">
        <v>418.27499999999998</v>
      </c>
      <c r="AC255" s="17">
        <v>403.79500000000002</v>
      </c>
      <c r="AD255" s="17">
        <v>415.53</v>
      </c>
      <c r="AE255" s="17">
        <v>402.71100000000001</v>
      </c>
    </row>
    <row r="256" spans="1:31" x14ac:dyDescent="0.35">
      <c r="A256" s="3">
        <f t="shared" si="100"/>
        <v>240</v>
      </c>
      <c r="B256" s="17">
        <v>416.702</v>
      </c>
      <c r="C256" s="17">
        <v>420.80700000000002</v>
      </c>
      <c r="D256" s="17">
        <v>410.21</v>
      </c>
      <c r="E256" s="17">
        <v>432.017</v>
      </c>
      <c r="F256" s="17">
        <v>407.54199999999997</v>
      </c>
      <c r="G256" s="17">
        <v>412.98500000000001</v>
      </c>
      <c r="H256" s="17">
        <v>401.79300000000001</v>
      </c>
      <c r="I256" s="17">
        <v>482.38600000000002</v>
      </c>
      <c r="J256" s="17">
        <v>413.589</v>
      </c>
      <c r="K256" s="17">
        <v>454.12</v>
      </c>
      <c r="L256" s="17">
        <v>415.12700000000001</v>
      </c>
      <c r="M256" s="17">
        <v>443.25900000000001</v>
      </c>
      <c r="N256" s="17">
        <v>415.30500000000001</v>
      </c>
      <c r="O256" s="17">
        <v>416.57</v>
      </c>
      <c r="P256" s="17">
        <v>549.75099999999998</v>
      </c>
      <c r="Q256" s="17">
        <v>431.964</v>
      </c>
      <c r="R256" s="17"/>
      <c r="S256" s="17">
        <v>461.548</v>
      </c>
      <c r="T256" s="17"/>
      <c r="U256" s="17">
        <v>405.74</v>
      </c>
      <c r="V256" s="17">
        <v>414.91500000000002</v>
      </c>
      <c r="W256" s="17"/>
      <c r="X256" s="17">
        <v>436.68900000000002</v>
      </c>
      <c r="Y256" s="17">
        <v>665.40300000000002</v>
      </c>
      <c r="Z256" s="17">
        <v>410.346</v>
      </c>
      <c r="AA256" s="17">
        <v>435.14299999999997</v>
      </c>
      <c r="AB256" s="17">
        <v>416.75</v>
      </c>
      <c r="AC256" s="17">
        <v>404.58199999999999</v>
      </c>
      <c r="AD256" s="17">
        <v>416.113</v>
      </c>
      <c r="AE256" s="17">
        <v>401.45499999999998</v>
      </c>
    </row>
    <row r="257" spans="1:31" x14ac:dyDescent="0.35">
      <c r="A257" s="3">
        <f t="shared" si="100"/>
        <v>241</v>
      </c>
      <c r="B257" s="17">
        <v>416.642</v>
      </c>
      <c r="C257" s="17">
        <v>420.81900000000002</v>
      </c>
      <c r="D257" s="17">
        <v>410.524</v>
      </c>
      <c r="E257" s="17">
        <v>432.85899999999998</v>
      </c>
      <c r="F257" s="17">
        <v>406.77</v>
      </c>
      <c r="G257" s="17">
        <v>413.68299999999999</v>
      </c>
      <c r="H257" s="17">
        <v>403.57100000000003</v>
      </c>
      <c r="I257" s="17">
        <v>483.24599999999998</v>
      </c>
      <c r="J257" s="17">
        <v>412.834</v>
      </c>
      <c r="K257" s="17">
        <v>454.09500000000003</v>
      </c>
      <c r="L257" s="17">
        <v>415.24799999999999</v>
      </c>
      <c r="M257" s="17">
        <v>442.19799999999998</v>
      </c>
      <c r="N257" s="17">
        <v>415.00599999999997</v>
      </c>
      <c r="O257" s="17">
        <v>416.21800000000002</v>
      </c>
      <c r="P257" s="17">
        <v>549.55600000000004</v>
      </c>
      <c r="Q257" s="17">
        <v>432.755</v>
      </c>
      <c r="R257" s="17"/>
      <c r="S257" s="17">
        <v>460.26</v>
      </c>
      <c r="T257" s="17"/>
      <c r="U257" s="17">
        <v>405.63299999999998</v>
      </c>
      <c r="V257" s="17">
        <v>416.69499999999999</v>
      </c>
      <c r="W257" s="17"/>
      <c r="X257" s="17">
        <v>436.64</v>
      </c>
      <c r="Y257" s="17">
        <v>664.98</v>
      </c>
      <c r="Z257" s="17">
        <v>409.964</v>
      </c>
      <c r="AA257" s="17">
        <v>435.459</v>
      </c>
      <c r="AB257" s="17">
        <v>418.24700000000001</v>
      </c>
      <c r="AC257" s="17">
        <v>403.44600000000003</v>
      </c>
      <c r="AD257" s="17">
        <v>413.77300000000002</v>
      </c>
      <c r="AE257" s="17">
        <v>403.78100000000001</v>
      </c>
    </row>
    <row r="258" spans="1:31" x14ac:dyDescent="0.35">
      <c r="A258" s="3">
        <f t="shared" si="100"/>
        <v>242</v>
      </c>
      <c r="B258" s="17">
        <v>416.50799999999998</v>
      </c>
      <c r="C258" s="17">
        <v>420.17700000000002</v>
      </c>
      <c r="D258" s="17">
        <v>410.14400000000001</v>
      </c>
      <c r="E258" s="17">
        <v>432.61700000000002</v>
      </c>
      <c r="F258" s="17">
        <v>408.32799999999997</v>
      </c>
      <c r="G258" s="17">
        <v>412.911</v>
      </c>
      <c r="H258" s="17">
        <v>402.54300000000001</v>
      </c>
      <c r="I258" s="17">
        <v>482.72500000000002</v>
      </c>
      <c r="J258" s="17">
        <v>414.09699999999998</v>
      </c>
      <c r="K258" s="17">
        <v>452.714</v>
      </c>
      <c r="L258" s="17">
        <v>415.96300000000002</v>
      </c>
      <c r="M258" s="17">
        <v>443.24700000000001</v>
      </c>
      <c r="N258" s="17">
        <v>414.14</v>
      </c>
      <c r="O258" s="17">
        <v>416.58100000000002</v>
      </c>
      <c r="P258" s="17">
        <v>549.00300000000004</v>
      </c>
      <c r="Q258" s="17">
        <v>432.209</v>
      </c>
      <c r="R258" s="17"/>
      <c r="S258" s="17">
        <v>459.77699999999999</v>
      </c>
      <c r="T258" s="17"/>
      <c r="U258" s="17">
        <v>404.822</v>
      </c>
      <c r="V258" s="17">
        <v>414.94900000000001</v>
      </c>
      <c r="W258" s="17"/>
      <c r="X258" s="17">
        <v>435.35599999999999</v>
      </c>
      <c r="Y258" s="17">
        <v>665.37900000000002</v>
      </c>
      <c r="Z258" s="17">
        <v>410.036</v>
      </c>
      <c r="AA258" s="17">
        <v>435.41</v>
      </c>
      <c r="AB258" s="17">
        <v>417.17500000000001</v>
      </c>
      <c r="AC258" s="17">
        <v>403.47699999999998</v>
      </c>
      <c r="AD258" s="17">
        <v>417.75799999999998</v>
      </c>
      <c r="AE258" s="17">
        <v>405.517</v>
      </c>
    </row>
    <row r="259" spans="1:31" x14ac:dyDescent="0.35">
      <c r="A259" s="3">
        <f t="shared" si="100"/>
        <v>243</v>
      </c>
      <c r="B259" s="17">
        <v>417.14100000000002</v>
      </c>
      <c r="C259" s="17">
        <v>420.28100000000001</v>
      </c>
      <c r="D259" s="17">
        <v>410.505</v>
      </c>
      <c r="E259" s="17">
        <v>432.81400000000002</v>
      </c>
      <c r="F259" s="17">
        <v>407.87299999999999</v>
      </c>
      <c r="G259" s="17">
        <v>414.09399999999999</v>
      </c>
      <c r="H259" s="17">
        <v>402.387</v>
      </c>
      <c r="I259" s="17">
        <v>482.255</v>
      </c>
      <c r="J259" s="17">
        <v>414.27</v>
      </c>
      <c r="K259" s="17">
        <v>453.89299999999997</v>
      </c>
      <c r="L259" s="17">
        <v>415.529</v>
      </c>
      <c r="M259" s="17">
        <v>443.62799999999999</v>
      </c>
      <c r="N259" s="17">
        <v>413.86200000000002</v>
      </c>
      <c r="O259" s="17">
        <v>416.17700000000002</v>
      </c>
      <c r="P259" s="17">
        <v>549.16800000000001</v>
      </c>
      <c r="Q259" s="17">
        <v>431.65199999999999</v>
      </c>
      <c r="R259" s="17"/>
      <c r="S259" s="17">
        <v>460.82299999999998</v>
      </c>
      <c r="T259" s="17"/>
      <c r="U259" s="17">
        <v>405.68599999999998</v>
      </c>
      <c r="V259" s="17">
        <v>414.79199999999997</v>
      </c>
      <c r="W259" s="17"/>
      <c r="X259" s="17">
        <v>435.27300000000002</v>
      </c>
      <c r="Y259" s="17">
        <v>666.23699999999997</v>
      </c>
      <c r="Z259" s="17">
        <v>409.483</v>
      </c>
      <c r="AA259" s="17">
        <v>434.61900000000003</v>
      </c>
      <c r="AB259" s="17">
        <v>417.24299999999999</v>
      </c>
      <c r="AC259" s="17">
        <v>402.9</v>
      </c>
      <c r="AD259" s="17">
        <v>415.55</v>
      </c>
      <c r="AE259" s="17">
        <v>407.08300000000003</v>
      </c>
    </row>
    <row r="260" spans="1:31" x14ac:dyDescent="0.35">
      <c r="A260" s="3">
        <f t="shared" si="100"/>
        <v>244</v>
      </c>
      <c r="B260" s="17">
        <v>416.45800000000003</v>
      </c>
      <c r="C260" s="17">
        <v>421.541</v>
      </c>
      <c r="D260" s="17">
        <v>410.14499999999998</v>
      </c>
      <c r="E260" s="17">
        <v>433.238</v>
      </c>
      <c r="F260" s="17">
        <v>406.529</v>
      </c>
      <c r="G260" s="17">
        <v>414.34100000000001</v>
      </c>
      <c r="H260" s="17">
        <v>402.24799999999999</v>
      </c>
      <c r="I260" s="17">
        <v>481.39499999999998</v>
      </c>
      <c r="J260" s="17">
        <v>414.48500000000001</v>
      </c>
      <c r="K260" s="17">
        <v>453.28100000000001</v>
      </c>
      <c r="L260" s="17">
        <v>414.68299999999999</v>
      </c>
      <c r="M260" s="17">
        <v>442.85</v>
      </c>
      <c r="N260" s="17">
        <v>414.91800000000001</v>
      </c>
      <c r="O260" s="17">
        <v>416.88600000000002</v>
      </c>
      <c r="P260" s="17">
        <v>549.34699999999998</v>
      </c>
      <c r="Q260" s="17">
        <v>431.95100000000002</v>
      </c>
      <c r="R260" s="17"/>
      <c r="S260" s="17">
        <v>461.23599999999999</v>
      </c>
      <c r="T260" s="17"/>
      <c r="U260" s="17">
        <v>406.16399999999999</v>
      </c>
      <c r="V260" s="17">
        <v>414.60500000000002</v>
      </c>
      <c r="W260" s="17"/>
      <c r="X260" s="17">
        <v>436.39600000000002</v>
      </c>
      <c r="Y260" s="17">
        <v>665.60900000000004</v>
      </c>
      <c r="Z260" s="17">
        <v>410.80399999999997</v>
      </c>
      <c r="AA260" s="17">
        <v>434.72800000000001</v>
      </c>
      <c r="AB260" s="17">
        <v>417.93900000000002</v>
      </c>
      <c r="AC260" s="17">
        <v>403.46100000000001</v>
      </c>
      <c r="AD260" s="17">
        <v>417.06099999999998</v>
      </c>
      <c r="AE260" s="17">
        <v>407.20699999999999</v>
      </c>
    </row>
    <row r="261" spans="1:31" x14ac:dyDescent="0.35">
      <c r="A261" s="3">
        <f t="shared" si="100"/>
        <v>245</v>
      </c>
      <c r="B261" s="17">
        <v>416.99299999999999</v>
      </c>
      <c r="C261" s="17">
        <v>420.52600000000001</v>
      </c>
      <c r="D261" s="17">
        <v>410.392</v>
      </c>
      <c r="E261" s="17">
        <v>432.488</v>
      </c>
      <c r="F261" s="17">
        <v>407.72399999999999</v>
      </c>
      <c r="G261" s="17">
        <v>412.596</v>
      </c>
      <c r="H261" s="17">
        <v>403.41300000000001</v>
      </c>
      <c r="I261" s="17">
        <v>482.18599999999998</v>
      </c>
      <c r="J261" s="17">
        <v>414.81299999999999</v>
      </c>
      <c r="K261" s="17">
        <v>453.38099999999997</v>
      </c>
      <c r="L261" s="17">
        <v>416.54199999999997</v>
      </c>
      <c r="M261" s="17">
        <v>444.38200000000001</v>
      </c>
      <c r="N261" s="17">
        <v>414.76299999999998</v>
      </c>
      <c r="O261" s="17">
        <v>416.50700000000001</v>
      </c>
      <c r="P261" s="17">
        <v>550.35299999999995</v>
      </c>
      <c r="Q261" s="17">
        <v>432.95800000000003</v>
      </c>
      <c r="R261" s="17"/>
      <c r="S261" s="17">
        <v>460.63600000000002</v>
      </c>
      <c r="T261" s="17"/>
      <c r="U261" s="17">
        <v>404.786</v>
      </c>
      <c r="V261" s="17">
        <v>413.59399999999999</v>
      </c>
      <c r="W261" s="17"/>
      <c r="X261" s="17">
        <v>436.09</v>
      </c>
      <c r="Y261" s="17">
        <v>665.577</v>
      </c>
      <c r="Z261" s="17">
        <v>410.12299999999999</v>
      </c>
      <c r="AA261" s="17">
        <v>435.863</v>
      </c>
      <c r="AB261" s="17">
        <v>417.3</v>
      </c>
      <c r="AC261" s="17">
        <v>403.17899999999997</v>
      </c>
      <c r="AD261" s="17">
        <v>415.84500000000003</v>
      </c>
      <c r="AE261" s="17">
        <v>403.99799999999999</v>
      </c>
    </row>
    <row r="262" spans="1:31" x14ac:dyDescent="0.35">
      <c r="A262" s="3">
        <f t="shared" si="100"/>
        <v>246</v>
      </c>
      <c r="B262" s="17">
        <v>417.39</v>
      </c>
      <c r="C262" s="17">
        <v>420.85500000000002</v>
      </c>
      <c r="D262" s="17">
        <v>410.10199999999998</v>
      </c>
      <c r="E262" s="17">
        <v>433.07</v>
      </c>
      <c r="F262" s="17">
        <v>406.74799999999999</v>
      </c>
      <c r="G262" s="17">
        <v>413.73</v>
      </c>
      <c r="H262" s="17">
        <v>402.03399999999999</v>
      </c>
      <c r="I262" s="17">
        <v>482.33100000000002</v>
      </c>
      <c r="J262" s="17">
        <v>414.92700000000002</v>
      </c>
      <c r="K262" s="17">
        <v>453.15</v>
      </c>
      <c r="L262" s="17">
        <v>415.77</v>
      </c>
      <c r="M262" s="17">
        <v>442.87200000000001</v>
      </c>
      <c r="N262" s="17">
        <v>414.91</v>
      </c>
      <c r="O262" s="17">
        <v>416.27100000000002</v>
      </c>
      <c r="P262" s="17">
        <v>549.78800000000001</v>
      </c>
      <c r="Q262" s="17">
        <v>432.56599999999997</v>
      </c>
      <c r="R262" s="17"/>
      <c r="S262" s="17">
        <v>460.44600000000003</v>
      </c>
      <c r="T262" s="17"/>
      <c r="U262" s="17">
        <v>405.661</v>
      </c>
      <c r="V262" s="17">
        <v>414.767</v>
      </c>
      <c r="W262" s="17"/>
      <c r="X262" s="17">
        <v>436.50299999999999</v>
      </c>
      <c r="Y262" s="17">
        <v>664.65599999999995</v>
      </c>
      <c r="Z262" s="17">
        <v>411.221</v>
      </c>
      <c r="AA262" s="17">
        <v>434.55900000000003</v>
      </c>
      <c r="AB262" s="17">
        <v>417.05500000000001</v>
      </c>
      <c r="AC262" s="17">
        <v>404.98399999999998</v>
      </c>
      <c r="AD262" s="17">
        <v>415.52499999999998</v>
      </c>
      <c r="AE262" s="17">
        <v>403.73500000000001</v>
      </c>
    </row>
    <row r="263" spans="1:31" x14ac:dyDescent="0.35">
      <c r="A263" s="3">
        <f t="shared" si="100"/>
        <v>247</v>
      </c>
      <c r="B263" s="17">
        <v>417.86500000000001</v>
      </c>
      <c r="C263" s="17">
        <v>421.15</v>
      </c>
      <c r="D263" s="17">
        <v>410.66199999999998</v>
      </c>
      <c r="E263" s="17">
        <v>433.137</v>
      </c>
      <c r="F263" s="17">
        <v>409.02300000000002</v>
      </c>
      <c r="G263" s="17">
        <v>413.31200000000001</v>
      </c>
      <c r="H263" s="17">
        <v>402.73500000000001</v>
      </c>
      <c r="I263" s="17">
        <v>483.58300000000003</v>
      </c>
      <c r="J263" s="17">
        <v>413.86799999999999</v>
      </c>
      <c r="K263" s="17">
        <v>453.48200000000003</v>
      </c>
      <c r="L263" s="17">
        <v>416.79500000000002</v>
      </c>
      <c r="M263" s="17">
        <v>442.73099999999999</v>
      </c>
      <c r="N263" s="17">
        <v>414.90199999999999</v>
      </c>
      <c r="O263" s="17">
        <v>416.38099999999997</v>
      </c>
      <c r="P263" s="17">
        <v>549.18100000000004</v>
      </c>
      <c r="Q263" s="17">
        <v>431.82100000000003</v>
      </c>
      <c r="R263" s="17"/>
      <c r="S263" s="17">
        <v>459.98599999999999</v>
      </c>
      <c r="T263" s="17"/>
      <c r="U263" s="17">
        <v>405.37700000000001</v>
      </c>
      <c r="V263" s="17">
        <v>415.93700000000001</v>
      </c>
      <c r="W263" s="17"/>
      <c r="X263" s="17">
        <v>435.05799999999999</v>
      </c>
      <c r="Y263" s="17">
        <v>666.01400000000001</v>
      </c>
      <c r="Z263" s="17">
        <v>410.83100000000002</v>
      </c>
      <c r="AA263" s="17">
        <v>435.63200000000001</v>
      </c>
      <c r="AB263" s="17">
        <v>416.30099999999999</v>
      </c>
      <c r="AC263" s="17">
        <v>404.37099999999998</v>
      </c>
      <c r="AD263" s="17">
        <v>415.91800000000001</v>
      </c>
      <c r="AE263" s="17">
        <v>401.709</v>
      </c>
    </row>
    <row r="264" spans="1:31" x14ac:dyDescent="0.35">
      <c r="A264" s="3">
        <f t="shared" si="100"/>
        <v>248</v>
      </c>
      <c r="B264" s="17">
        <v>417.59699999999998</v>
      </c>
      <c r="C264" s="17">
        <v>421.36099999999999</v>
      </c>
      <c r="D264" s="17">
        <v>410.76799999999997</v>
      </c>
      <c r="E264" s="17">
        <v>432.39800000000002</v>
      </c>
      <c r="F264" s="17">
        <v>408.75099999999998</v>
      </c>
      <c r="G264" s="17">
        <v>413.75599999999997</v>
      </c>
      <c r="H264" s="17">
        <v>401.93099999999998</v>
      </c>
      <c r="I264" s="17">
        <v>482.79599999999999</v>
      </c>
      <c r="J264" s="17">
        <v>414.05399999999997</v>
      </c>
      <c r="K264" s="17">
        <v>453.19</v>
      </c>
      <c r="L264" s="17">
        <v>415.48899999999998</v>
      </c>
      <c r="M264" s="17">
        <v>444.94</v>
      </c>
      <c r="N264" s="17">
        <v>413.86799999999999</v>
      </c>
      <c r="O264" s="17">
        <v>416.66399999999999</v>
      </c>
      <c r="P264" s="17">
        <v>548.25800000000004</v>
      </c>
      <c r="Q264" s="17">
        <v>432.76</v>
      </c>
      <c r="R264" s="17"/>
      <c r="S264" s="17">
        <v>459.23500000000001</v>
      </c>
      <c r="T264" s="17"/>
      <c r="U264" s="17">
        <v>408.96499999999997</v>
      </c>
      <c r="V264" s="17">
        <v>415.25200000000001</v>
      </c>
      <c r="W264" s="17"/>
      <c r="X264" s="17">
        <v>436.4</v>
      </c>
      <c r="Y264" s="17">
        <v>666.18200000000002</v>
      </c>
      <c r="Z264" s="17">
        <v>411.14100000000002</v>
      </c>
      <c r="AA264" s="17">
        <v>435.52199999999999</v>
      </c>
      <c r="AB264" s="17">
        <v>417.43400000000003</v>
      </c>
      <c r="AC264" s="17">
        <v>403.21499999999997</v>
      </c>
      <c r="AD264" s="17">
        <v>416.95600000000002</v>
      </c>
      <c r="AE264" s="17">
        <v>401.90600000000001</v>
      </c>
    </row>
    <row r="265" spans="1:31" x14ac:dyDescent="0.35">
      <c r="A265" s="3">
        <f t="shared" si="100"/>
        <v>249</v>
      </c>
      <c r="B265" s="17">
        <v>417.29500000000002</v>
      </c>
      <c r="C265" s="17">
        <v>421.63</v>
      </c>
      <c r="D265" s="17">
        <v>410.67599999999999</v>
      </c>
      <c r="E265" s="17">
        <v>432.92500000000001</v>
      </c>
      <c r="F265" s="17">
        <v>406.87900000000002</v>
      </c>
      <c r="G265" s="17">
        <v>412.66</v>
      </c>
      <c r="H265" s="17">
        <v>402.755</v>
      </c>
      <c r="I265" s="17">
        <v>482.09500000000003</v>
      </c>
      <c r="J265" s="17">
        <v>414.68900000000002</v>
      </c>
      <c r="K265" s="17">
        <v>453.46</v>
      </c>
      <c r="L265" s="17">
        <v>416.15499999999997</v>
      </c>
      <c r="M265" s="17">
        <v>444.23099999999999</v>
      </c>
      <c r="N265" s="17">
        <v>413.904</v>
      </c>
      <c r="O265" s="17">
        <v>417.26100000000002</v>
      </c>
      <c r="P265" s="17">
        <v>549.75</v>
      </c>
      <c r="Q265" s="17">
        <v>433.28399999999999</v>
      </c>
      <c r="R265" s="17"/>
      <c r="S265" s="17">
        <v>459.75900000000001</v>
      </c>
      <c r="T265" s="17"/>
      <c r="U265" s="17">
        <v>405.86099999999999</v>
      </c>
      <c r="V265" s="17">
        <v>415.19799999999998</v>
      </c>
      <c r="W265" s="17"/>
      <c r="X265" s="17">
        <v>438.887</v>
      </c>
      <c r="Y265" s="17">
        <v>664.23500000000001</v>
      </c>
      <c r="Z265" s="17">
        <v>410.64699999999999</v>
      </c>
      <c r="AA265" s="17">
        <v>434.916</v>
      </c>
      <c r="AB265" s="17">
        <v>418.21199999999999</v>
      </c>
      <c r="AC265" s="17">
        <v>402.98399999999998</v>
      </c>
      <c r="AD265" s="17">
        <v>415.471</v>
      </c>
      <c r="AE265" s="17">
        <v>405.25700000000001</v>
      </c>
    </row>
    <row r="266" spans="1:31" x14ac:dyDescent="0.35">
      <c r="A266" s="3">
        <f t="shared" si="100"/>
        <v>250</v>
      </c>
      <c r="B266" s="17">
        <v>416.61</v>
      </c>
      <c r="C266" s="17">
        <v>420.79300000000001</v>
      </c>
      <c r="D266" s="17">
        <v>411.01799999999997</v>
      </c>
      <c r="E266" s="17">
        <v>433.255</v>
      </c>
      <c r="F266" s="17">
        <v>408.197</v>
      </c>
      <c r="G266" s="17">
        <v>412.459</v>
      </c>
      <c r="H266" s="17">
        <v>401.48500000000001</v>
      </c>
      <c r="I266" s="17">
        <v>482.16500000000002</v>
      </c>
      <c r="J266" s="17">
        <v>415.1</v>
      </c>
      <c r="K266" s="17">
        <v>454.06900000000002</v>
      </c>
      <c r="L266" s="17">
        <v>417.37400000000002</v>
      </c>
      <c r="M266" s="17">
        <v>444.16699999999997</v>
      </c>
      <c r="N266" s="17">
        <v>415.79199999999997</v>
      </c>
      <c r="O266" s="17">
        <v>416.32</v>
      </c>
      <c r="P266" s="17">
        <v>548.72900000000004</v>
      </c>
      <c r="Q266" s="17">
        <v>433.12200000000001</v>
      </c>
      <c r="R266" s="17"/>
      <c r="S266" s="17">
        <v>459.351</v>
      </c>
      <c r="T266" s="17"/>
      <c r="U266" s="17">
        <v>406.827</v>
      </c>
      <c r="V266" s="17">
        <v>415.50799999999998</v>
      </c>
      <c r="W266" s="17"/>
      <c r="X266" s="17">
        <v>437.47899999999998</v>
      </c>
      <c r="Y266" s="17">
        <v>664.57500000000005</v>
      </c>
      <c r="Z266" s="17">
        <v>411.23599999999999</v>
      </c>
      <c r="AA266" s="17">
        <v>435.57100000000003</v>
      </c>
      <c r="AB266" s="17">
        <v>417.00799999999998</v>
      </c>
      <c r="AC266" s="17">
        <v>404.39400000000001</v>
      </c>
      <c r="AD266" s="17">
        <v>416.45299999999997</v>
      </c>
      <c r="AE266" s="17">
        <v>406.81200000000001</v>
      </c>
    </row>
    <row r="267" spans="1:31" x14ac:dyDescent="0.35">
      <c r="A267" s="3">
        <f t="shared" si="100"/>
        <v>251</v>
      </c>
      <c r="B267" s="17">
        <v>416.87900000000002</v>
      </c>
      <c r="C267" s="17">
        <v>421.60300000000001</v>
      </c>
      <c r="D267" s="17">
        <v>410.55700000000002</v>
      </c>
      <c r="E267" s="17">
        <v>433.98599999999999</v>
      </c>
      <c r="F267" s="17">
        <v>407.548</v>
      </c>
      <c r="G267" s="17">
        <v>413.53399999999999</v>
      </c>
      <c r="H267" s="17">
        <v>402.65800000000002</v>
      </c>
      <c r="I267" s="17">
        <v>482.01600000000002</v>
      </c>
      <c r="J267" s="17">
        <v>414.21699999999998</v>
      </c>
      <c r="K267" s="17">
        <v>453.72399999999999</v>
      </c>
      <c r="L267" s="17">
        <v>414.56799999999998</v>
      </c>
      <c r="M267" s="17">
        <v>443.72399999999999</v>
      </c>
      <c r="N267" s="17">
        <v>415.71300000000002</v>
      </c>
      <c r="O267" s="17">
        <v>416.68799999999999</v>
      </c>
      <c r="P267" s="17">
        <v>549.74400000000003</v>
      </c>
      <c r="Q267" s="17">
        <v>432.71899999999999</v>
      </c>
      <c r="R267" s="17"/>
      <c r="S267" s="17">
        <v>459.69799999999998</v>
      </c>
      <c r="T267" s="17"/>
      <c r="U267" s="17">
        <v>406.17700000000002</v>
      </c>
      <c r="V267" s="17">
        <v>415.96300000000002</v>
      </c>
      <c r="W267" s="17"/>
      <c r="X267" s="17">
        <v>436.89299999999997</v>
      </c>
      <c r="Y267" s="17">
        <v>664.37400000000002</v>
      </c>
      <c r="Z267" s="17">
        <v>410.90199999999999</v>
      </c>
      <c r="AA267" s="17">
        <v>434.26799999999997</v>
      </c>
      <c r="AB267" s="17">
        <v>419.19499999999999</v>
      </c>
      <c r="AC267" s="17">
        <v>404.87700000000001</v>
      </c>
      <c r="AD267" s="17">
        <v>416.91399999999999</v>
      </c>
      <c r="AE267" s="17">
        <v>404.61900000000003</v>
      </c>
    </row>
    <row r="268" spans="1:31" x14ac:dyDescent="0.35">
      <c r="A268" s="3">
        <f t="shared" si="100"/>
        <v>252</v>
      </c>
      <c r="B268" s="17">
        <v>416.77300000000002</v>
      </c>
      <c r="C268" s="17">
        <v>421.61700000000002</v>
      </c>
      <c r="D268" s="17">
        <v>410.68200000000002</v>
      </c>
      <c r="E268" s="17">
        <v>433.05099999999999</v>
      </c>
      <c r="F268" s="17">
        <v>407.84699999999998</v>
      </c>
      <c r="G268" s="17">
        <v>413.74200000000002</v>
      </c>
      <c r="H268" s="17">
        <v>402.52600000000001</v>
      </c>
      <c r="I268" s="17">
        <v>483.00200000000001</v>
      </c>
      <c r="J268" s="17">
        <v>415.322</v>
      </c>
      <c r="K268" s="17">
        <v>453.48099999999999</v>
      </c>
      <c r="L268" s="17">
        <v>415.226</v>
      </c>
      <c r="M268" s="17">
        <v>443.87599999999998</v>
      </c>
      <c r="N268" s="17">
        <v>413.488</v>
      </c>
      <c r="O268" s="17">
        <v>416.62400000000002</v>
      </c>
      <c r="P268" s="17">
        <v>549.92200000000003</v>
      </c>
      <c r="Q268" s="17">
        <v>433.65300000000002</v>
      </c>
      <c r="R268" s="17"/>
      <c r="S268" s="17">
        <v>460.51100000000002</v>
      </c>
      <c r="T268" s="17"/>
      <c r="U268" s="17">
        <v>405.99299999999999</v>
      </c>
      <c r="V268" s="17">
        <v>416.07799999999997</v>
      </c>
      <c r="W268" s="17"/>
      <c r="X268" s="17">
        <v>435.24900000000002</v>
      </c>
      <c r="Y268" s="17">
        <v>664.49800000000005</v>
      </c>
      <c r="Z268" s="17">
        <v>410.76600000000002</v>
      </c>
      <c r="AA268" s="17">
        <v>436.029</v>
      </c>
      <c r="AB268" s="17">
        <v>418.36700000000002</v>
      </c>
      <c r="AC268" s="17">
        <v>404.83</v>
      </c>
      <c r="AD268" s="17">
        <v>417.28199999999998</v>
      </c>
      <c r="AE268" s="17">
        <v>405.41199999999998</v>
      </c>
    </row>
    <row r="269" spans="1:31" x14ac:dyDescent="0.35">
      <c r="A269" s="3">
        <f t="shared" si="100"/>
        <v>253</v>
      </c>
      <c r="B269" s="17">
        <v>418.185</v>
      </c>
      <c r="C269" s="17">
        <v>421.61799999999999</v>
      </c>
      <c r="D269" s="17">
        <v>411.23899999999998</v>
      </c>
      <c r="E269" s="17">
        <v>433.471</v>
      </c>
      <c r="F269" s="17">
        <v>406.73399999999998</v>
      </c>
      <c r="G269" s="17">
        <v>413.78300000000002</v>
      </c>
      <c r="H269" s="17">
        <v>403.56400000000002</v>
      </c>
      <c r="I269" s="17">
        <v>483.85500000000002</v>
      </c>
      <c r="J269" s="17">
        <v>414.91</v>
      </c>
      <c r="K269" s="17">
        <v>453.904</v>
      </c>
      <c r="L269" s="17">
        <v>415.40100000000001</v>
      </c>
      <c r="M269" s="17">
        <v>444.005</v>
      </c>
      <c r="N269" s="17">
        <v>414.58199999999999</v>
      </c>
      <c r="O269" s="17">
        <v>416.38200000000001</v>
      </c>
      <c r="P269" s="17">
        <v>551.072</v>
      </c>
      <c r="Q269" s="17">
        <v>433.11700000000002</v>
      </c>
      <c r="R269" s="17"/>
      <c r="S269" s="17">
        <v>460.19600000000003</v>
      </c>
      <c r="T269" s="17"/>
      <c r="U269" s="17">
        <v>405.74299999999999</v>
      </c>
      <c r="V269" s="17">
        <v>414.04700000000003</v>
      </c>
      <c r="W269" s="17"/>
      <c r="X269" s="17">
        <v>437.27600000000001</v>
      </c>
      <c r="Y269" s="17">
        <v>665.51400000000001</v>
      </c>
      <c r="Z269" s="17">
        <v>410.98700000000002</v>
      </c>
      <c r="AA269" s="17">
        <v>433.85199999999998</v>
      </c>
      <c r="AB269" s="17">
        <v>417.99799999999999</v>
      </c>
      <c r="AC269" s="17">
        <v>405.81900000000002</v>
      </c>
      <c r="AD269" s="17">
        <v>417.49299999999999</v>
      </c>
      <c r="AE269" s="17">
        <v>402.20699999999999</v>
      </c>
    </row>
    <row r="270" spans="1:31" x14ac:dyDescent="0.35">
      <c r="A270" s="3">
        <f t="shared" si="100"/>
        <v>254</v>
      </c>
      <c r="B270" s="17">
        <v>418.298</v>
      </c>
      <c r="C270" s="17">
        <v>421.91500000000002</v>
      </c>
      <c r="D270" s="17">
        <v>411.40499999999997</v>
      </c>
      <c r="E270" s="17">
        <v>432.82100000000003</v>
      </c>
      <c r="F270" s="17">
        <v>407.53300000000002</v>
      </c>
      <c r="G270" s="17">
        <v>413.31400000000002</v>
      </c>
      <c r="H270" s="17">
        <v>401.63099999999997</v>
      </c>
      <c r="I270" s="17">
        <v>482.56</v>
      </c>
      <c r="J270" s="17">
        <v>415.20800000000003</v>
      </c>
      <c r="K270" s="17">
        <v>453.63200000000001</v>
      </c>
      <c r="L270" s="17">
        <v>416.48599999999999</v>
      </c>
      <c r="M270" s="17">
        <v>444.63200000000001</v>
      </c>
      <c r="N270" s="17">
        <v>415.88</v>
      </c>
      <c r="O270" s="17">
        <v>416.57799999999997</v>
      </c>
      <c r="P270" s="17">
        <v>549.41499999999996</v>
      </c>
      <c r="Q270" s="17">
        <v>433.25200000000001</v>
      </c>
      <c r="R270" s="17"/>
      <c r="S270" s="17">
        <v>459.851</v>
      </c>
      <c r="T270" s="17"/>
      <c r="U270" s="17">
        <v>406.74400000000003</v>
      </c>
      <c r="V270" s="17">
        <v>415.77</v>
      </c>
      <c r="W270" s="17"/>
      <c r="X270" s="17">
        <v>437.27800000000002</v>
      </c>
      <c r="Y270" s="17">
        <v>663.20299999999997</v>
      </c>
      <c r="Z270" s="17">
        <v>411.20299999999997</v>
      </c>
      <c r="AA270" s="17">
        <v>435.113</v>
      </c>
      <c r="AB270" s="17">
        <v>417.20600000000002</v>
      </c>
      <c r="AC270" s="17">
        <v>405.387</v>
      </c>
      <c r="AD270" s="17">
        <v>416.86799999999999</v>
      </c>
      <c r="AE270" s="17">
        <v>403.43700000000001</v>
      </c>
    </row>
    <row r="271" spans="1:31" x14ac:dyDescent="0.35">
      <c r="A271" s="3">
        <f t="shared" si="100"/>
        <v>255</v>
      </c>
      <c r="B271" s="17">
        <v>417.69600000000003</v>
      </c>
      <c r="C271" s="17">
        <v>420.73</v>
      </c>
      <c r="D271" s="17">
        <v>410.79300000000001</v>
      </c>
      <c r="E271" s="17">
        <v>434.16199999999998</v>
      </c>
      <c r="F271" s="17">
        <v>408.35599999999999</v>
      </c>
      <c r="G271" s="17">
        <v>412.52100000000002</v>
      </c>
      <c r="H271" s="17">
        <v>402.75400000000002</v>
      </c>
      <c r="I271" s="17">
        <v>482.01299999999998</v>
      </c>
      <c r="J271" s="17">
        <v>415.14299999999997</v>
      </c>
      <c r="K271" s="17">
        <v>454.71499999999997</v>
      </c>
      <c r="L271" s="17">
        <v>414.82799999999997</v>
      </c>
      <c r="M271" s="17">
        <v>445.41199999999998</v>
      </c>
      <c r="N271" s="17">
        <v>414.96899999999999</v>
      </c>
      <c r="O271" s="17">
        <v>418.05900000000003</v>
      </c>
      <c r="P271" s="17">
        <v>549.30799999999999</v>
      </c>
      <c r="Q271" s="17">
        <v>433.56799999999998</v>
      </c>
      <c r="R271" s="17"/>
      <c r="S271" s="17">
        <v>459.87599999999998</v>
      </c>
      <c r="T271" s="17"/>
      <c r="U271" s="17">
        <v>406.66399999999999</v>
      </c>
      <c r="V271" s="17">
        <v>416.64100000000002</v>
      </c>
      <c r="W271" s="17"/>
      <c r="X271" s="17">
        <v>435.834</v>
      </c>
      <c r="Y271" s="17">
        <v>664.74400000000003</v>
      </c>
      <c r="Z271" s="17">
        <v>411.017</v>
      </c>
      <c r="AA271" s="17">
        <v>434.80200000000002</v>
      </c>
      <c r="AB271" s="17">
        <v>419.40699999999998</v>
      </c>
      <c r="AC271" s="17">
        <v>405.12599999999998</v>
      </c>
      <c r="AD271" s="17">
        <v>415.30599999999998</v>
      </c>
      <c r="AE271" s="17">
        <v>407.76600000000002</v>
      </c>
    </row>
    <row r="272" spans="1:31" x14ac:dyDescent="0.35">
      <c r="A272" s="3">
        <f t="shared" si="100"/>
        <v>256</v>
      </c>
      <c r="B272" s="17">
        <v>417.65800000000002</v>
      </c>
      <c r="C272" s="17">
        <v>421.99799999999999</v>
      </c>
      <c r="D272" s="17">
        <v>410.69</v>
      </c>
      <c r="E272" s="17">
        <v>433.49599999999998</v>
      </c>
      <c r="F272" s="17">
        <v>407.47800000000001</v>
      </c>
      <c r="G272" s="17">
        <v>413.00299999999999</v>
      </c>
      <c r="H272" s="17">
        <v>402.19299999999998</v>
      </c>
      <c r="I272" s="17">
        <v>483.04899999999998</v>
      </c>
      <c r="J272" s="17">
        <v>414.84399999999999</v>
      </c>
      <c r="K272" s="17">
        <v>454.08699999999999</v>
      </c>
      <c r="L272" s="17">
        <v>415.81700000000001</v>
      </c>
      <c r="M272" s="17">
        <v>444.702</v>
      </c>
      <c r="N272" s="17">
        <v>414.74700000000001</v>
      </c>
      <c r="O272" s="17">
        <v>417.02800000000002</v>
      </c>
      <c r="P272" s="17">
        <v>549.40200000000004</v>
      </c>
      <c r="Q272" s="17">
        <v>433.92899999999997</v>
      </c>
      <c r="R272" s="17"/>
      <c r="S272" s="17">
        <v>459.81299999999999</v>
      </c>
      <c r="T272" s="17"/>
      <c r="U272" s="17">
        <v>406.49700000000001</v>
      </c>
      <c r="V272" s="17">
        <v>414.88900000000001</v>
      </c>
      <c r="W272" s="17"/>
      <c r="X272" s="17">
        <v>436.76100000000002</v>
      </c>
      <c r="Y272" s="17">
        <v>664.78800000000001</v>
      </c>
      <c r="Z272" s="17">
        <v>411.86399999999998</v>
      </c>
      <c r="AA272" s="17">
        <v>434.69099999999997</v>
      </c>
      <c r="AB272" s="17">
        <v>418.76499999999999</v>
      </c>
      <c r="AC272" s="17">
        <v>406.37099999999998</v>
      </c>
      <c r="AD272" s="17">
        <v>415.92399999999998</v>
      </c>
      <c r="AE272" s="17">
        <v>407.15199999999999</v>
      </c>
    </row>
    <row r="273" spans="1:31" x14ac:dyDescent="0.35">
      <c r="A273" s="3">
        <f t="shared" si="100"/>
        <v>257</v>
      </c>
      <c r="B273" s="17">
        <v>418.29</v>
      </c>
      <c r="C273" s="17">
        <v>421.85</v>
      </c>
      <c r="D273" s="17">
        <v>411.29899999999998</v>
      </c>
      <c r="E273" s="17">
        <v>433.55799999999999</v>
      </c>
      <c r="F273" s="17">
        <v>407.29899999999998</v>
      </c>
      <c r="G273" s="17">
        <v>412.91500000000002</v>
      </c>
      <c r="H273" s="17">
        <v>402.791</v>
      </c>
      <c r="I273" s="17">
        <v>483.06299999999999</v>
      </c>
      <c r="J273" s="17">
        <v>415.28800000000001</v>
      </c>
      <c r="K273" s="17">
        <v>454.55900000000003</v>
      </c>
      <c r="L273" s="17">
        <v>415.68700000000001</v>
      </c>
      <c r="M273" s="17">
        <v>444.01100000000002</v>
      </c>
      <c r="N273" s="17">
        <v>416.221</v>
      </c>
      <c r="O273" s="17">
        <v>416.21699999999998</v>
      </c>
      <c r="P273" s="17">
        <v>550.04100000000005</v>
      </c>
      <c r="Q273" s="17">
        <v>432.33499999999998</v>
      </c>
      <c r="R273" s="17"/>
      <c r="S273" s="17">
        <v>460.62599999999998</v>
      </c>
      <c r="T273" s="17"/>
      <c r="U273" s="17">
        <v>407.84699999999998</v>
      </c>
      <c r="V273" s="17">
        <v>417.04700000000003</v>
      </c>
      <c r="W273" s="17"/>
      <c r="X273" s="17">
        <v>437.339</v>
      </c>
      <c r="Y273" s="17">
        <v>666.33399999999995</v>
      </c>
      <c r="Z273" s="17">
        <v>411.62200000000001</v>
      </c>
      <c r="AA273" s="17">
        <v>435.44600000000003</v>
      </c>
      <c r="AB273" s="17">
        <v>419.22199999999998</v>
      </c>
      <c r="AC273" s="17">
        <v>404.93299999999999</v>
      </c>
      <c r="AD273" s="17">
        <v>416.02</v>
      </c>
      <c r="AE273" s="17">
        <v>404.45699999999999</v>
      </c>
    </row>
    <row r="274" spans="1:31" x14ac:dyDescent="0.35">
      <c r="A274" s="3">
        <f t="shared" si="100"/>
        <v>258</v>
      </c>
      <c r="B274" s="17">
        <v>417.49099999999999</v>
      </c>
      <c r="C274" s="17">
        <v>421.767</v>
      </c>
      <c r="D274" s="17">
        <v>411.32400000000001</v>
      </c>
      <c r="E274" s="17">
        <v>433.096</v>
      </c>
      <c r="F274" s="17">
        <v>407.90199999999999</v>
      </c>
      <c r="G274" s="17">
        <v>413.55799999999999</v>
      </c>
      <c r="H274" s="17">
        <v>402.255</v>
      </c>
      <c r="I274" s="17">
        <v>482.77600000000001</v>
      </c>
      <c r="J274" s="17">
        <v>415.03</v>
      </c>
      <c r="K274" s="17">
        <v>454.113</v>
      </c>
      <c r="L274" s="17">
        <v>416.21199999999999</v>
      </c>
      <c r="M274" s="17">
        <v>444.71699999999998</v>
      </c>
      <c r="N274" s="17">
        <v>414.47399999999999</v>
      </c>
      <c r="O274" s="17">
        <v>417.25200000000001</v>
      </c>
      <c r="P274" s="17">
        <v>549.85199999999998</v>
      </c>
      <c r="Q274" s="17">
        <v>433.81900000000002</v>
      </c>
      <c r="R274" s="17"/>
      <c r="S274" s="17">
        <v>460.142</v>
      </c>
      <c r="T274" s="17"/>
      <c r="U274" s="17">
        <v>406.32400000000001</v>
      </c>
      <c r="V274" s="17">
        <v>416.197</v>
      </c>
      <c r="W274" s="17"/>
      <c r="X274" s="17">
        <v>437.64800000000002</v>
      </c>
      <c r="Y274" s="17">
        <v>664.88</v>
      </c>
      <c r="Z274" s="17">
        <v>411.43599999999998</v>
      </c>
      <c r="AA274" s="17">
        <v>434.88600000000002</v>
      </c>
      <c r="AB274" s="17">
        <v>418.74400000000003</v>
      </c>
      <c r="AC274" s="17">
        <v>405.79599999999999</v>
      </c>
      <c r="AD274" s="17">
        <v>415.84199999999998</v>
      </c>
      <c r="AE274" s="17">
        <v>403.32900000000001</v>
      </c>
    </row>
    <row r="275" spans="1:31" x14ac:dyDescent="0.35">
      <c r="A275" s="3">
        <f t="shared" si="100"/>
        <v>259</v>
      </c>
      <c r="B275" s="17">
        <v>417.23</v>
      </c>
      <c r="C275" s="17">
        <v>421.66800000000001</v>
      </c>
      <c r="D275" s="17">
        <v>411.505</v>
      </c>
      <c r="E275" s="17">
        <v>434.31299999999999</v>
      </c>
      <c r="F275" s="17">
        <v>408.04</v>
      </c>
      <c r="G275" s="17">
        <v>413.40499999999997</v>
      </c>
      <c r="H275" s="17">
        <v>403.322</v>
      </c>
      <c r="I275" s="17">
        <v>482.637</v>
      </c>
      <c r="J275" s="17">
        <v>415.08100000000002</v>
      </c>
      <c r="K275" s="17">
        <v>453.21699999999998</v>
      </c>
      <c r="L275" s="17">
        <v>416.13499999999999</v>
      </c>
      <c r="M275" s="17">
        <v>445.23700000000002</v>
      </c>
      <c r="N275" s="17">
        <v>415.13900000000001</v>
      </c>
      <c r="O275" s="17">
        <v>417.15199999999999</v>
      </c>
      <c r="P275" s="17">
        <v>549.78399999999999</v>
      </c>
      <c r="Q275" s="17">
        <v>433.089</v>
      </c>
      <c r="R275" s="17"/>
      <c r="S275" s="17">
        <v>460.60399999999998</v>
      </c>
      <c r="T275" s="17"/>
      <c r="U275" s="17">
        <v>407.13799999999998</v>
      </c>
      <c r="V275" s="17">
        <v>414.93799999999999</v>
      </c>
      <c r="W275" s="17"/>
      <c r="X275" s="17">
        <v>436.89400000000001</v>
      </c>
      <c r="Y275" s="17">
        <v>664.83</v>
      </c>
      <c r="Z275" s="17">
        <v>411.56200000000001</v>
      </c>
      <c r="AA275" s="17">
        <v>434.69900000000001</v>
      </c>
      <c r="AB275" s="17">
        <v>418.21100000000001</v>
      </c>
      <c r="AC275" s="17">
        <v>405.51400000000001</v>
      </c>
      <c r="AD275" s="17">
        <v>418.149</v>
      </c>
      <c r="AE275" s="17">
        <v>404.17500000000001</v>
      </c>
    </row>
    <row r="276" spans="1:31" x14ac:dyDescent="0.35">
      <c r="A276" s="3">
        <f t="shared" si="100"/>
        <v>260</v>
      </c>
      <c r="B276" s="17">
        <v>418.94299999999998</v>
      </c>
      <c r="C276" s="17">
        <v>421.20299999999997</v>
      </c>
      <c r="D276" s="17">
        <v>411.57900000000001</v>
      </c>
      <c r="E276" s="17">
        <v>433.12799999999999</v>
      </c>
      <c r="F276" s="17">
        <v>406.60700000000003</v>
      </c>
      <c r="G276" s="17">
        <v>414.44600000000003</v>
      </c>
      <c r="H276" s="17">
        <v>402.89600000000002</v>
      </c>
      <c r="I276" s="17">
        <v>482.43299999999999</v>
      </c>
      <c r="J276" s="17">
        <v>414.435</v>
      </c>
      <c r="K276" s="17">
        <v>453.62700000000001</v>
      </c>
      <c r="L276" s="17">
        <v>416.14499999999998</v>
      </c>
      <c r="M276" s="17">
        <v>444.71699999999998</v>
      </c>
      <c r="N276" s="17">
        <v>415.71899999999999</v>
      </c>
      <c r="O276" s="17">
        <v>418.12700000000001</v>
      </c>
      <c r="P276" s="17">
        <v>550.36400000000003</v>
      </c>
      <c r="Q276" s="17">
        <v>433.74599999999998</v>
      </c>
      <c r="R276" s="17"/>
      <c r="S276" s="17">
        <v>460.161</v>
      </c>
      <c r="T276" s="17"/>
      <c r="U276" s="17">
        <v>407.22</v>
      </c>
      <c r="V276" s="17">
        <v>415.46300000000002</v>
      </c>
      <c r="W276" s="17"/>
      <c r="X276" s="17">
        <v>437.73599999999999</v>
      </c>
      <c r="Y276" s="17">
        <v>664.428</v>
      </c>
      <c r="Z276" s="17">
        <v>412.077</v>
      </c>
      <c r="AA276" s="17">
        <v>435.60300000000001</v>
      </c>
      <c r="AB276" s="17">
        <v>417.77600000000001</v>
      </c>
      <c r="AC276" s="17">
        <v>405.55399999999997</v>
      </c>
      <c r="AD276" s="17">
        <v>416.05799999999999</v>
      </c>
      <c r="AE276" s="17">
        <v>404.11399999999998</v>
      </c>
    </row>
    <row r="277" spans="1:31" x14ac:dyDescent="0.35">
      <c r="A277" s="3">
        <f t="shared" si="100"/>
        <v>261</v>
      </c>
      <c r="B277" s="17">
        <v>417.68299999999999</v>
      </c>
      <c r="C277" s="17">
        <v>421.83100000000002</v>
      </c>
      <c r="D277" s="17">
        <v>411.37</v>
      </c>
      <c r="E277" s="17">
        <v>433.24900000000002</v>
      </c>
      <c r="F277" s="17">
        <v>409.01100000000002</v>
      </c>
      <c r="G277" s="17">
        <v>414.11</v>
      </c>
      <c r="H277" s="17">
        <v>402.52100000000002</v>
      </c>
      <c r="I277" s="17">
        <v>482.31400000000002</v>
      </c>
      <c r="J277" s="17">
        <v>414.68</v>
      </c>
      <c r="K277" s="17">
        <v>453.19299999999998</v>
      </c>
      <c r="L277" s="17">
        <v>416.40600000000001</v>
      </c>
      <c r="M277" s="17">
        <v>445.89499999999998</v>
      </c>
      <c r="N277" s="17">
        <v>414.34300000000002</v>
      </c>
      <c r="O277" s="17">
        <v>416.84399999999999</v>
      </c>
      <c r="P277" s="17">
        <v>549.95600000000002</v>
      </c>
      <c r="Q277" s="17">
        <v>433.85899999999998</v>
      </c>
      <c r="R277" s="17"/>
      <c r="S277" s="17">
        <v>460.42200000000003</v>
      </c>
      <c r="T277" s="17"/>
      <c r="U277" s="17">
        <v>406.91</v>
      </c>
      <c r="V277" s="17">
        <v>415.81</v>
      </c>
      <c r="W277" s="17"/>
      <c r="X277" s="17">
        <v>437.63099999999997</v>
      </c>
      <c r="Y277" s="17">
        <v>665.37300000000005</v>
      </c>
      <c r="Z277" s="17">
        <v>412.16</v>
      </c>
      <c r="AA277" s="17">
        <v>435.42399999999998</v>
      </c>
      <c r="AB277" s="17">
        <v>417.06400000000002</v>
      </c>
      <c r="AC277" s="17">
        <v>406.26499999999999</v>
      </c>
      <c r="AD277" s="17">
        <v>414.90800000000002</v>
      </c>
      <c r="AE277" s="17">
        <v>406.517</v>
      </c>
    </row>
    <row r="278" spans="1:31" x14ac:dyDescent="0.35">
      <c r="A278" s="3">
        <f t="shared" si="100"/>
        <v>262</v>
      </c>
      <c r="B278" s="17">
        <v>417.88900000000001</v>
      </c>
      <c r="C278" s="17">
        <v>421.88099999999997</v>
      </c>
      <c r="D278" s="17">
        <v>411.49299999999999</v>
      </c>
      <c r="E278" s="17">
        <v>433.73200000000003</v>
      </c>
      <c r="F278" s="17">
        <v>407.96199999999999</v>
      </c>
      <c r="G278" s="17">
        <v>414.71</v>
      </c>
      <c r="H278" s="17">
        <v>402.59399999999999</v>
      </c>
      <c r="I278" s="17">
        <v>482.76100000000002</v>
      </c>
      <c r="J278" s="17">
        <v>414.94099999999997</v>
      </c>
      <c r="K278" s="17">
        <v>452.89400000000001</v>
      </c>
      <c r="L278" s="17">
        <v>416.33800000000002</v>
      </c>
      <c r="M278" s="17">
        <v>444.33199999999999</v>
      </c>
      <c r="N278" s="17">
        <v>415.61799999999999</v>
      </c>
      <c r="O278" s="17">
        <v>417.13499999999999</v>
      </c>
      <c r="P278" s="17">
        <v>549.50400000000002</v>
      </c>
      <c r="Q278" s="17">
        <v>434.81599999999997</v>
      </c>
      <c r="R278" s="17"/>
      <c r="S278" s="17">
        <v>460.13299999999998</v>
      </c>
      <c r="T278" s="17"/>
      <c r="U278" s="17">
        <v>406.77199999999999</v>
      </c>
      <c r="V278" s="17">
        <v>414.41500000000002</v>
      </c>
      <c r="W278" s="17"/>
      <c r="X278" s="17">
        <v>436.77100000000002</v>
      </c>
      <c r="Y278" s="17">
        <v>664.66700000000003</v>
      </c>
      <c r="Z278" s="17">
        <v>412.01900000000001</v>
      </c>
      <c r="AA278" s="17">
        <v>434.83300000000003</v>
      </c>
      <c r="AB278" s="17">
        <v>417.791</v>
      </c>
      <c r="AC278" s="17">
        <v>403.358</v>
      </c>
      <c r="AD278" s="17">
        <v>417.51</v>
      </c>
      <c r="AE278" s="17">
        <v>404.13400000000001</v>
      </c>
    </row>
    <row r="279" spans="1:31" x14ac:dyDescent="0.35">
      <c r="A279" s="3">
        <f t="shared" si="100"/>
        <v>263</v>
      </c>
      <c r="B279" s="17">
        <v>417.39600000000002</v>
      </c>
      <c r="C279" s="17">
        <v>421.76400000000001</v>
      </c>
      <c r="D279" s="17">
        <v>411.89800000000002</v>
      </c>
      <c r="E279" s="17">
        <v>434.31099999999998</v>
      </c>
      <c r="F279" s="17">
        <v>408.45100000000002</v>
      </c>
      <c r="G279" s="17">
        <v>414.54500000000002</v>
      </c>
      <c r="H279" s="17">
        <v>401.86700000000002</v>
      </c>
      <c r="I279" s="17">
        <v>483.22300000000001</v>
      </c>
      <c r="J279" s="17">
        <v>415.29399999999998</v>
      </c>
      <c r="K279" s="17">
        <v>452.93799999999999</v>
      </c>
      <c r="L279" s="17">
        <v>417.08600000000001</v>
      </c>
      <c r="M279" s="17">
        <v>442.94</v>
      </c>
      <c r="N279" s="17">
        <v>415.90300000000002</v>
      </c>
      <c r="O279" s="17">
        <v>416.654</v>
      </c>
      <c r="P279" s="17">
        <v>550.10900000000004</v>
      </c>
      <c r="Q279" s="17">
        <v>434.68700000000001</v>
      </c>
      <c r="R279" s="17"/>
      <c r="S279" s="17">
        <v>459.63299999999998</v>
      </c>
      <c r="T279" s="17"/>
      <c r="U279" s="17">
        <v>407.21199999999999</v>
      </c>
      <c r="V279" s="17">
        <v>416.26100000000002</v>
      </c>
      <c r="W279" s="17"/>
      <c r="X279" s="17">
        <v>438.33100000000002</v>
      </c>
      <c r="Y279" s="17">
        <v>663.92600000000004</v>
      </c>
      <c r="Z279" s="17">
        <v>411.24799999999999</v>
      </c>
      <c r="AA279" s="17">
        <v>435.16899999999998</v>
      </c>
      <c r="AB279" s="17">
        <v>418.233</v>
      </c>
      <c r="AC279" s="17">
        <v>406.73500000000001</v>
      </c>
      <c r="AD279" s="17">
        <v>417.47300000000001</v>
      </c>
      <c r="AE279" s="17">
        <v>402.07900000000001</v>
      </c>
    </row>
    <row r="280" spans="1:31" x14ac:dyDescent="0.35">
      <c r="A280" s="3">
        <f t="shared" si="100"/>
        <v>264</v>
      </c>
      <c r="B280" s="17">
        <v>417.24200000000002</v>
      </c>
      <c r="C280" s="17">
        <v>422.81299999999999</v>
      </c>
      <c r="D280" s="17">
        <v>410.58</v>
      </c>
      <c r="E280" s="17">
        <v>433.63200000000001</v>
      </c>
      <c r="F280" s="17">
        <v>407.97800000000001</v>
      </c>
      <c r="G280" s="17">
        <v>414.46899999999999</v>
      </c>
      <c r="H280" s="17">
        <v>403.03500000000003</v>
      </c>
      <c r="I280" s="17">
        <v>483.43900000000002</v>
      </c>
      <c r="J280" s="17">
        <v>414.58699999999999</v>
      </c>
      <c r="K280" s="17">
        <v>453.084</v>
      </c>
      <c r="L280" s="17">
        <v>415.44099999999997</v>
      </c>
      <c r="M280" s="17">
        <v>445.97199999999998</v>
      </c>
      <c r="N280" s="17">
        <v>415.61399999999998</v>
      </c>
      <c r="O280" s="17">
        <v>417.93200000000002</v>
      </c>
      <c r="P280" s="17">
        <v>550.58100000000002</v>
      </c>
      <c r="Q280" s="17">
        <v>433.39800000000002</v>
      </c>
      <c r="R280" s="17"/>
      <c r="S280" s="17">
        <v>459.20100000000002</v>
      </c>
      <c r="T280" s="17"/>
      <c r="U280" s="17">
        <v>407.14100000000002</v>
      </c>
      <c r="V280" s="17">
        <v>416.83800000000002</v>
      </c>
      <c r="W280" s="17"/>
      <c r="X280" s="17">
        <v>438.30399999999997</v>
      </c>
      <c r="Y280" s="17">
        <v>665.46799999999996</v>
      </c>
      <c r="Z280" s="17">
        <v>411.84300000000002</v>
      </c>
      <c r="AA280" s="17">
        <v>435.827</v>
      </c>
      <c r="AB280" s="17">
        <v>417.95</v>
      </c>
      <c r="AC280" s="17">
        <v>405.37400000000002</v>
      </c>
      <c r="AD280" s="17">
        <v>418.30700000000002</v>
      </c>
      <c r="AE280" s="17">
        <v>404.22899999999998</v>
      </c>
    </row>
    <row r="281" spans="1:31" x14ac:dyDescent="0.35">
      <c r="A281" s="3">
        <f t="shared" si="100"/>
        <v>265</v>
      </c>
      <c r="B281" s="17">
        <v>417.34100000000001</v>
      </c>
      <c r="C281" s="17">
        <v>422.125</v>
      </c>
      <c r="D281" s="17">
        <v>411.96100000000001</v>
      </c>
      <c r="E281" s="17">
        <v>433.50900000000001</v>
      </c>
      <c r="F281" s="17">
        <v>408.19200000000001</v>
      </c>
      <c r="G281" s="17">
        <v>414.49900000000002</v>
      </c>
      <c r="H281" s="17">
        <v>402.09899999999999</v>
      </c>
      <c r="I281" s="17">
        <v>482.74</v>
      </c>
      <c r="J281" s="17">
        <v>415.01100000000002</v>
      </c>
      <c r="K281" s="17">
        <v>453.88600000000002</v>
      </c>
      <c r="L281" s="17">
        <v>414.79899999999998</v>
      </c>
      <c r="M281" s="17">
        <v>445.21800000000002</v>
      </c>
      <c r="N281" s="17">
        <v>416.74</v>
      </c>
      <c r="O281" s="17">
        <v>418.13499999999999</v>
      </c>
      <c r="P281" s="17">
        <v>550.17600000000004</v>
      </c>
      <c r="Q281" s="17">
        <v>434.07799999999997</v>
      </c>
      <c r="R281" s="17"/>
      <c r="S281" s="17">
        <v>460.44600000000003</v>
      </c>
      <c r="T281" s="17"/>
      <c r="U281" s="17">
        <v>407.339</v>
      </c>
      <c r="V281" s="17">
        <v>415.536</v>
      </c>
      <c r="W281" s="17"/>
      <c r="X281" s="17">
        <v>437.286</v>
      </c>
      <c r="Y281" s="17">
        <v>664.32399999999996</v>
      </c>
      <c r="Z281" s="17">
        <v>412.58</v>
      </c>
      <c r="AA281" s="17">
        <v>436.84699999999998</v>
      </c>
      <c r="AB281" s="17">
        <v>417.286</v>
      </c>
      <c r="AC281" s="17">
        <v>406.005</v>
      </c>
      <c r="AD281" s="17">
        <v>417.69400000000002</v>
      </c>
      <c r="AE281" s="17">
        <v>406.93900000000002</v>
      </c>
    </row>
    <row r="282" spans="1:31" x14ac:dyDescent="0.35">
      <c r="A282" s="3">
        <f t="shared" si="100"/>
        <v>266</v>
      </c>
      <c r="B282" s="17">
        <v>416.96300000000002</v>
      </c>
      <c r="C282" s="17">
        <v>421.42099999999999</v>
      </c>
      <c r="D282" s="17">
        <v>411.185</v>
      </c>
      <c r="E282" s="17">
        <v>432.96800000000002</v>
      </c>
      <c r="F282" s="17">
        <v>406.7</v>
      </c>
      <c r="G282" s="17">
        <v>416.14100000000002</v>
      </c>
      <c r="H282" s="17">
        <v>403.26900000000001</v>
      </c>
      <c r="I282" s="17">
        <v>482.37299999999999</v>
      </c>
      <c r="J282" s="17">
        <v>416.15199999999999</v>
      </c>
      <c r="K282" s="17">
        <v>453.68099999999998</v>
      </c>
      <c r="L282" s="17">
        <v>416.60700000000003</v>
      </c>
      <c r="M282" s="17">
        <v>444.49799999999999</v>
      </c>
      <c r="N282" s="17">
        <v>415.28300000000002</v>
      </c>
      <c r="O282" s="17">
        <v>418.08699999999999</v>
      </c>
      <c r="P282" s="17">
        <v>549.89800000000002</v>
      </c>
      <c r="Q282" s="17">
        <v>434.27699999999999</v>
      </c>
      <c r="R282" s="17"/>
      <c r="S282" s="17">
        <v>459.76100000000002</v>
      </c>
      <c r="T282" s="17"/>
      <c r="U282" s="17">
        <v>406.13200000000001</v>
      </c>
      <c r="V282" s="17">
        <v>416.65499999999997</v>
      </c>
      <c r="W282" s="17"/>
      <c r="X282" s="17">
        <v>437.13499999999999</v>
      </c>
      <c r="Y282" s="17">
        <v>666.13499999999999</v>
      </c>
      <c r="Z282" s="17">
        <v>411.91399999999999</v>
      </c>
      <c r="AA282" s="17">
        <v>434.83600000000001</v>
      </c>
      <c r="AB282" s="17">
        <v>419.29399999999998</v>
      </c>
      <c r="AC282" s="17">
        <v>405.78399999999999</v>
      </c>
      <c r="AD282" s="17">
        <v>416.553</v>
      </c>
      <c r="AE282" s="17">
        <v>404.32299999999998</v>
      </c>
    </row>
    <row r="283" spans="1:31" x14ac:dyDescent="0.35">
      <c r="A283" s="3">
        <f t="shared" si="100"/>
        <v>267</v>
      </c>
      <c r="B283" s="17">
        <v>418.04</v>
      </c>
      <c r="C283" s="17">
        <v>422.471</v>
      </c>
      <c r="D283" s="17">
        <v>412.43299999999999</v>
      </c>
      <c r="E283" s="17">
        <v>433.78199999999998</v>
      </c>
      <c r="F283" s="17">
        <v>406.86099999999999</v>
      </c>
      <c r="G283" s="17">
        <v>416.17700000000002</v>
      </c>
      <c r="H283" s="17">
        <v>402.03899999999999</v>
      </c>
      <c r="I283" s="17">
        <v>482.46800000000002</v>
      </c>
      <c r="J283" s="17">
        <v>415.42200000000003</v>
      </c>
      <c r="K283" s="17">
        <v>452.82600000000002</v>
      </c>
      <c r="L283" s="17">
        <v>414.48700000000002</v>
      </c>
      <c r="M283" s="17">
        <v>444.51</v>
      </c>
      <c r="N283" s="17">
        <v>416.63299999999998</v>
      </c>
      <c r="O283" s="17">
        <v>416.79899999999998</v>
      </c>
      <c r="P283" s="17">
        <v>549.77700000000004</v>
      </c>
      <c r="Q283" s="17">
        <v>434.42399999999998</v>
      </c>
      <c r="R283" s="17"/>
      <c r="S283" s="17">
        <v>459.20800000000003</v>
      </c>
      <c r="T283" s="17"/>
      <c r="U283" s="17">
        <v>406.69499999999999</v>
      </c>
      <c r="V283" s="17">
        <v>415.839</v>
      </c>
      <c r="W283" s="17"/>
      <c r="X283" s="17">
        <v>438.18099999999998</v>
      </c>
      <c r="Y283" s="17">
        <v>664.95399999999995</v>
      </c>
      <c r="Z283" s="17">
        <v>411.85300000000001</v>
      </c>
      <c r="AA283" s="17">
        <v>435.423</v>
      </c>
      <c r="AB283" s="17">
        <v>418.92399999999998</v>
      </c>
      <c r="AC283" s="17">
        <v>405.226</v>
      </c>
      <c r="AD283" s="17">
        <v>418.185</v>
      </c>
      <c r="AE283" s="17">
        <v>402.64299999999997</v>
      </c>
    </row>
    <row r="284" spans="1:31" x14ac:dyDescent="0.35">
      <c r="A284" s="3">
        <f t="shared" si="100"/>
        <v>268</v>
      </c>
      <c r="B284" s="17">
        <v>418.08499999999998</v>
      </c>
      <c r="C284" s="17">
        <v>421.06200000000001</v>
      </c>
      <c r="D284" s="17">
        <v>410.07</v>
      </c>
      <c r="E284" s="17">
        <v>433.30900000000003</v>
      </c>
      <c r="F284" s="17">
        <v>408.28</v>
      </c>
      <c r="G284" s="17">
        <v>415.42700000000002</v>
      </c>
      <c r="H284" s="17">
        <v>402.45699999999999</v>
      </c>
      <c r="I284" s="17">
        <v>482.98500000000001</v>
      </c>
      <c r="J284" s="17">
        <v>415.82400000000001</v>
      </c>
      <c r="K284" s="17">
        <v>453.25400000000002</v>
      </c>
      <c r="L284" s="17">
        <v>415.35300000000001</v>
      </c>
      <c r="M284" s="17">
        <v>444.15499999999997</v>
      </c>
      <c r="N284" s="17">
        <v>415.61700000000002</v>
      </c>
      <c r="O284" s="17">
        <v>418.10399999999998</v>
      </c>
      <c r="P284" s="17">
        <v>549.75</v>
      </c>
      <c r="Q284" s="17">
        <v>435.64</v>
      </c>
      <c r="R284" s="17"/>
      <c r="S284" s="17">
        <v>459.834</v>
      </c>
      <c r="T284" s="17"/>
      <c r="U284" s="17">
        <v>407.43900000000002</v>
      </c>
      <c r="V284" s="17">
        <v>416.58300000000003</v>
      </c>
      <c r="W284" s="17"/>
      <c r="X284" s="17">
        <v>436.82900000000001</v>
      </c>
      <c r="Y284" s="17">
        <v>664.98800000000006</v>
      </c>
      <c r="Z284" s="17">
        <v>413.11200000000002</v>
      </c>
      <c r="AA284" s="17">
        <v>435.72500000000002</v>
      </c>
      <c r="AB284" s="17">
        <v>418.33699999999999</v>
      </c>
      <c r="AC284" s="17">
        <v>403.65800000000002</v>
      </c>
      <c r="AD284" s="17">
        <v>417.50200000000001</v>
      </c>
      <c r="AE284" s="17">
        <v>405.14100000000002</v>
      </c>
    </row>
    <row r="285" spans="1:31" x14ac:dyDescent="0.35">
      <c r="A285" s="3">
        <f t="shared" si="100"/>
        <v>269</v>
      </c>
      <c r="B285" s="17">
        <v>417.63799999999998</v>
      </c>
      <c r="C285" s="17">
        <v>422.50400000000002</v>
      </c>
      <c r="D285" s="17">
        <v>411.50099999999998</v>
      </c>
      <c r="E285" s="17">
        <v>434.31400000000002</v>
      </c>
      <c r="F285" s="17">
        <v>407.37400000000002</v>
      </c>
      <c r="G285" s="17">
        <v>415.55799999999999</v>
      </c>
      <c r="H285" s="17">
        <v>402.40899999999999</v>
      </c>
      <c r="I285" s="17">
        <v>483.88200000000001</v>
      </c>
      <c r="J285" s="17">
        <v>415.363</v>
      </c>
      <c r="K285" s="17">
        <v>453.65800000000002</v>
      </c>
      <c r="L285" s="17">
        <v>414.96199999999999</v>
      </c>
      <c r="M285" s="17">
        <v>445.3</v>
      </c>
      <c r="N285" s="17">
        <v>414.98599999999999</v>
      </c>
      <c r="O285" s="17">
        <v>417.62</v>
      </c>
      <c r="P285" s="17">
        <v>551.12300000000005</v>
      </c>
      <c r="Q285" s="17">
        <v>434.22</v>
      </c>
      <c r="R285" s="17"/>
      <c r="S285" s="17">
        <v>460.37900000000002</v>
      </c>
      <c r="T285" s="17"/>
      <c r="U285" s="17">
        <v>407.06200000000001</v>
      </c>
      <c r="V285" s="17">
        <v>415.74</v>
      </c>
      <c r="W285" s="17"/>
      <c r="X285" s="17">
        <v>438.48700000000002</v>
      </c>
      <c r="Y285" s="17">
        <v>664.25199999999995</v>
      </c>
      <c r="Z285" s="17">
        <v>412.97699999999998</v>
      </c>
      <c r="AA285" s="17">
        <v>434.73</v>
      </c>
      <c r="AB285" s="17">
        <v>418.59699999999998</v>
      </c>
      <c r="AC285" s="17">
        <v>404.95499999999998</v>
      </c>
      <c r="AD285" s="17">
        <v>417.92</v>
      </c>
      <c r="AE285" s="17">
        <v>406.63099999999997</v>
      </c>
    </row>
    <row r="286" spans="1:31" x14ac:dyDescent="0.35">
      <c r="A286" s="3">
        <f t="shared" si="100"/>
        <v>270</v>
      </c>
      <c r="B286" s="17">
        <v>418.01900000000001</v>
      </c>
      <c r="C286" s="17">
        <v>422.09399999999999</v>
      </c>
      <c r="D286" s="17">
        <v>412.19299999999998</v>
      </c>
      <c r="E286" s="17">
        <v>433.947</v>
      </c>
      <c r="F286" s="17">
        <v>409.30900000000003</v>
      </c>
      <c r="G286" s="17">
        <v>414.49099999999999</v>
      </c>
      <c r="H286" s="17">
        <v>403.70400000000001</v>
      </c>
      <c r="I286" s="17">
        <v>482.529</v>
      </c>
      <c r="J286" s="17">
        <v>415.80399999999997</v>
      </c>
      <c r="K286" s="17">
        <v>453.99200000000002</v>
      </c>
      <c r="L286" s="17">
        <v>415.48399999999998</v>
      </c>
      <c r="M286" s="17">
        <v>444.91199999999998</v>
      </c>
      <c r="N286" s="17">
        <v>415.529</v>
      </c>
      <c r="O286" s="17">
        <v>417.22500000000002</v>
      </c>
      <c r="P286" s="17">
        <v>550.83199999999999</v>
      </c>
      <c r="Q286" s="17">
        <v>434.24200000000002</v>
      </c>
      <c r="R286" s="17"/>
      <c r="S286" s="17">
        <v>460.40600000000001</v>
      </c>
      <c r="T286" s="17"/>
      <c r="U286" s="17">
        <v>407.29199999999997</v>
      </c>
      <c r="V286" s="17">
        <v>416.67599999999999</v>
      </c>
      <c r="W286" s="17"/>
      <c r="X286" s="17">
        <v>437.37200000000001</v>
      </c>
      <c r="Y286" s="17">
        <v>665.19200000000001</v>
      </c>
      <c r="Z286" s="17">
        <v>412.233</v>
      </c>
      <c r="AA286" s="17">
        <v>433.76900000000001</v>
      </c>
      <c r="AB286" s="17">
        <v>419.71100000000001</v>
      </c>
      <c r="AC286" s="17">
        <v>405.83199999999999</v>
      </c>
      <c r="AD286" s="17">
        <v>416.89699999999999</v>
      </c>
      <c r="AE286" s="17">
        <v>403.00200000000001</v>
      </c>
    </row>
    <row r="287" spans="1:31" x14ac:dyDescent="0.35">
      <c r="A287" s="3">
        <f t="shared" si="100"/>
        <v>271</v>
      </c>
      <c r="B287" s="17">
        <v>418.78800000000001</v>
      </c>
      <c r="C287" s="17">
        <v>423.22199999999998</v>
      </c>
      <c r="D287" s="17">
        <v>410.61099999999999</v>
      </c>
      <c r="E287" s="17">
        <v>433.416</v>
      </c>
      <c r="F287" s="17">
        <v>407.29700000000003</v>
      </c>
      <c r="G287" s="17">
        <v>415.584</v>
      </c>
      <c r="H287" s="17">
        <v>402.12</v>
      </c>
      <c r="I287" s="17">
        <v>482.52300000000002</v>
      </c>
      <c r="J287" s="17">
        <v>415.79899999999998</v>
      </c>
      <c r="K287" s="17">
        <v>452.87900000000002</v>
      </c>
      <c r="L287" s="17">
        <v>415.89</v>
      </c>
      <c r="M287" s="17">
        <v>445.60700000000003</v>
      </c>
      <c r="N287" s="17">
        <v>414.88499999999999</v>
      </c>
      <c r="O287" s="17">
        <v>417.9</v>
      </c>
      <c r="P287" s="17">
        <v>551.43200000000002</v>
      </c>
      <c r="Q287" s="17">
        <v>434.16800000000001</v>
      </c>
      <c r="R287" s="17"/>
      <c r="S287" s="17">
        <v>459.89699999999999</v>
      </c>
      <c r="T287" s="17"/>
      <c r="U287" s="17">
        <v>406.452</v>
      </c>
      <c r="V287" s="17">
        <v>415.97699999999998</v>
      </c>
      <c r="W287" s="17"/>
      <c r="X287" s="17">
        <v>438.12900000000002</v>
      </c>
      <c r="Y287" s="17">
        <v>662.61699999999996</v>
      </c>
      <c r="Z287" s="17">
        <v>413.00700000000001</v>
      </c>
      <c r="AA287" s="17">
        <v>436.11900000000003</v>
      </c>
      <c r="AB287" s="17">
        <v>420.28</v>
      </c>
      <c r="AC287" s="17">
        <v>405.43700000000001</v>
      </c>
      <c r="AD287" s="17">
        <v>418.04700000000003</v>
      </c>
      <c r="AE287" s="17">
        <v>402.04399999999998</v>
      </c>
    </row>
    <row r="288" spans="1:31" x14ac:dyDescent="0.35">
      <c r="A288" s="3">
        <f t="shared" si="100"/>
        <v>272</v>
      </c>
      <c r="B288" s="17">
        <v>418.30200000000002</v>
      </c>
      <c r="C288" s="17">
        <v>423.87799999999999</v>
      </c>
      <c r="D288" s="17">
        <v>411.68299999999999</v>
      </c>
      <c r="E288" s="17">
        <v>434.04</v>
      </c>
      <c r="F288" s="17">
        <v>408.43</v>
      </c>
      <c r="G288" s="17">
        <v>415.70800000000003</v>
      </c>
      <c r="H288" s="17">
        <v>402.67899999999997</v>
      </c>
      <c r="I288" s="17">
        <v>482.91399999999999</v>
      </c>
      <c r="J288" s="17">
        <v>415.70299999999997</v>
      </c>
      <c r="K288" s="17">
        <v>453.19499999999999</v>
      </c>
      <c r="L288" s="17">
        <v>414.40699999999998</v>
      </c>
      <c r="M288" s="17">
        <v>445.18299999999999</v>
      </c>
      <c r="N288" s="17">
        <v>415.35500000000002</v>
      </c>
      <c r="O288" s="17">
        <v>417.54399999999998</v>
      </c>
      <c r="P288" s="17">
        <v>551.55799999999999</v>
      </c>
      <c r="Q288" s="17">
        <v>434.56799999999998</v>
      </c>
      <c r="R288" s="17"/>
      <c r="S288" s="17">
        <v>459.64299999999997</v>
      </c>
      <c r="T288" s="17"/>
      <c r="U288" s="17">
        <v>406.60599999999999</v>
      </c>
      <c r="V288" s="17">
        <v>416.10399999999998</v>
      </c>
      <c r="W288" s="17"/>
      <c r="X288" s="17">
        <v>438.93700000000001</v>
      </c>
      <c r="Y288" s="17">
        <v>664.95699999999999</v>
      </c>
      <c r="Z288" s="17">
        <v>412.286</v>
      </c>
      <c r="AA288" s="17">
        <v>435.87200000000001</v>
      </c>
      <c r="AB288" s="17">
        <v>418.18099999999998</v>
      </c>
      <c r="AC288" s="17">
        <v>405.00200000000001</v>
      </c>
      <c r="AD288" s="17">
        <v>417.63099999999997</v>
      </c>
      <c r="AE288" s="17">
        <v>406.858</v>
      </c>
    </row>
    <row r="289" spans="1:31" x14ac:dyDescent="0.35">
      <c r="A289" s="3">
        <f t="shared" si="100"/>
        <v>273</v>
      </c>
      <c r="B289" s="17">
        <v>417.608</v>
      </c>
      <c r="C289" s="17">
        <v>422.86</v>
      </c>
      <c r="D289" s="17">
        <v>411.86200000000002</v>
      </c>
      <c r="E289" s="17">
        <v>433.41899999999998</v>
      </c>
      <c r="F289" s="17">
        <v>407.05500000000001</v>
      </c>
      <c r="G289" s="17">
        <v>415.76400000000001</v>
      </c>
      <c r="H289" s="17">
        <v>402.55200000000002</v>
      </c>
      <c r="I289" s="17">
        <v>482.74400000000003</v>
      </c>
      <c r="J289" s="17">
        <v>415.86</v>
      </c>
      <c r="K289" s="17">
        <v>453.428</v>
      </c>
      <c r="L289" s="17">
        <v>415.96899999999999</v>
      </c>
      <c r="M289" s="17">
        <v>445.12299999999999</v>
      </c>
      <c r="N289" s="17">
        <v>416.22</v>
      </c>
      <c r="O289" s="17">
        <v>416.98599999999999</v>
      </c>
      <c r="P289" s="17">
        <v>551.13300000000004</v>
      </c>
      <c r="Q289" s="17">
        <v>434.68900000000002</v>
      </c>
      <c r="R289" s="17"/>
      <c r="S289" s="17">
        <v>459.60500000000002</v>
      </c>
      <c r="T289" s="17"/>
      <c r="U289" s="17">
        <v>407.49400000000003</v>
      </c>
      <c r="V289" s="17">
        <v>417.39800000000002</v>
      </c>
      <c r="W289" s="17"/>
      <c r="X289" s="17">
        <v>438.846</v>
      </c>
      <c r="Y289" s="17">
        <v>664.71799999999996</v>
      </c>
      <c r="Z289" s="17">
        <v>412.05799999999999</v>
      </c>
      <c r="AA289" s="17">
        <v>435.30399999999997</v>
      </c>
      <c r="AB289" s="17">
        <v>418.30599999999998</v>
      </c>
      <c r="AC289" s="17">
        <v>406.21</v>
      </c>
      <c r="AD289" s="17">
        <v>417.12200000000001</v>
      </c>
      <c r="AE289" s="17">
        <v>407.74200000000002</v>
      </c>
    </row>
    <row r="290" spans="1:31" x14ac:dyDescent="0.35">
      <c r="A290" s="3">
        <f t="shared" si="100"/>
        <v>274</v>
      </c>
      <c r="B290" s="17">
        <v>418.26299999999998</v>
      </c>
      <c r="C290" s="17">
        <v>422.30500000000001</v>
      </c>
      <c r="D290" s="17">
        <v>411.339</v>
      </c>
      <c r="E290" s="17">
        <v>434.19299999999998</v>
      </c>
      <c r="F290" s="17">
        <v>407.03699999999998</v>
      </c>
      <c r="G290" s="17">
        <v>416.40699999999998</v>
      </c>
      <c r="H290" s="17">
        <v>402.97199999999998</v>
      </c>
      <c r="I290" s="17">
        <v>482.642</v>
      </c>
      <c r="J290" s="17">
        <v>416.11599999999999</v>
      </c>
      <c r="K290" s="17">
        <v>452.63900000000001</v>
      </c>
      <c r="L290" s="17">
        <v>415.93799999999999</v>
      </c>
      <c r="M290" s="17">
        <v>444.74200000000002</v>
      </c>
      <c r="N290" s="17">
        <v>417.25400000000002</v>
      </c>
      <c r="O290" s="17">
        <v>417.36799999999999</v>
      </c>
      <c r="P290" s="17">
        <v>549.91499999999996</v>
      </c>
      <c r="Q290" s="17">
        <v>434.79199999999997</v>
      </c>
      <c r="R290" s="17"/>
      <c r="S290" s="17">
        <v>459.63600000000002</v>
      </c>
      <c r="T290" s="17"/>
      <c r="U290" s="17">
        <v>407.38600000000002</v>
      </c>
      <c r="V290" s="17">
        <v>417.11200000000002</v>
      </c>
      <c r="W290" s="17"/>
      <c r="X290" s="17">
        <v>437.82100000000003</v>
      </c>
      <c r="Y290" s="17">
        <v>664.88800000000003</v>
      </c>
      <c r="Z290" s="17">
        <v>412.298</v>
      </c>
      <c r="AA290" s="17">
        <v>436.55599999999998</v>
      </c>
      <c r="AB290" s="17">
        <v>420.012</v>
      </c>
      <c r="AC290" s="17">
        <v>404.38099999999997</v>
      </c>
      <c r="AD290" s="17">
        <v>417.84899999999999</v>
      </c>
      <c r="AE290" s="17">
        <v>403.23399999999998</v>
      </c>
    </row>
    <row r="291" spans="1:31" x14ac:dyDescent="0.35">
      <c r="A291" s="3">
        <f t="shared" si="100"/>
        <v>275</v>
      </c>
      <c r="B291" s="17">
        <v>417.952</v>
      </c>
      <c r="C291" s="17">
        <v>422.55900000000003</v>
      </c>
      <c r="D291" s="17">
        <v>412.35599999999999</v>
      </c>
      <c r="E291" s="17">
        <v>434.34300000000002</v>
      </c>
      <c r="F291" s="17">
        <v>406.851</v>
      </c>
      <c r="G291" s="17">
        <v>415.95600000000002</v>
      </c>
      <c r="H291" s="17">
        <v>403.245</v>
      </c>
      <c r="I291" s="17">
        <v>483.31099999999998</v>
      </c>
      <c r="J291" s="17">
        <v>416.06700000000001</v>
      </c>
      <c r="K291" s="17">
        <v>452.411</v>
      </c>
      <c r="L291" s="17">
        <v>415.48700000000002</v>
      </c>
      <c r="M291" s="17">
        <v>444.05700000000002</v>
      </c>
      <c r="N291" s="17">
        <v>416.005</v>
      </c>
      <c r="O291" s="17">
        <v>417.83499999999998</v>
      </c>
      <c r="P291" s="17">
        <v>552.10799999999995</v>
      </c>
      <c r="Q291" s="17">
        <v>434.226</v>
      </c>
      <c r="R291" s="17"/>
      <c r="S291" s="17">
        <v>458.83499999999998</v>
      </c>
      <c r="T291" s="17"/>
      <c r="U291" s="17">
        <v>407.89100000000002</v>
      </c>
      <c r="V291" s="17">
        <v>416.89100000000002</v>
      </c>
      <c r="W291" s="17"/>
      <c r="X291" s="17">
        <v>438.18</v>
      </c>
      <c r="Y291" s="17">
        <v>664.44200000000001</v>
      </c>
      <c r="Z291" s="17">
        <v>411.291</v>
      </c>
      <c r="AA291" s="17">
        <v>436.95100000000002</v>
      </c>
      <c r="AB291" s="17">
        <v>418.06200000000001</v>
      </c>
      <c r="AC291" s="17">
        <v>406.54300000000001</v>
      </c>
      <c r="AD291" s="17">
        <v>417.54199999999997</v>
      </c>
      <c r="AE291" s="17">
        <v>404.48899999999998</v>
      </c>
    </row>
    <row r="292" spans="1:31" x14ac:dyDescent="0.35">
      <c r="A292" s="3">
        <f t="shared" si="100"/>
        <v>276</v>
      </c>
      <c r="B292" s="17">
        <v>418.34500000000003</v>
      </c>
      <c r="C292" s="17">
        <v>422.90300000000002</v>
      </c>
      <c r="D292" s="17">
        <v>412</v>
      </c>
      <c r="E292" s="17">
        <v>434.892</v>
      </c>
      <c r="F292" s="17">
        <v>408.86700000000002</v>
      </c>
      <c r="G292" s="17">
        <v>416.15899999999999</v>
      </c>
      <c r="H292" s="17">
        <v>403.13099999999997</v>
      </c>
      <c r="I292" s="17">
        <v>482.81799999999998</v>
      </c>
      <c r="J292" s="17">
        <v>416.00299999999999</v>
      </c>
      <c r="K292" s="17">
        <v>452.48</v>
      </c>
      <c r="L292" s="17">
        <v>416.96899999999999</v>
      </c>
      <c r="M292" s="17">
        <v>445.012</v>
      </c>
      <c r="N292" s="17">
        <v>416.69200000000001</v>
      </c>
      <c r="O292" s="17">
        <v>417.79</v>
      </c>
      <c r="P292" s="17">
        <v>551.42999999999995</v>
      </c>
      <c r="Q292" s="17">
        <v>434.66</v>
      </c>
      <c r="R292" s="17"/>
      <c r="S292" s="17">
        <v>460.464</v>
      </c>
      <c r="T292" s="17"/>
      <c r="U292" s="17">
        <v>407.40800000000002</v>
      </c>
      <c r="V292" s="17">
        <v>418.32400000000001</v>
      </c>
      <c r="W292" s="17"/>
      <c r="X292" s="17">
        <v>438.84699999999998</v>
      </c>
      <c r="Y292" s="17">
        <v>664.43799999999999</v>
      </c>
      <c r="Z292" s="17">
        <v>412.86599999999999</v>
      </c>
      <c r="AA292" s="17">
        <v>437.30700000000002</v>
      </c>
      <c r="AB292" s="17">
        <v>420.233</v>
      </c>
      <c r="AC292" s="17">
        <v>406.74700000000001</v>
      </c>
      <c r="AD292" s="17">
        <v>417.53100000000001</v>
      </c>
      <c r="AE292" s="17">
        <v>407.90100000000001</v>
      </c>
    </row>
    <row r="293" spans="1:31" x14ac:dyDescent="0.35">
      <c r="A293" s="3">
        <f t="shared" si="100"/>
        <v>277</v>
      </c>
      <c r="B293" s="17">
        <v>418.858</v>
      </c>
      <c r="C293" s="17">
        <v>422.64699999999999</v>
      </c>
      <c r="D293" s="17">
        <v>411.99200000000002</v>
      </c>
      <c r="E293" s="17">
        <v>434.69200000000001</v>
      </c>
      <c r="F293" s="17">
        <v>407.54199999999997</v>
      </c>
      <c r="G293" s="17">
        <v>415.678</v>
      </c>
      <c r="H293" s="17">
        <v>401.63200000000001</v>
      </c>
      <c r="I293" s="17">
        <v>481.48</v>
      </c>
      <c r="J293" s="17">
        <v>415.67200000000003</v>
      </c>
      <c r="K293" s="17">
        <v>452.52199999999999</v>
      </c>
      <c r="L293" s="17">
        <v>415.9</v>
      </c>
      <c r="M293" s="17">
        <v>445.435</v>
      </c>
      <c r="N293" s="17">
        <v>416.77499999999998</v>
      </c>
      <c r="O293" s="17">
        <v>417.64600000000002</v>
      </c>
      <c r="P293" s="17">
        <v>551.11099999999999</v>
      </c>
      <c r="Q293" s="17">
        <v>435.428</v>
      </c>
      <c r="R293" s="17"/>
      <c r="S293" s="17">
        <v>460.74099999999999</v>
      </c>
      <c r="T293" s="17"/>
      <c r="U293" s="17">
        <v>407.18400000000003</v>
      </c>
      <c r="V293" s="17">
        <v>416.404</v>
      </c>
      <c r="W293" s="17"/>
      <c r="X293" s="17">
        <v>437.51100000000002</v>
      </c>
      <c r="Y293" s="17">
        <v>664.89200000000005</v>
      </c>
      <c r="Z293" s="17">
        <v>412.35</v>
      </c>
      <c r="AA293" s="17">
        <v>437.25900000000001</v>
      </c>
      <c r="AB293" s="17">
        <v>419.721</v>
      </c>
      <c r="AC293" s="17">
        <v>405.76900000000001</v>
      </c>
      <c r="AD293" s="17">
        <v>416.18599999999998</v>
      </c>
      <c r="AE293" s="17">
        <v>406.54700000000003</v>
      </c>
    </row>
    <row r="294" spans="1:31" x14ac:dyDescent="0.35">
      <c r="A294" s="3">
        <f t="shared" si="100"/>
        <v>278</v>
      </c>
      <c r="B294" s="17">
        <v>418.47500000000002</v>
      </c>
      <c r="C294" s="17">
        <v>422.94799999999998</v>
      </c>
      <c r="D294" s="17">
        <v>412.34100000000001</v>
      </c>
      <c r="E294" s="17">
        <v>433.88299999999998</v>
      </c>
      <c r="F294" s="17">
        <v>408.86</v>
      </c>
      <c r="G294" s="17">
        <v>416.67500000000001</v>
      </c>
      <c r="H294" s="17">
        <v>403.08100000000002</v>
      </c>
      <c r="I294" s="17">
        <v>482.47199999999998</v>
      </c>
      <c r="J294" s="17">
        <v>415.49099999999999</v>
      </c>
      <c r="K294" s="17">
        <v>453.83800000000002</v>
      </c>
      <c r="L294" s="17">
        <v>415.50700000000001</v>
      </c>
      <c r="M294" s="17">
        <v>445.988</v>
      </c>
      <c r="N294" s="17">
        <v>416.51900000000001</v>
      </c>
      <c r="O294" s="17">
        <v>418.75</v>
      </c>
      <c r="P294" s="17">
        <v>551.245</v>
      </c>
      <c r="Q294" s="17">
        <v>435.15199999999999</v>
      </c>
      <c r="R294" s="17"/>
      <c r="S294" s="17">
        <v>458.68799999999999</v>
      </c>
      <c r="T294" s="17"/>
      <c r="U294" s="17">
        <v>405.85599999999999</v>
      </c>
      <c r="V294" s="17">
        <v>417.67399999999998</v>
      </c>
      <c r="W294" s="17"/>
      <c r="X294" s="17">
        <v>439.61900000000003</v>
      </c>
      <c r="Y294" s="17">
        <v>663.60400000000004</v>
      </c>
      <c r="Z294" s="17">
        <v>413.21699999999998</v>
      </c>
      <c r="AA294" s="17">
        <v>437.48700000000002</v>
      </c>
      <c r="AB294" s="17">
        <v>420.51600000000002</v>
      </c>
      <c r="AC294" s="17">
        <v>406.23500000000001</v>
      </c>
      <c r="AD294" s="17">
        <v>417.36099999999999</v>
      </c>
      <c r="AE294" s="17">
        <v>407.71899999999999</v>
      </c>
    </row>
    <row r="295" spans="1:31" x14ac:dyDescent="0.35">
      <c r="A295" s="3">
        <f t="shared" si="100"/>
        <v>279</v>
      </c>
      <c r="B295" s="17">
        <v>418.90199999999999</v>
      </c>
      <c r="C295" s="17">
        <v>422.572</v>
      </c>
      <c r="D295" s="17">
        <v>412.43400000000003</v>
      </c>
      <c r="E295" s="17">
        <v>435.38400000000001</v>
      </c>
      <c r="F295" s="17">
        <v>407.798</v>
      </c>
      <c r="G295" s="17">
        <v>416.69299999999998</v>
      </c>
      <c r="H295" s="17">
        <v>402.7</v>
      </c>
      <c r="I295" s="17">
        <v>482.38900000000001</v>
      </c>
      <c r="J295" s="17">
        <v>415.81400000000002</v>
      </c>
      <c r="K295" s="17">
        <v>453.59800000000001</v>
      </c>
      <c r="L295" s="17">
        <v>415.99299999999999</v>
      </c>
      <c r="M295" s="17">
        <v>445.75599999999997</v>
      </c>
      <c r="N295" s="17">
        <v>416.70100000000002</v>
      </c>
      <c r="O295" s="17">
        <v>418.435</v>
      </c>
      <c r="P295" s="17">
        <v>551.92899999999997</v>
      </c>
      <c r="Q295" s="17">
        <v>435.58</v>
      </c>
      <c r="R295" s="17"/>
      <c r="S295" s="17">
        <v>459.89</v>
      </c>
      <c r="T295" s="17"/>
      <c r="U295" s="17">
        <v>407.44499999999999</v>
      </c>
      <c r="V295" s="17">
        <v>418.19099999999997</v>
      </c>
      <c r="W295" s="17"/>
      <c r="X295" s="17">
        <v>439.3</v>
      </c>
      <c r="Y295" s="17">
        <v>664.77300000000002</v>
      </c>
      <c r="Z295" s="17">
        <v>413.30099999999999</v>
      </c>
      <c r="AA295" s="17">
        <v>435.67599999999999</v>
      </c>
      <c r="AB295" s="17">
        <v>419.22300000000001</v>
      </c>
      <c r="AC295" s="17">
        <v>405.71600000000001</v>
      </c>
      <c r="AD295" s="17">
        <v>417.59</v>
      </c>
      <c r="AE295" s="17">
        <v>405.52600000000001</v>
      </c>
    </row>
    <row r="296" spans="1:31" x14ac:dyDescent="0.35">
      <c r="A296" s="3">
        <f t="shared" si="100"/>
        <v>280</v>
      </c>
      <c r="B296" s="17">
        <v>419.74700000000001</v>
      </c>
      <c r="C296" s="17">
        <v>422.73</v>
      </c>
      <c r="D296" s="17">
        <v>411.98599999999999</v>
      </c>
      <c r="E296" s="17">
        <v>434.23200000000003</v>
      </c>
      <c r="F296" s="17">
        <v>408.81900000000002</v>
      </c>
      <c r="G296" s="17">
        <v>416.06299999999999</v>
      </c>
      <c r="H296" s="17">
        <v>403.85700000000003</v>
      </c>
      <c r="I296" s="17">
        <v>482.97399999999999</v>
      </c>
      <c r="J296" s="17">
        <v>415.72500000000002</v>
      </c>
      <c r="K296" s="17">
        <v>453.36399999999998</v>
      </c>
      <c r="L296" s="17">
        <v>414.95299999999997</v>
      </c>
      <c r="M296" s="17">
        <v>445.15800000000002</v>
      </c>
      <c r="N296" s="17">
        <v>416.36399999999998</v>
      </c>
      <c r="O296" s="17">
        <v>418.58100000000002</v>
      </c>
      <c r="P296" s="17">
        <v>551.56600000000003</v>
      </c>
      <c r="Q296" s="17">
        <v>436.238</v>
      </c>
      <c r="R296" s="17"/>
      <c r="S296" s="17">
        <v>459.709</v>
      </c>
      <c r="T296" s="17"/>
      <c r="U296" s="17">
        <v>408.11099999999999</v>
      </c>
      <c r="V296" s="17">
        <v>416.827</v>
      </c>
      <c r="W296" s="17"/>
      <c r="X296" s="17">
        <v>438.07100000000003</v>
      </c>
      <c r="Y296" s="17">
        <v>664.03499999999997</v>
      </c>
      <c r="Z296" s="17">
        <v>413.87299999999999</v>
      </c>
      <c r="AA296" s="17">
        <v>436.73899999999998</v>
      </c>
      <c r="AB296" s="17">
        <v>421.32400000000001</v>
      </c>
      <c r="AC296" s="17">
        <v>405.839</v>
      </c>
      <c r="AD296" s="17">
        <v>417.89800000000002</v>
      </c>
      <c r="AE296" s="17">
        <v>405.52199999999999</v>
      </c>
    </row>
    <row r="297" spans="1:31" x14ac:dyDescent="0.35">
      <c r="A297" s="3">
        <f t="shared" si="100"/>
        <v>281</v>
      </c>
      <c r="B297" s="17">
        <v>419.14100000000002</v>
      </c>
      <c r="C297" s="17">
        <v>423.38799999999998</v>
      </c>
      <c r="D297" s="17">
        <v>411.48700000000002</v>
      </c>
      <c r="E297" s="17">
        <v>434.83</v>
      </c>
      <c r="F297" s="17">
        <v>408.84100000000001</v>
      </c>
      <c r="G297" s="17">
        <v>416.70299999999997</v>
      </c>
      <c r="H297" s="17">
        <v>403.31700000000001</v>
      </c>
      <c r="I297" s="17">
        <v>482.55900000000003</v>
      </c>
      <c r="J297" s="17">
        <v>415.59100000000001</v>
      </c>
      <c r="K297" s="17">
        <v>453.62400000000002</v>
      </c>
      <c r="L297" s="17">
        <v>416.11700000000002</v>
      </c>
      <c r="M297" s="17">
        <v>445.779</v>
      </c>
      <c r="N297" s="17">
        <v>416.26299999999998</v>
      </c>
      <c r="O297" s="17">
        <v>418.44099999999997</v>
      </c>
      <c r="P297" s="17">
        <v>551.94600000000003</v>
      </c>
      <c r="Q297" s="17">
        <v>435.45400000000001</v>
      </c>
      <c r="R297" s="17"/>
      <c r="S297" s="17">
        <v>459.666</v>
      </c>
      <c r="T297" s="17"/>
      <c r="U297" s="17">
        <v>407.71499999999997</v>
      </c>
      <c r="V297" s="17">
        <v>416.95600000000002</v>
      </c>
      <c r="W297" s="17"/>
      <c r="X297" s="17">
        <v>438.94099999999997</v>
      </c>
      <c r="Y297" s="17">
        <v>664.72400000000005</v>
      </c>
      <c r="Z297" s="17">
        <v>413.25700000000001</v>
      </c>
      <c r="AA297" s="17">
        <v>438.25200000000001</v>
      </c>
      <c r="AB297" s="17">
        <v>417.827</v>
      </c>
      <c r="AC297" s="17">
        <v>405.71100000000001</v>
      </c>
      <c r="AD297" s="17">
        <v>417.471</v>
      </c>
      <c r="AE297" s="17">
        <v>403.45299999999997</v>
      </c>
    </row>
    <row r="298" spans="1:31" x14ac:dyDescent="0.35">
      <c r="A298" s="3">
        <f t="shared" si="100"/>
        <v>282</v>
      </c>
      <c r="B298" s="17">
        <v>418.512</v>
      </c>
      <c r="C298" s="17">
        <v>423.983</v>
      </c>
      <c r="D298" s="17">
        <v>412.49299999999999</v>
      </c>
      <c r="E298" s="17">
        <v>434.05799999999999</v>
      </c>
      <c r="F298" s="17">
        <v>409.74700000000001</v>
      </c>
      <c r="G298" s="17">
        <v>416.97899999999998</v>
      </c>
      <c r="H298" s="17">
        <v>404.03</v>
      </c>
      <c r="I298" s="17">
        <v>482.48</v>
      </c>
      <c r="J298" s="17">
        <v>416.20499999999998</v>
      </c>
      <c r="K298" s="17">
        <v>454.32299999999998</v>
      </c>
      <c r="L298" s="17">
        <v>415.59500000000003</v>
      </c>
      <c r="M298" s="17">
        <v>444.81400000000002</v>
      </c>
      <c r="N298" s="17">
        <v>416.81599999999997</v>
      </c>
      <c r="O298" s="17">
        <v>416.86099999999999</v>
      </c>
      <c r="P298" s="17">
        <v>550.92899999999997</v>
      </c>
      <c r="Q298" s="17">
        <v>436.685</v>
      </c>
      <c r="R298" s="17"/>
      <c r="S298" s="17">
        <v>460.02800000000002</v>
      </c>
      <c r="T298" s="17"/>
      <c r="U298" s="17">
        <v>407.08100000000002</v>
      </c>
      <c r="V298" s="17">
        <v>416.34199999999998</v>
      </c>
      <c r="W298" s="17"/>
      <c r="X298" s="17">
        <v>437.596</v>
      </c>
      <c r="Y298" s="17">
        <v>664.59</v>
      </c>
      <c r="Z298" s="17">
        <v>414.16800000000001</v>
      </c>
      <c r="AA298" s="17">
        <v>439.03899999999999</v>
      </c>
      <c r="AB298" s="17">
        <v>420.32499999999999</v>
      </c>
      <c r="AC298" s="17">
        <v>406.37</v>
      </c>
      <c r="AD298" s="17">
        <v>416.07100000000003</v>
      </c>
      <c r="AE298" s="17">
        <v>406.48200000000003</v>
      </c>
    </row>
    <row r="299" spans="1:31" x14ac:dyDescent="0.35">
      <c r="A299" s="3">
        <f t="shared" si="100"/>
        <v>283</v>
      </c>
      <c r="B299" s="17">
        <v>419.166</v>
      </c>
      <c r="C299" s="17">
        <v>423.45499999999998</v>
      </c>
      <c r="D299" s="17">
        <v>411.89100000000002</v>
      </c>
      <c r="E299" s="17">
        <v>434.54899999999998</v>
      </c>
      <c r="F299" s="17">
        <v>406.16500000000002</v>
      </c>
      <c r="G299" s="17">
        <v>416.185</v>
      </c>
      <c r="H299" s="17">
        <v>403.93599999999998</v>
      </c>
      <c r="I299" s="17">
        <v>483.29599999999999</v>
      </c>
      <c r="J299" s="17">
        <v>415.26</v>
      </c>
      <c r="K299" s="17">
        <v>452.14800000000002</v>
      </c>
      <c r="L299" s="17">
        <v>416.20699999999999</v>
      </c>
      <c r="M299" s="17">
        <v>445.01</v>
      </c>
      <c r="N299" s="17">
        <v>417.34399999999999</v>
      </c>
      <c r="O299" s="17">
        <v>418.012</v>
      </c>
      <c r="P299" s="17">
        <v>551.25699999999995</v>
      </c>
      <c r="Q299" s="17">
        <v>435.52300000000002</v>
      </c>
      <c r="R299" s="17"/>
      <c r="S299" s="17">
        <v>459.70299999999997</v>
      </c>
      <c r="T299" s="17"/>
      <c r="U299" s="17">
        <v>408.28899999999999</v>
      </c>
      <c r="V299" s="17">
        <v>417.25700000000001</v>
      </c>
      <c r="W299" s="17"/>
      <c r="X299" s="17">
        <v>438.22899999999998</v>
      </c>
      <c r="Y299" s="17">
        <v>665.07600000000002</v>
      </c>
      <c r="Z299" s="17">
        <v>414.44299999999998</v>
      </c>
      <c r="AA299" s="17">
        <v>437.36</v>
      </c>
      <c r="AB299" s="17">
        <v>419.44900000000001</v>
      </c>
      <c r="AC299" s="17">
        <v>404.95400000000001</v>
      </c>
      <c r="AD299" s="17">
        <v>417.10500000000002</v>
      </c>
      <c r="AE299" s="17">
        <v>408.18299999999999</v>
      </c>
    </row>
    <row r="300" spans="1:31" x14ac:dyDescent="0.35">
      <c r="A300" s="3">
        <f t="shared" si="100"/>
        <v>284</v>
      </c>
      <c r="B300" s="17">
        <v>419.04300000000001</v>
      </c>
      <c r="C300" s="17">
        <v>424.38400000000001</v>
      </c>
      <c r="D300" s="17">
        <v>413.13</v>
      </c>
      <c r="E300" s="17">
        <v>434.17599999999999</v>
      </c>
      <c r="F300" s="17">
        <v>409.38400000000001</v>
      </c>
      <c r="G300" s="17">
        <v>416.61</v>
      </c>
      <c r="H300" s="17">
        <v>402.50599999999997</v>
      </c>
      <c r="I300" s="17">
        <v>483.29399999999998</v>
      </c>
      <c r="J300" s="17">
        <v>417.43200000000002</v>
      </c>
      <c r="K300" s="17">
        <v>453.48399999999998</v>
      </c>
      <c r="L300" s="17">
        <v>415.97300000000001</v>
      </c>
      <c r="M300" s="17">
        <v>444.80399999999997</v>
      </c>
      <c r="N300" s="17">
        <v>418.19299999999998</v>
      </c>
      <c r="O300" s="17">
        <v>416.67500000000001</v>
      </c>
      <c r="P300" s="17">
        <v>551.32000000000005</v>
      </c>
      <c r="Q300" s="17">
        <v>436.08499999999998</v>
      </c>
      <c r="R300" s="17"/>
      <c r="S300" s="17">
        <v>459.58600000000001</v>
      </c>
      <c r="T300" s="17"/>
      <c r="U300" s="17">
        <v>407.64600000000002</v>
      </c>
      <c r="V300" s="17">
        <v>417.44499999999999</v>
      </c>
      <c r="W300" s="17"/>
      <c r="X300" s="17">
        <v>437.65899999999999</v>
      </c>
      <c r="Y300" s="17">
        <v>664.18</v>
      </c>
      <c r="Z300" s="17">
        <v>414.41300000000001</v>
      </c>
      <c r="AA300" s="17">
        <v>436.34500000000003</v>
      </c>
      <c r="AB300" s="17">
        <v>420.66500000000002</v>
      </c>
      <c r="AC300" s="17">
        <v>404.46600000000001</v>
      </c>
      <c r="AD300" s="17">
        <v>417.74200000000002</v>
      </c>
      <c r="AE300" s="17">
        <v>405.5</v>
      </c>
    </row>
    <row r="301" spans="1:31" x14ac:dyDescent="0.35">
      <c r="A301" s="3">
        <f t="shared" si="100"/>
        <v>285</v>
      </c>
      <c r="B301" s="17">
        <v>418.91399999999999</v>
      </c>
      <c r="C301" s="17">
        <v>422.64</v>
      </c>
      <c r="D301" s="17">
        <v>412.00099999999998</v>
      </c>
      <c r="E301" s="17">
        <v>434.351</v>
      </c>
      <c r="F301" s="17">
        <v>408.27100000000002</v>
      </c>
      <c r="G301" s="17">
        <v>416.40899999999999</v>
      </c>
      <c r="H301" s="17">
        <v>403.37599999999998</v>
      </c>
      <c r="I301" s="17">
        <v>482.39</v>
      </c>
      <c r="J301" s="17">
        <v>415.02</v>
      </c>
      <c r="K301" s="17">
        <v>452.64</v>
      </c>
      <c r="L301" s="17">
        <v>416.09899999999999</v>
      </c>
      <c r="M301" s="17">
        <v>445.79199999999997</v>
      </c>
      <c r="N301" s="17">
        <v>416.68299999999999</v>
      </c>
      <c r="O301" s="17">
        <v>418.90199999999999</v>
      </c>
      <c r="P301" s="17">
        <v>551.83100000000002</v>
      </c>
      <c r="Q301" s="17">
        <v>437.298</v>
      </c>
      <c r="R301" s="17"/>
      <c r="S301" s="17">
        <v>459.75400000000002</v>
      </c>
      <c r="T301" s="17"/>
      <c r="U301" s="17">
        <v>406.66699999999997</v>
      </c>
      <c r="V301" s="17">
        <v>418.97399999999999</v>
      </c>
      <c r="W301" s="17"/>
      <c r="X301" s="17">
        <v>437.08199999999999</v>
      </c>
      <c r="Y301" s="17">
        <v>663.12800000000004</v>
      </c>
      <c r="Z301" s="17">
        <v>414.089</v>
      </c>
      <c r="AA301" s="17">
        <v>437.69200000000001</v>
      </c>
      <c r="AB301" s="17">
        <v>419.61799999999999</v>
      </c>
      <c r="AC301" s="17">
        <v>405.541</v>
      </c>
      <c r="AD301" s="17">
        <v>417.19900000000001</v>
      </c>
      <c r="AE301" s="17">
        <v>404.601</v>
      </c>
    </row>
    <row r="302" spans="1:31" x14ac:dyDescent="0.35">
      <c r="A302" s="3">
        <f t="shared" si="100"/>
        <v>286</v>
      </c>
      <c r="B302" s="17">
        <v>419.85500000000002</v>
      </c>
      <c r="C302" s="17">
        <v>423.202</v>
      </c>
      <c r="D302" s="17">
        <v>412.32799999999997</v>
      </c>
      <c r="E302" s="17">
        <v>434.56299999999999</v>
      </c>
      <c r="F302" s="17">
        <v>409.654</v>
      </c>
      <c r="G302" s="17">
        <v>417.11500000000001</v>
      </c>
      <c r="H302" s="17">
        <v>403.077</v>
      </c>
      <c r="I302" s="17">
        <v>482.6</v>
      </c>
      <c r="J302" s="17">
        <v>416.27100000000002</v>
      </c>
      <c r="K302" s="17">
        <v>453.16</v>
      </c>
      <c r="L302" s="17">
        <v>415.851</v>
      </c>
      <c r="M302" s="17">
        <v>444.577</v>
      </c>
      <c r="N302" s="17">
        <v>417.18299999999999</v>
      </c>
      <c r="O302" s="17">
        <v>418.03899999999999</v>
      </c>
      <c r="P302" s="17">
        <v>552.28499999999997</v>
      </c>
      <c r="Q302" s="17">
        <v>436.452</v>
      </c>
      <c r="R302" s="17"/>
      <c r="S302" s="17">
        <v>459.78500000000003</v>
      </c>
      <c r="T302" s="17"/>
      <c r="U302" s="17">
        <v>407.89499999999998</v>
      </c>
      <c r="V302" s="17">
        <v>418.22399999999999</v>
      </c>
      <c r="W302" s="17"/>
      <c r="X302" s="17">
        <v>439.78699999999998</v>
      </c>
      <c r="Y302" s="17">
        <v>664.46400000000006</v>
      </c>
      <c r="Z302" s="17">
        <v>414.392</v>
      </c>
      <c r="AA302" s="17">
        <v>437.50200000000001</v>
      </c>
      <c r="AB302" s="17">
        <v>419.6</v>
      </c>
      <c r="AC302" s="17">
        <v>404.39800000000002</v>
      </c>
      <c r="AD302" s="17">
        <v>416.83199999999999</v>
      </c>
      <c r="AE302" s="17">
        <v>403.20699999999999</v>
      </c>
    </row>
    <row r="303" spans="1:31" x14ac:dyDescent="0.35">
      <c r="A303" s="3">
        <f t="shared" si="100"/>
        <v>287</v>
      </c>
      <c r="B303" s="17">
        <v>417.83100000000002</v>
      </c>
      <c r="C303" s="17">
        <v>424.16</v>
      </c>
      <c r="D303" s="17">
        <v>412.92</v>
      </c>
      <c r="E303" s="17">
        <v>434.49599999999998</v>
      </c>
      <c r="F303" s="17">
        <v>409.16</v>
      </c>
      <c r="G303" s="17">
        <v>417.642</v>
      </c>
      <c r="H303" s="17">
        <v>403.72</v>
      </c>
      <c r="I303" s="17">
        <v>483.27</v>
      </c>
      <c r="J303" s="17">
        <v>416.40899999999999</v>
      </c>
      <c r="K303" s="17">
        <v>452.471</v>
      </c>
      <c r="L303" s="17">
        <v>415.839</v>
      </c>
      <c r="M303" s="17">
        <v>443.93099999999998</v>
      </c>
      <c r="N303" s="17">
        <v>416.79599999999999</v>
      </c>
      <c r="O303" s="17">
        <v>418.56799999999998</v>
      </c>
      <c r="P303" s="17">
        <v>552.35799999999995</v>
      </c>
      <c r="Q303" s="17">
        <v>436.26600000000002</v>
      </c>
      <c r="R303" s="17"/>
      <c r="S303" s="17">
        <v>459.59699999999998</v>
      </c>
      <c r="T303" s="17"/>
      <c r="U303" s="17">
        <v>406.71100000000001</v>
      </c>
      <c r="V303" s="17">
        <v>417.49799999999999</v>
      </c>
      <c r="W303" s="17"/>
      <c r="X303" s="17">
        <v>438.346</v>
      </c>
      <c r="Y303" s="17">
        <v>663.35</v>
      </c>
      <c r="Z303" s="17">
        <v>414.24700000000001</v>
      </c>
      <c r="AA303" s="17">
        <v>436.84800000000001</v>
      </c>
      <c r="AB303" s="17">
        <v>420.91399999999999</v>
      </c>
      <c r="AC303" s="17">
        <v>404.85700000000003</v>
      </c>
      <c r="AD303" s="17">
        <v>417.73</v>
      </c>
      <c r="AE303" s="17">
        <v>404.86700000000002</v>
      </c>
    </row>
    <row r="304" spans="1:31" x14ac:dyDescent="0.35">
      <c r="A304" s="3">
        <f t="shared" si="100"/>
        <v>288</v>
      </c>
      <c r="B304" s="17">
        <v>417.459</v>
      </c>
      <c r="C304" s="17">
        <v>423.74200000000002</v>
      </c>
      <c r="D304" s="17">
        <v>412.95499999999998</v>
      </c>
      <c r="E304" s="17">
        <v>435.74900000000002</v>
      </c>
      <c r="F304" s="17">
        <v>408.846</v>
      </c>
      <c r="G304" s="17">
        <v>416.82100000000003</v>
      </c>
      <c r="H304" s="17">
        <v>403.15199999999999</v>
      </c>
      <c r="I304" s="17">
        <v>482.4</v>
      </c>
      <c r="J304" s="17">
        <v>415.50200000000001</v>
      </c>
      <c r="K304" s="17">
        <v>453.19299999999998</v>
      </c>
      <c r="L304" s="17">
        <v>416.678</v>
      </c>
      <c r="M304" s="17">
        <v>444.49400000000003</v>
      </c>
      <c r="N304" s="17">
        <v>416.62299999999999</v>
      </c>
      <c r="O304" s="17">
        <v>418.33499999999998</v>
      </c>
      <c r="P304" s="17">
        <v>551.85699999999997</v>
      </c>
      <c r="Q304" s="17">
        <v>437.10300000000001</v>
      </c>
      <c r="R304" s="17"/>
      <c r="S304" s="17">
        <v>459.55099999999999</v>
      </c>
      <c r="T304" s="17"/>
      <c r="U304" s="17">
        <v>408.69099999999997</v>
      </c>
      <c r="V304" s="17">
        <v>419.202</v>
      </c>
      <c r="W304" s="17"/>
      <c r="X304" s="17">
        <v>439.84300000000002</v>
      </c>
      <c r="Y304" s="17">
        <v>664.14599999999996</v>
      </c>
      <c r="Z304" s="17">
        <v>413.52499999999998</v>
      </c>
      <c r="AA304" s="17">
        <v>437.72399999999999</v>
      </c>
      <c r="AB304" s="17">
        <v>419.94799999999998</v>
      </c>
      <c r="AC304" s="17">
        <v>405.709</v>
      </c>
      <c r="AD304" s="17">
        <v>418.20499999999998</v>
      </c>
      <c r="AE304" s="17">
        <v>406.34199999999998</v>
      </c>
    </row>
    <row r="305" spans="1:31" x14ac:dyDescent="0.35">
      <c r="A305" s="3">
        <f t="shared" si="100"/>
        <v>289</v>
      </c>
      <c r="B305" s="17">
        <v>419.30700000000002</v>
      </c>
      <c r="C305" s="17">
        <v>424.54199999999997</v>
      </c>
      <c r="D305" s="17">
        <v>413.25299999999999</v>
      </c>
      <c r="E305" s="17">
        <v>433.95499999999998</v>
      </c>
      <c r="F305" s="17">
        <v>408.74299999999999</v>
      </c>
      <c r="G305" s="17">
        <v>417.71899999999999</v>
      </c>
      <c r="H305" s="17">
        <v>403.81799999999998</v>
      </c>
      <c r="I305" s="17">
        <v>482.33800000000002</v>
      </c>
      <c r="J305" s="17">
        <v>416.161</v>
      </c>
      <c r="K305" s="17">
        <v>454.399</v>
      </c>
      <c r="L305" s="17">
        <v>414.80099999999999</v>
      </c>
      <c r="M305" s="17">
        <v>445.916</v>
      </c>
      <c r="N305" s="17">
        <v>417.935</v>
      </c>
      <c r="O305" s="17">
        <v>418.03899999999999</v>
      </c>
      <c r="P305" s="17">
        <v>552.31399999999996</v>
      </c>
      <c r="Q305" s="17">
        <v>436.87400000000002</v>
      </c>
      <c r="R305" s="17"/>
      <c r="S305" s="17">
        <v>459.41</v>
      </c>
      <c r="T305" s="17"/>
      <c r="U305" s="17">
        <v>407.39100000000002</v>
      </c>
      <c r="V305" s="17">
        <v>417.83199999999999</v>
      </c>
      <c r="W305" s="17"/>
      <c r="X305" s="17">
        <v>437.25900000000001</v>
      </c>
      <c r="Y305" s="17">
        <v>664.005</v>
      </c>
      <c r="Z305" s="17">
        <v>413.77199999999999</v>
      </c>
      <c r="AA305" s="17">
        <v>439.33100000000002</v>
      </c>
      <c r="AB305" s="17">
        <v>419.77699999999999</v>
      </c>
      <c r="AC305" s="17">
        <v>405.61</v>
      </c>
      <c r="AD305" s="17">
        <v>417.63400000000001</v>
      </c>
      <c r="AE305" s="17">
        <v>406.40100000000001</v>
      </c>
    </row>
    <row r="306" spans="1:31" x14ac:dyDescent="0.35">
      <c r="A306" s="3">
        <f t="shared" ref="A306:A316" si="101">A305+1</f>
        <v>290</v>
      </c>
      <c r="B306" s="17">
        <v>419.55399999999997</v>
      </c>
      <c r="C306" s="17">
        <v>423.97</v>
      </c>
      <c r="D306" s="17">
        <v>414.26</v>
      </c>
      <c r="E306" s="17">
        <v>433.97399999999999</v>
      </c>
      <c r="F306" s="17">
        <v>407.98200000000003</v>
      </c>
      <c r="G306" s="17">
        <v>416.59</v>
      </c>
      <c r="H306" s="17">
        <v>402.83499999999998</v>
      </c>
      <c r="I306" s="17">
        <v>482.40699999999998</v>
      </c>
      <c r="J306" s="17">
        <v>415.68400000000003</v>
      </c>
      <c r="K306" s="17">
        <v>454.04700000000003</v>
      </c>
      <c r="L306" s="17">
        <v>417.56</v>
      </c>
      <c r="M306" s="17">
        <v>443.72800000000001</v>
      </c>
      <c r="N306" s="17">
        <v>418.08</v>
      </c>
      <c r="O306" s="17">
        <v>418.28199999999998</v>
      </c>
      <c r="P306" s="17">
        <v>552.37199999999996</v>
      </c>
      <c r="Q306" s="17">
        <v>435.62799999999999</v>
      </c>
      <c r="R306" s="17"/>
      <c r="S306" s="17">
        <v>458.839</v>
      </c>
      <c r="T306" s="17"/>
      <c r="U306" s="17">
        <v>408.49700000000001</v>
      </c>
      <c r="V306" s="17">
        <v>418.22300000000001</v>
      </c>
      <c r="W306" s="17"/>
      <c r="X306" s="17">
        <v>439.214</v>
      </c>
      <c r="Y306" s="17">
        <v>662.75099999999998</v>
      </c>
      <c r="Z306" s="17">
        <v>414.44200000000001</v>
      </c>
      <c r="AA306" s="17">
        <v>437.38099999999997</v>
      </c>
      <c r="AB306" s="17">
        <v>419.197</v>
      </c>
      <c r="AC306" s="17">
        <v>405.483</v>
      </c>
      <c r="AD306" s="17">
        <v>417.50900000000001</v>
      </c>
      <c r="AE306" s="17">
        <v>403.589</v>
      </c>
    </row>
    <row r="307" spans="1:31" x14ac:dyDescent="0.35">
      <c r="A307" s="3">
        <f t="shared" si="101"/>
        <v>291</v>
      </c>
      <c r="B307" s="17">
        <v>419.79</v>
      </c>
      <c r="C307" s="17">
        <v>423.48700000000002</v>
      </c>
      <c r="D307" s="17">
        <v>413.10599999999999</v>
      </c>
      <c r="E307" s="17">
        <v>435.11799999999999</v>
      </c>
      <c r="F307" s="17">
        <v>408.53699999999998</v>
      </c>
      <c r="G307" s="17">
        <v>417.36599999999999</v>
      </c>
      <c r="H307" s="17">
        <v>403.55700000000002</v>
      </c>
      <c r="I307" s="17">
        <v>483.26499999999999</v>
      </c>
      <c r="J307" s="17">
        <v>416.10399999999998</v>
      </c>
      <c r="K307" s="17">
        <v>453.06400000000002</v>
      </c>
      <c r="L307" s="17">
        <v>416.13299999999998</v>
      </c>
      <c r="M307" s="17">
        <v>443.82400000000001</v>
      </c>
      <c r="N307" s="17">
        <v>418.37400000000002</v>
      </c>
      <c r="O307" s="17">
        <v>418.16399999999999</v>
      </c>
      <c r="P307" s="17">
        <v>552.60400000000004</v>
      </c>
      <c r="Q307" s="17">
        <v>435.91300000000001</v>
      </c>
      <c r="R307" s="17"/>
      <c r="S307" s="17">
        <v>460.66500000000002</v>
      </c>
      <c r="T307" s="17"/>
      <c r="U307" s="17">
        <v>407.53699999999998</v>
      </c>
      <c r="V307" s="17">
        <v>417.34199999999998</v>
      </c>
      <c r="W307" s="17"/>
      <c r="X307" s="17">
        <v>439.35899999999998</v>
      </c>
      <c r="Y307" s="17">
        <v>664.07799999999997</v>
      </c>
      <c r="Z307" s="17">
        <v>414.10199999999998</v>
      </c>
      <c r="AA307" s="17">
        <v>438.98</v>
      </c>
      <c r="AB307" s="17">
        <v>422.02</v>
      </c>
      <c r="AC307" s="17">
        <v>406.22300000000001</v>
      </c>
      <c r="AD307" s="17">
        <v>417.89400000000001</v>
      </c>
      <c r="AE307" s="17">
        <v>403.29</v>
      </c>
    </row>
    <row r="308" spans="1:31" x14ac:dyDescent="0.35">
      <c r="A308" s="3">
        <f t="shared" si="101"/>
        <v>292</v>
      </c>
      <c r="B308" s="17">
        <v>419.10199999999998</v>
      </c>
      <c r="C308" s="17">
        <v>423.79300000000001</v>
      </c>
      <c r="D308" s="17">
        <v>412.74</v>
      </c>
      <c r="E308" s="17">
        <v>435.87799999999999</v>
      </c>
      <c r="F308" s="17">
        <v>408.99200000000002</v>
      </c>
      <c r="G308" s="17">
        <v>416.56599999999997</v>
      </c>
      <c r="H308" s="17">
        <v>402.41699999999997</v>
      </c>
      <c r="I308" s="17">
        <v>483.32900000000001</v>
      </c>
      <c r="J308" s="17">
        <v>415.86</v>
      </c>
      <c r="K308" s="17">
        <v>452.62900000000002</v>
      </c>
      <c r="L308" s="17">
        <v>417.21300000000002</v>
      </c>
      <c r="M308" s="17">
        <v>444.07499999999999</v>
      </c>
      <c r="N308" s="17">
        <v>418.33</v>
      </c>
      <c r="O308" s="17">
        <v>417.17500000000001</v>
      </c>
      <c r="P308" s="17">
        <v>552.65300000000002</v>
      </c>
      <c r="Q308" s="17">
        <v>436.45100000000002</v>
      </c>
      <c r="R308" s="17"/>
      <c r="S308" s="17">
        <v>459.65499999999997</v>
      </c>
      <c r="T308" s="17"/>
      <c r="U308" s="17">
        <v>407.19799999999998</v>
      </c>
      <c r="V308" s="17">
        <v>419.41699999999997</v>
      </c>
      <c r="W308" s="17"/>
      <c r="X308" s="17">
        <v>437.90499999999997</v>
      </c>
      <c r="Y308" s="17">
        <v>663.43899999999996</v>
      </c>
      <c r="Z308" s="17">
        <v>414.19200000000001</v>
      </c>
      <c r="AA308" s="17">
        <v>437.46699999999998</v>
      </c>
      <c r="AB308" s="17">
        <v>420.46300000000002</v>
      </c>
      <c r="AC308" s="17">
        <v>406.38900000000001</v>
      </c>
      <c r="AD308" s="17">
        <v>417.21100000000001</v>
      </c>
      <c r="AE308" s="17">
        <v>408.81400000000002</v>
      </c>
    </row>
    <row r="309" spans="1:31" x14ac:dyDescent="0.35">
      <c r="A309" s="3">
        <f t="shared" si="101"/>
        <v>293</v>
      </c>
      <c r="B309" s="17">
        <v>419.77800000000002</v>
      </c>
      <c r="C309" s="17">
        <v>423.66199999999998</v>
      </c>
      <c r="D309" s="17">
        <v>413.35199999999998</v>
      </c>
      <c r="E309" s="17">
        <v>435.62299999999999</v>
      </c>
      <c r="F309" s="17">
        <v>408.29899999999998</v>
      </c>
      <c r="G309" s="17">
        <v>417.459</v>
      </c>
      <c r="H309" s="17">
        <v>403.40100000000001</v>
      </c>
      <c r="I309" s="17">
        <v>481.79199999999997</v>
      </c>
      <c r="J309" s="17">
        <v>415.59899999999999</v>
      </c>
      <c r="K309" s="17">
        <v>453.17099999999999</v>
      </c>
      <c r="L309" s="17">
        <v>415.17099999999999</v>
      </c>
      <c r="M309" s="17">
        <v>443.30399999999997</v>
      </c>
      <c r="N309" s="17">
        <v>417.38900000000001</v>
      </c>
      <c r="O309" s="17">
        <v>418.81900000000002</v>
      </c>
      <c r="P309" s="17">
        <v>551.82799999999997</v>
      </c>
      <c r="Q309" s="17">
        <v>436.90600000000001</v>
      </c>
      <c r="R309" s="17"/>
      <c r="S309" s="17">
        <v>460.286</v>
      </c>
      <c r="T309" s="17"/>
      <c r="U309" s="17">
        <v>408.58199999999999</v>
      </c>
      <c r="V309" s="17">
        <v>419.91399999999999</v>
      </c>
      <c r="W309" s="17"/>
      <c r="X309" s="17">
        <v>439.87200000000001</v>
      </c>
      <c r="Y309" s="17">
        <v>663.20500000000004</v>
      </c>
      <c r="Z309" s="17">
        <v>414.63900000000001</v>
      </c>
      <c r="AA309" s="17">
        <v>437.87400000000002</v>
      </c>
      <c r="AB309" s="17">
        <v>420.06700000000001</v>
      </c>
      <c r="AC309" s="17">
        <v>406.07</v>
      </c>
      <c r="AD309" s="17">
        <v>417.32499999999999</v>
      </c>
      <c r="AE309" s="17">
        <v>407.649</v>
      </c>
    </row>
    <row r="310" spans="1:31" x14ac:dyDescent="0.35">
      <c r="A310" s="3">
        <f t="shared" si="101"/>
        <v>294</v>
      </c>
      <c r="B310" s="17">
        <v>419.279</v>
      </c>
      <c r="C310" s="17">
        <v>424.089</v>
      </c>
      <c r="D310" s="17">
        <v>413.20299999999997</v>
      </c>
      <c r="E310" s="17">
        <v>434.62900000000002</v>
      </c>
      <c r="F310" s="17">
        <v>409.11</v>
      </c>
      <c r="G310" s="17">
        <v>418.76499999999999</v>
      </c>
      <c r="H310" s="17">
        <v>402.31</v>
      </c>
      <c r="I310" s="17">
        <v>482.315</v>
      </c>
      <c r="J310" s="17">
        <v>416.35700000000003</v>
      </c>
      <c r="K310" s="17">
        <v>453.19600000000003</v>
      </c>
      <c r="L310" s="17">
        <v>415.13499999999999</v>
      </c>
      <c r="M310" s="17">
        <v>442.83600000000001</v>
      </c>
      <c r="N310" s="17">
        <v>418.00900000000001</v>
      </c>
      <c r="O310" s="17">
        <v>419.24900000000002</v>
      </c>
      <c r="P310" s="17">
        <v>553.298</v>
      </c>
      <c r="Q310" s="17">
        <v>436.82499999999999</v>
      </c>
      <c r="R310" s="17"/>
      <c r="S310" s="17">
        <v>459.44099999999997</v>
      </c>
      <c r="T310" s="17"/>
      <c r="U310" s="17">
        <v>408.72199999999998</v>
      </c>
      <c r="V310" s="17">
        <v>418.72699999999998</v>
      </c>
      <c r="W310" s="17"/>
      <c r="X310" s="17">
        <v>439.10300000000001</v>
      </c>
      <c r="Y310" s="17">
        <v>663.74099999999999</v>
      </c>
      <c r="Z310" s="17">
        <v>413.68799999999999</v>
      </c>
      <c r="AA310" s="17">
        <v>437.721</v>
      </c>
      <c r="AB310" s="17">
        <v>421.48200000000003</v>
      </c>
      <c r="AC310" s="17">
        <v>405.48700000000002</v>
      </c>
      <c r="AD310" s="17">
        <v>418.61900000000003</v>
      </c>
      <c r="AE310" s="17">
        <v>404.46199999999999</v>
      </c>
    </row>
    <row r="311" spans="1:31" x14ac:dyDescent="0.35">
      <c r="A311" s="3">
        <f t="shared" si="101"/>
        <v>295</v>
      </c>
      <c r="B311" s="17">
        <v>419.56799999999998</v>
      </c>
      <c r="C311" s="17">
        <v>423.76</v>
      </c>
      <c r="D311" s="17">
        <v>412.86399999999998</v>
      </c>
      <c r="E311" s="17">
        <v>434.63900000000001</v>
      </c>
      <c r="F311" s="17">
        <v>408.62599999999998</v>
      </c>
      <c r="G311" s="17">
        <v>416.99700000000001</v>
      </c>
      <c r="H311" s="17">
        <v>403.601</v>
      </c>
      <c r="I311" s="17">
        <v>481.80500000000001</v>
      </c>
      <c r="J311" s="17">
        <v>416.03100000000001</v>
      </c>
      <c r="K311" s="17">
        <v>452.60700000000003</v>
      </c>
      <c r="L311" s="17">
        <v>417.08100000000002</v>
      </c>
      <c r="M311" s="17">
        <v>444.16199999999998</v>
      </c>
      <c r="N311" s="17">
        <v>418.55200000000002</v>
      </c>
      <c r="O311" s="17">
        <v>419.10399999999998</v>
      </c>
      <c r="P311" s="17">
        <v>553.08900000000006</v>
      </c>
      <c r="Q311" s="17">
        <v>436.11700000000002</v>
      </c>
      <c r="R311" s="17"/>
      <c r="S311" s="17">
        <v>459.60500000000002</v>
      </c>
      <c r="T311" s="17"/>
      <c r="U311" s="17">
        <v>407.06099999999998</v>
      </c>
      <c r="V311" s="17">
        <v>420.21600000000001</v>
      </c>
      <c r="W311" s="17"/>
      <c r="X311" s="17">
        <v>437.59199999999998</v>
      </c>
      <c r="Y311" s="17">
        <v>663.53300000000002</v>
      </c>
      <c r="Z311" s="17">
        <v>414.61900000000003</v>
      </c>
      <c r="AA311" s="17">
        <v>439.02600000000001</v>
      </c>
      <c r="AB311" s="17">
        <v>420.08</v>
      </c>
      <c r="AC311" s="17">
        <v>406.84500000000003</v>
      </c>
      <c r="AD311" s="17">
        <v>418.81700000000001</v>
      </c>
      <c r="AE311" s="17">
        <v>407.065</v>
      </c>
    </row>
    <row r="312" spans="1:31" x14ac:dyDescent="0.35">
      <c r="A312" s="3">
        <f t="shared" si="101"/>
        <v>296</v>
      </c>
      <c r="B312" s="17">
        <v>419.36799999999999</v>
      </c>
      <c r="C312" s="17">
        <v>423.94499999999999</v>
      </c>
      <c r="D312" s="17">
        <v>413.07900000000001</v>
      </c>
      <c r="E312" s="17">
        <v>434.35899999999998</v>
      </c>
      <c r="F312" s="17">
        <v>409.56599999999997</v>
      </c>
      <c r="G312" s="17">
        <v>416.50099999999998</v>
      </c>
      <c r="H312" s="17">
        <v>403.17700000000002</v>
      </c>
      <c r="I312" s="17">
        <v>482.58499999999998</v>
      </c>
      <c r="J312" s="17">
        <v>415.87900000000002</v>
      </c>
      <c r="K312" s="17">
        <v>452.46100000000001</v>
      </c>
      <c r="L312" s="17">
        <v>417.63099999999997</v>
      </c>
      <c r="M312" s="17">
        <v>444.10700000000003</v>
      </c>
      <c r="N312" s="17">
        <v>418.351</v>
      </c>
      <c r="O312" s="17">
        <v>417.74299999999999</v>
      </c>
      <c r="P312" s="17">
        <v>552.66</v>
      </c>
      <c r="Q312" s="17">
        <v>436.834</v>
      </c>
      <c r="R312" s="17"/>
      <c r="S312" s="17">
        <v>460.012</v>
      </c>
      <c r="T312" s="17"/>
      <c r="U312" s="17">
        <v>408.51</v>
      </c>
      <c r="V312" s="17">
        <v>418.92200000000003</v>
      </c>
      <c r="W312" s="17"/>
      <c r="X312" s="17">
        <v>439.28800000000001</v>
      </c>
      <c r="Y312" s="17">
        <v>663.23800000000006</v>
      </c>
      <c r="Z312" s="17">
        <v>414.01100000000002</v>
      </c>
      <c r="AA312" s="17">
        <v>438.42399999999998</v>
      </c>
      <c r="AB312" s="17">
        <v>421.32100000000003</v>
      </c>
      <c r="AC312" s="17">
        <v>406.63900000000001</v>
      </c>
      <c r="AD312" s="17">
        <v>417.77499999999998</v>
      </c>
      <c r="AE312" s="17">
        <v>409.27600000000001</v>
      </c>
    </row>
    <row r="313" spans="1:31" x14ac:dyDescent="0.35">
      <c r="A313" s="3">
        <f t="shared" si="101"/>
        <v>297</v>
      </c>
      <c r="B313" s="17">
        <v>419.08499999999998</v>
      </c>
      <c r="C313" s="17">
        <v>423.767</v>
      </c>
      <c r="D313" s="17">
        <v>412.60500000000002</v>
      </c>
      <c r="E313" s="17">
        <v>434.89299999999997</v>
      </c>
      <c r="F313" s="17">
        <v>409.62700000000001</v>
      </c>
      <c r="G313" s="17">
        <v>417.94400000000002</v>
      </c>
      <c r="H313" s="17">
        <v>403.66399999999999</v>
      </c>
      <c r="I313" s="17">
        <v>482.27499999999998</v>
      </c>
      <c r="J313" s="17">
        <v>415.31200000000001</v>
      </c>
      <c r="K313" s="17">
        <v>453.47</v>
      </c>
      <c r="L313" s="17">
        <v>415.95600000000002</v>
      </c>
      <c r="M313" s="17">
        <v>443.26299999999998</v>
      </c>
      <c r="N313" s="17">
        <v>418.99599999999998</v>
      </c>
      <c r="O313" s="17">
        <v>419.48200000000003</v>
      </c>
      <c r="P313" s="17">
        <v>551.57299999999998</v>
      </c>
      <c r="Q313" s="17">
        <v>437.27300000000002</v>
      </c>
      <c r="R313" s="17"/>
      <c r="S313" s="17">
        <v>460.16</v>
      </c>
      <c r="T313" s="17"/>
      <c r="U313" s="17">
        <v>409.77300000000002</v>
      </c>
      <c r="V313" s="17">
        <v>418.721</v>
      </c>
      <c r="W313" s="17"/>
      <c r="X313" s="17">
        <v>440.39400000000001</v>
      </c>
      <c r="Y313" s="17">
        <v>663.58699999999999</v>
      </c>
      <c r="Z313" s="17">
        <v>415.49099999999999</v>
      </c>
      <c r="AA313" s="17">
        <v>438.18200000000002</v>
      </c>
      <c r="AB313" s="17">
        <v>420.31799999999998</v>
      </c>
      <c r="AC313" s="17">
        <v>405.524</v>
      </c>
      <c r="AD313" s="17">
        <v>418.52600000000001</v>
      </c>
      <c r="AE313" s="17">
        <v>405.51900000000001</v>
      </c>
    </row>
    <row r="314" spans="1:31" x14ac:dyDescent="0.35">
      <c r="A314" s="3">
        <f t="shared" si="101"/>
        <v>298</v>
      </c>
      <c r="B314" s="17">
        <v>418.98099999999999</v>
      </c>
      <c r="C314" s="17">
        <v>424.86200000000002</v>
      </c>
      <c r="D314" s="17">
        <v>413.93299999999999</v>
      </c>
      <c r="E314" s="17">
        <v>433.33600000000001</v>
      </c>
      <c r="F314" s="17">
        <v>408.66399999999999</v>
      </c>
      <c r="G314" s="17">
        <v>418.38400000000001</v>
      </c>
      <c r="H314" s="17">
        <v>402.92399999999998</v>
      </c>
      <c r="I314" s="17">
        <v>482.67099999999999</v>
      </c>
      <c r="J314" s="17">
        <v>415.58300000000003</v>
      </c>
      <c r="K314" s="17">
        <v>452.71899999999999</v>
      </c>
      <c r="L314" s="17">
        <v>416.375</v>
      </c>
      <c r="M314" s="17">
        <v>444.41300000000001</v>
      </c>
      <c r="N314" s="17">
        <v>418.87099999999998</v>
      </c>
      <c r="O314" s="17">
        <v>418.72800000000001</v>
      </c>
      <c r="P314" s="17">
        <v>552.41899999999998</v>
      </c>
      <c r="Q314" s="17">
        <v>436.98200000000003</v>
      </c>
      <c r="R314" s="17"/>
      <c r="S314" s="17">
        <v>459.64299999999997</v>
      </c>
      <c r="T314" s="17"/>
      <c r="U314" s="17">
        <v>407.83600000000001</v>
      </c>
      <c r="V314" s="17">
        <v>419.96199999999999</v>
      </c>
      <c r="W314" s="17"/>
      <c r="X314" s="17">
        <v>439.67099999999999</v>
      </c>
      <c r="Y314" s="17">
        <v>663.55100000000004</v>
      </c>
      <c r="Z314" s="17">
        <v>415.892</v>
      </c>
      <c r="AA314" s="17">
        <v>438.35599999999999</v>
      </c>
      <c r="AB314" s="17">
        <v>420.505</v>
      </c>
      <c r="AC314" s="17">
        <v>407.20299999999997</v>
      </c>
      <c r="AD314" s="17">
        <v>420.16899999999998</v>
      </c>
      <c r="AE314" s="17">
        <v>404.13</v>
      </c>
    </row>
    <row r="315" spans="1:31" x14ac:dyDescent="0.35">
      <c r="A315" s="3">
        <f t="shared" si="101"/>
        <v>299</v>
      </c>
      <c r="B315" s="17">
        <v>420.01900000000001</v>
      </c>
      <c r="C315" s="17">
        <v>424.76400000000001</v>
      </c>
      <c r="D315" s="17">
        <v>413.36</v>
      </c>
      <c r="E315" s="17">
        <v>433.13299999999998</v>
      </c>
      <c r="F315" s="17">
        <v>409.61900000000003</v>
      </c>
      <c r="G315" s="17">
        <v>416.52699999999999</v>
      </c>
      <c r="H315" s="17">
        <v>403.60399999999998</v>
      </c>
      <c r="I315" s="17">
        <v>483.02600000000001</v>
      </c>
      <c r="J315" s="17">
        <v>417.02699999999999</v>
      </c>
      <c r="K315" s="17">
        <v>452.96199999999999</v>
      </c>
      <c r="L315" s="17">
        <v>416.05599999999998</v>
      </c>
      <c r="M315" s="17">
        <v>444.57799999999997</v>
      </c>
      <c r="N315" s="17">
        <v>418.77499999999998</v>
      </c>
      <c r="O315" s="17">
        <v>418.29</v>
      </c>
      <c r="P315" s="17">
        <v>552.48599999999999</v>
      </c>
      <c r="Q315" s="17">
        <v>437.52499999999998</v>
      </c>
      <c r="R315" s="17"/>
      <c r="S315" s="17">
        <v>458.85199999999998</v>
      </c>
      <c r="T315" s="17"/>
      <c r="U315" s="17">
        <v>408.87700000000001</v>
      </c>
      <c r="V315" s="17">
        <v>419.82100000000003</v>
      </c>
      <c r="W315" s="17"/>
      <c r="X315" s="17">
        <v>438.553</v>
      </c>
      <c r="Y315" s="17">
        <v>662.78499999999997</v>
      </c>
      <c r="Z315" s="17">
        <v>415.262</v>
      </c>
      <c r="AA315" s="17">
        <v>436.43700000000001</v>
      </c>
      <c r="AB315" s="17">
        <v>420.85700000000003</v>
      </c>
      <c r="AC315" s="17">
        <v>406.65199999999999</v>
      </c>
      <c r="AD315" s="17">
        <v>420.07600000000002</v>
      </c>
      <c r="AE315" s="17">
        <v>407.72199999999998</v>
      </c>
    </row>
    <row r="316" spans="1:31" x14ac:dyDescent="0.35">
      <c r="A316" s="3">
        <f t="shared" si="101"/>
        <v>300</v>
      </c>
      <c r="B316" s="17">
        <v>420.66399999999999</v>
      </c>
      <c r="C316" s="17">
        <v>424.767</v>
      </c>
      <c r="D316" s="17">
        <v>412.19499999999999</v>
      </c>
      <c r="E316" s="17">
        <v>428.63499999999999</v>
      </c>
      <c r="F316" s="17">
        <v>409.21</v>
      </c>
      <c r="G316" s="17">
        <v>418.00200000000001</v>
      </c>
      <c r="H316" s="17">
        <v>403.64299999999997</v>
      </c>
      <c r="I316" s="17">
        <v>482.58699999999999</v>
      </c>
      <c r="J316" s="17">
        <v>415.39600000000002</v>
      </c>
      <c r="K316" s="17">
        <v>453.017</v>
      </c>
      <c r="L316" s="17">
        <v>415.46</v>
      </c>
      <c r="M316" s="17">
        <v>443.745</v>
      </c>
      <c r="N316" s="17">
        <v>418.33699999999999</v>
      </c>
      <c r="O316" s="17">
        <v>418.40600000000001</v>
      </c>
      <c r="P316" s="17">
        <v>552.83100000000002</v>
      </c>
      <c r="Q316" s="17">
        <v>437.041</v>
      </c>
      <c r="R316" s="17"/>
      <c r="S316" s="17">
        <v>458.77499999999998</v>
      </c>
      <c r="T316" s="17"/>
      <c r="U316" s="17">
        <v>407.80200000000002</v>
      </c>
      <c r="V316" s="17">
        <v>420.68700000000001</v>
      </c>
      <c r="W316" s="17"/>
      <c r="X316" s="17">
        <v>440.51400000000001</v>
      </c>
      <c r="Y316" s="17">
        <v>661.97400000000005</v>
      </c>
      <c r="Z316" s="17">
        <v>415.12400000000002</v>
      </c>
      <c r="AA316" s="17">
        <v>437.73700000000002</v>
      </c>
      <c r="AB316" s="17">
        <v>420.00799999999998</v>
      </c>
      <c r="AC316" s="17">
        <v>406.685</v>
      </c>
      <c r="AD316" s="17">
        <v>416.154</v>
      </c>
      <c r="AE316" s="17">
        <v>404.20699999999999</v>
      </c>
    </row>
    <row r="317" spans="1:31" x14ac:dyDescent="0.35">
      <c r="R317" s="17"/>
    </row>
  </sheetData>
  <conditionalFormatting sqref="C10">
    <cfRule type="cellIs" dxfId="64" priority="90" operator="lessThan">
      <formula>300</formula>
    </cfRule>
  </conditionalFormatting>
  <conditionalFormatting sqref="C5">
    <cfRule type="cellIs" dxfId="63" priority="89" operator="lessThan">
      <formula>0.9</formula>
    </cfRule>
  </conditionalFormatting>
  <conditionalFormatting sqref="D10">
    <cfRule type="cellIs" dxfId="62" priority="86" operator="lessThan">
      <formula>300</formula>
    </cfRule>
  </conditionalFormatting>
  <conditionalFormatting sqref="D5">
    <cfRule type="cellIs" dxfId="61" priority="85" operator="lessThan">
      <formula>0.9</formula>
    </cfRule>
  </conditionalFormatting>
  <conditionalFormatting sqref="A5">
    <cfRule type="cellIs" dxfId="60" priority="84" operator="lessThan">
      <formula>0.9</formula>
    </cfRule>
  </conditionalFormatting>
  <conditionalFormatting sqref="A10">
    <cfRule type="cellIs" dxfId="59" priority="83" operator="lessThan">
      <formula>300</formula>
    </cfRule>
  </conditionalFormatting>
  <conditionalFormatting sqref="F10">
    <cfRule type="cellIs" dxfId="58" priority="82" operator="lessThan">
      <formula>300</formula>
    </cfRule>
  </conditionalFormatting>
  <conditionalFormatting sqref="F5">
    <cfRule type="cellIs" dxfId="57" priority="81" operator="lessThan">
      <formula>0.9</formula>
    </cfRule>
  </conditionalFormatting>
  <conditionalFormatting sqref="J10">
    <cfRule type="cellIs" dxfId="56" priority="74" operator="lessThan">
      <formula>300</formula>
    </cfRule>
  </conditionalFormatting>
  <conditionalFormatting sqref="J5">
    <cfRule type="cellIs" dxfId="55" priority="73" operator="lessThan">
      <formula>0.9</formula>
    </cfRule>
  </conditionalFormatting>
  <conditionalFormatting sqref="H10">
    <cfRule type="cellIs" dxfId="54" priority="78" operator="lessThan">
      <formula>300</formula>
    </cfRule>
  </conditionalFormatting>
  <conditionalFormatting sqref="H5">
    <cfRule type="cellIs" dxfId="53" priority="77" operator="lessThan">
      <formula>0.9</formula>
    </cfRule>
  </conditionalFormatting>
  <conditionalFormatting sqref="I10">
    <cfRule type="cellIs" dxfId="52" priority="76" operator="lessThan">
      <formula>300</formula>
    </cfRule>
  </conditionalFormatting>
  <conditionalFormatting sqref="I5">
    <cfRule type="cellIs" dxfId="51" priority="75" operator="lessThan">
      <formula>0.9</formula>
    </cfRule>
  </conditionalFormatting>
  <conditionalFormatting sqref="L10">
    <cfRule type="cellIs" dxfId="50" priority="70" operator="lessThan">
      <formula>300</formula>
    </cfRule>
  </conditionalFormatting>
  <conditionalFormatting sqref="L5">
    <cfRule type="cellIs" dxfId="49" priority="69" operator="lessThan">
      <formula>0.9</formula>
    </cfRule>
  </conditionalFormatting>
  <conditionalFormatting sqref="M10">
    <cfRule type="cellIs" dxfId="48" priority="68" operator="lessThan">
      <formula>300</formula>
    </cfRule>
  </conditionalFormatting>
  <conditionalFormatting sqref="M5">
    <cfRule type="cellIs" dxfId="47" priority="67" operator="lessThan">
      <formula>0.9</formula>
    </cfRule>
  </conditionalFormatting>
  <conditionalFormatting sqref="R10">
    <cfRule type="cellIs" dxfId="46" priority="58" operator="lessThan">
      <formula>300</formula>
    </cfRule>
  </conditionalFormatting>
  <conditionalFormatting sqref="R5">
    <cfRule type="cellIs" dxfId="45" priority="57" operator="lessThan">
      <formula>0.9</formula>
    </cfRule>
  </conditionalFormatting>
  <conditionalFormatting sqref="Q10">
    <cfRule type="cellIs" dxfId="44" priority="60" operator="lessThan">
      <formula>300</formula>
    </cfRule>
  </conditionalFormatting>
  <conditionalFormatting sqref="Q5">
    <cfRule type="cellIs" dxfId="43" priority="59" operator="lessThan">
      <formula>0.9</formula>
    </cfRule>
  </conditionalFormatting>
  <conditionalFormatting sqref="T10">
    <cfRule type="cellIs" dxfId="42" priority="54" operator="lessThan">
      <formula>300</formula>
    </cfRule>
  </conditionalFormatting>
  <conditionalFormatting sqref="T5">
    <cfRule type="cellIs" dxfId="41" priority="53" operator="lessThan">
      <formula>0.9</formula>
    </cfRule>
  </conditionalFormatting>
  <conditionalFormatting sqref="U10">
    <cfRule type="cellIs" dxfId="40" priority="52" operator="lessThan">
      <formula>300</formula>
    </cfRule>
  </conditionalFormatting>
  <conditionalFormatting sqref="U5">
    <cfRule type="cellIs" dxfId="39" priority="51" operator="lessThan">
      <formula>0.9</formula>
    </cfRule>
  </conditionalFormatting>
  <conditionalFormatting sqref="V10">
    <cfRule type="cellIs" dxfId="38" priority="50" operator="lessThan">
      <formula>300</formula>
    </cfRule>
  </conditionalFormatting>
  <conditionalFormatting sqref="V5">
    <cfRule type="cellIs" dxfId="37" priority="49" operator="lessThan">
      <formula>0.9</formula>
    </cfRule>
  </conditionalFormatting>
  <conditionalFormatting sqref="W10">
    <cfRule type="cellIs" dxfId="36" priority="48" operator="lessThan">
      <formula>300</formula>
    </cfRule>
  </conditionalFormatting>
  <conditionalFormatting sqref="W5">
    <cfRule type="cellIs" dxfId="35" priority="47" operator="lessThan">
      <formula>0.9</formula>
    </cfRule>
  </conditionalFormatting>
  <conditionalFormatting sqref="X10">
    <cfRule type="cellIs" dxfId="34" priority="46" operator="lessThan">
      <formula>300</formula>
    </cfRule>
  </conditionalFormatting>
  <conditionalFormatting sqref="X5">
    <cfRule type="cellIs" dxfId="33" priority="45" operator="lessThan">
      <formula>0.9</formula>
    </cfRule>
  </conditionalFormatting>
  <conditionalFormatting sqref="Y10">
    <cfRule type="cellIs" dxfId="32" priority="44" operator="lessThan">
      <formula>300</formula>
    </cfRule>
  </conditionalFormatting>
  <conditionalFormatting sqref="Y5">
    <cfRule type="cellIs" dxfId="31" priority="43" operator="lessThan">
      <formula>0.9</formula>
    </cfRule>
  </conditionalFormatting>
  <conditionalFormatting sqref="Z10">
    <cfRule type="cellIs" dxfId="30" priority="42" operator="lessThan">
      <formula>300</formula>
    </cfRule>
  </conditionalFormatting>
  <conditionalFormatting sqref="Z5">
    <cfRule type="cellIs" dxfId="29" priority="41" operator="lessThan">
      <formula>0.9</formula>
    </cfRule>
  </conditionalFormatting>
  <conditionalFormatting sqref="AA10">
    <cfRule type="cellIs" dxfId="28" priority="40" operator="lessThan">
      <formula>300</formula>
    </cfRule>
  </conditionalFormatting>
  <conditionalFormatting sqref="AA5">
    <cfRule type="cellIs" dxfId="27" priority="39" operator="lessThan">
      <formula>0.9</formula>
    </cfRule>
  </conditionalFormatting>
  <conditionalFormatting sqref="AB10">
    <cfRule type="cellIs" dxfId="26" priority="38" operator="lessThan">
      <formula>300</formula>
    </cfRule>
  </conditionalFormatting>
  <conditionalFormatting sqref="AB5">
    <cfRule type="cellIs" dxfId="25" priority="37" operator="lessThan">
      <formula>0.9</formula>
    </cfRule>
  </conditionalFormatting>
  <conditionalFormatting sqref="P10">
    <cfRule type="cellIs" dxfId="24" priority="24" operator="lessThan">
      <formula>300</formula>
    </cfRule>
  </conditionalFormatting>
  <conditionalFormatting sqref="P5">
    <cfRule type="cellIs" dxfId="23" priority="23" operator="lessThan">
      <formula>0.9</formula>
    </cfRule>
  </conditionalFormatting>
  <conditionalFormatting sqref="O10">
    <cfRule type="cellIs" dxfId="22" priority="26" operator="lessThan">
      <formula>300</formula>
    </cfRule>
  </conditionalFormatting>
  <conditionalFormatting sqref="O5">
    <cfRule type="cellIs" dxfId="21" priority="25" operator="lessThan">
      <formula>0.9</formula>
    </cfRule>
  </conditionalFormatting>
  <conditionalFormatting sqref="AC10">
    <cfRule type="cellIs" dxfId="20" priority="20" operator="lessThan">
      <formula>300</formula>
    </cfRule>
  </conditionalFormatting>
  <conditionalFormatting sqref="AC5">
    <cfRule type="cellIs" dxfId="19" priority="19" operator="lessThan">
      <formula>0.9</formula>
    </cfRule>
  </conditionalFormatting>
  <conditionalFormatting sqref="AD10">
    <cfRule type="cellIs" dxfId="18" priority="18" operator="lessThan">
      <formula>300</formula>
    </cfRule>
  </conditionalFormatting>
  <conditionalFormatting sqref="AD5">
    <cfRule type="cellIs" dxfId="17" priority="17" operator="lessThan">
      <formula>0.9</formula>
    </cfRule>
  </conditionalFormatting>
  <conditionalFormatting sqref="AE10">
    <cfRule type="cellIs" dxfId="16" priority="16" operator="lessThan">
      <formula>300</formula>
    </cfRule>
  </conditionalFormatting>
  <conditionalFormatting sqref="AE5">
    <cfRule type="cellIs" dxfId="15" priority="15" operator="lessThan">
      <formula>0.9</formula>
    </cfRule>
  </conditionalFormatting>
  <conditionalFormatting sqref="E10">
    <cfRule type="cellIs" dxfId="14" priority="10" operator="lessThan">
      <formula>300</formula>
    </cfRule>
  </conditionalFormatting>
  <conditionalFormatting sqref="E5">
    <cfRule type="cellIs" dxfId="13" priority="9" operator="lessThan">
      <formula>0.9</formula>
    </cfRule>
  </conditionalFormatting>
  <conditionalFormatting sqref="G10">
    <cfRule type="cellIs" dxfId="12" priority="12" operator="lessThan">
      <formula>300</formula>
    </cfRule>
  </conditionalFormatting>
  <conditionalFormatting sqref="G5">
    <cfRule type="cellIs" dxfId="11" priority="11" operator="lessThan">
      <formula>0.9</formula>
    </cfRule>
  </conditionalFormatting>
  <conditionalFormatting sqref="B10">
    <cfRule type="cellIs" dxfId="10" priority="8" operator="lessThan">
      <formula>300</formula>
    </cfRule>
  </conditionalFormatting>
  <conditionalFormatting sqref="B5">
    <cfRule type="cellIs" dxfId="9" priority="7" operator="lessThan">
      <formula>0.9</formula>
    </cfRule>
  </conditionalFormatting>
  <conditionalFormatting sqref="N10">
    <cfRule type="cellIs" dxfId="8" priority="6" operator="lessThan">
      <formula>300</formula>
    </cfRule>
  </conditionalFormatting>
  <conditionalFormatting sqref="N5">
    <cfRule type="cellIs" dxfId="7" priority="5" operator="lessThan">
      <formula>0.9</formula>
    </cfRule>
  </conditionalFormatting>
  <conditionalFormatting sqref="K10">
    <cfRule type="cellIs" dxfId="6" priority="4" operator="lessThan">
      <formula>300</formula>
    </cfRule>
  </conditionalFormatting>
  <conditionalFormatting sqref="K5">
    <cfRule type="cellIs" dxfId="5" priority="3" operator="lessThan">
      <formula>0.9</formula>
    </cfRule>
  </conditionalFormatting>
  <conditionalFormatting sqref="S10">
    <cfRule type="cellIs" dxfId="4" priority="2" operator="lessThan">
      <formula>300</formula>
    </cfRule>
  </conditionalFormatting>
  <conditionalFormatting sqref="S5">
    <cfRule type="cellIs" dxfId="3" priority="1" operator="lessThan">
      <formula>0.9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752181E3-59C2-45E3-A066-6EFF11D43CD8}"/>
</file>

<file path=customXml/itemProps2.xml><?xml version="1.0" encoding="utf-8"?>
<ds:datastoreItem xmlns:ds="http://schemas.openxmlformats.org/officeDocument/2006/customXml" ds:itemID="{E9C85AFD-878D-499B-91D3-4FAD06AC180E}"/>
</file>

<file path=customXml/itemProps3.xml><?xml version="1.0" encoding="utf-8"?>
<ds:datastoreItem xmlns:ds="http://schemas.openxmlformats.org/officeDocument/2006/customXml" ds:itemID="{F9ACE1E5-BF06-47FE-819C-819DA76F90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Trees</vt:lpstr>
      <vt:lpstr>Chambers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Taylor, Meghan</cp:lastModifiedBy>
  <cp:revision/>
  <dcterms:created xsi:type="dcterms:W3CDTF">2019-07-23T13:40:33Z</dcterms:created>
  <dcterms:modified xsi:type="dcterms:W3CDTF">2021-03-19T15:32:31Z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